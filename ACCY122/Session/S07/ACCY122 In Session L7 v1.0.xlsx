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esktop\SIM-UOW-Mods\ACCY122\Session\S07\"/>
    </mc:Choice>
  </mc:AlternateContent>
  <xr:revisionPtr revIDLastSave="0" documentId="13_ncr:1_{9369A535-7810-4E18-881B-5572B320C663}" xr6:coauthVersionLast="47" xr6:coauthVersionMax="47" xr10:uidLastSave="{00000000-0000-0000-0000-000000000000}"/>
  <bookViews>
    <workbookView xWindow="-120" yWindow="-120" windowWidth="29040" windowHeight="15720" activeTab="7" xr2:uid="{BB81D00E-B7BD-4C7E-833A-F8ECA5DA9AD9}"/>
  </bookViews>
  <sheets>
    <sheet name="System" sheetId="7" r:id="rId1"/>
    <sheet name="System (2)" sheetId="8" r:id="rId2"/>
    <sheet name="Key Concept" sheetId="9" r:id="rId3"/>
    <sheet name="Ex1" sheetId="10" r:id="rId4"/>
    <sheet name="LE" sheetId="12" r:id="rId5"/>
    <sheet name="Ex2" sheetId="11" r:id="rId6"/>
    <sheet name="12.2 A" sheetId="13" r:id="rId7"/>
    <sheet name="12.1 A" sheetId="16" r:id="rId8"/>
    <sheet name="214 A" sheetId="14" r:id="rId9"/>
    <sheet name="212 A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16" l="1"/>
  <c r="S7" i="12"/>
  <c r="Q7" i="12"/>
  <c r="S6" i="12"/>
  <c r="I16" i="12"/>
  <c r="I15" i="12"/>
  <c r="I9" i="12"/>
  <c r="B8" i="12"/>
  <c r="D5" i="12"/>
  <c r="D6" i="12"/>
  <c r="D7" i="12"/>
  <c r="D4" i="12"/>
  <c r="I18" i="11"/>
  <c r="H18" i="11"/>
  <c r="E18" i="11"/>
  <c r="D18" i="11"/>
  <c r="I16" i="11"/>
  <c r="H16" i="11"/>
  <c r="G16" i="11"/>
  <c r="G18" i="11" s="1"/>
  <c r="F16" i="11"/>
  <c r="F18" i="11" s="1"/>
  <c r="E16" i="11"/>
  <c r="D16" i="11"/>
  <c r="C16" i="11"/>
  <c r="C4" i="11"/>
  <c r="M24" i="10"/>
  <c r="M26" i="10" s="1"/>
  <c r="L24" i="10"/>
  <c r="L26" i="10" s="1"/>
  <c r="K24" i="10"/>
  <c r="K26" i="10" s="1"/>
  <c r="J24" i="10"/>
  <c r="J26" i="10" s="1"/>
  <c r="I24" i="10"/>
  <c r="I26" i="10" s="1"/>
  <c r="H24" i="10"/>
  <c r="H26" i="10" s="1"/>
  <c r="G24" i="10"/>
  <c r="G11" i="10"/>
  <c r="D8" i="12" l="1"/>
  <c r="G26" i="10"/>
  <c r="C18" i="11"/>
  <c r="D9" i="12" l="1"/>
  <c r="I7" i="12" s="1"/>
  <c r="L7" i="12" s="1"/>
  <c r="I10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tc={7BD3673E-5DEC-460D-819F-F91D4F44C705}</author>
    <author>tc={32491463-3731-4558-951D-9906450FEF36}</author>
  </authors>
  <commentList>
    <comment ref="G4" authorId="0" shapeId="0" xr:uid="{7BD3673E-5DEC-460D-819F-F91D4F44C705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32491463-3731-4558-951D-9906450FEF36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sharedStrings.xml><?xml version="1.0" encoding="utf-8"?>
<sst xmlns="http://schemas.openxmlformats.org/spreadsheetml/2006/main" count="342" uniqueCount="221">
  <si>
    <t>Transactions</t>
  </si>
  <si>
    <t>Financial Statements</t>
  </si>
  <si>
    <t>↓</t>
  </si>
  <si>
    <t>$</t>
  </si>
  <si>
    <t>Debit</t>
  </si>
  <si>
    <t>Credit</t>
  </si>
  <si>
    <t>JOURNAL</t>
  </si>
  <si>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</si>
  <si>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</si>
  <si>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</si>
  <si>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</si>
  <si>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</si>
  <si>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</si>
  <si>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</si>
  <si>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Daily</t>
  </si>
  <si>
    <t>BDA</t>
  </si>
  <si>
    <t>Closing Entries</t>
  </si>
  <si>
    <t>$ Debit</t>
  </si>
  <si>
    <t>Credit $</t>
  </si>
  <si>
    <t>PROCESS</t>
  </si>
  <si>
    <t>1,2,3,4</t>
  </si>
  <si>
    <t>Reset revenue to 0</t>
  </si>
  <si>
    <t>Revenue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</si>
  <si>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</si>
  <si>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</si>
  <si>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</si>
  <si>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</si>
  <si>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</si>
  <si>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</si>
  <si>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</si>
  <si>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</si>
  <si>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</si>
  <si>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</si>
  <si>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</si>
  <si>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Transition to</t>
  </si>
  <si>
    <t>To reset expense to 0</t>
  </si>
  <si>
    <t>OUTPUT</t>
  </si>
  <si>
    <t>Open accounts for next year</t>
  </si>
  <si>
    <t>BS, IS</t>
  </si>
  <si>
    <t>Transfer Profit to retained earning or capital</t>
  </si>
  <si>
    <t>Capital / Retained Earning</t>
  </si>
  <si>
    <t>(Transfer profit)</t>
  </si>
  <si>
    <t>Transfer drawings to capital</t>
  </si>
  <si>
    <t>Capital</t>
  </si>
  <si>
    <t>Drawings</t>
  </si>
  <si>
    <t>To reset drawing to 0</t>
  </si>
  <si>
    <t>SERVICE</t>
  </si>
  <si>
    <t xml:space="preserve"> + Debit</t>
  </si>
  <si>
    <t xml:space="preserve"> - Credit</t>
  </si>
  <si>
    <t xml:space="preserve"> - Debit</t>
  </si>
  <si>
    <t xml:space="preserve"> + Credit</t>
  </si>
  <si>
    <t>ASSET</t>
  </si>
  <si>
    <t>LIABILITY</t>
  </si>
  <si>
    <t>O EQUITY</t>
  </si>
  <si>
    <t xml:space="preserve"> =</t>
  </si>
  <si>
    <t>Profit</t>
  </si>
  <si>
    <t>Bank</t>
  </si>
  <si>
    <t>AR</t>
  </si>
  <si>
    <t>CC</t>
  </si>
  <si>
    <t>Note Rec</t>
  </si>
  <si>
    <t>Rev (Exp)</t>
  </si>
  <si>
    <t>Details</t>
  </si>
  <si>
    <t>a</t>
  </si>
  <si>
    <t>Service revenue</t>
  </si>
  <si>
    <t>b</t>
  </si>
  <si>
    <t>c</t>
  </si>
  <si>
    <t>d</t>
  </si>
  <si>
    <t>e</t>
  </si>
  <si>
    <t>Discount allowed</t>
  </si>
  <si>
    <t>2/10, n/30</t>
  </si>
  <si>
    <t>g</t>
  </si>
  <si>
    <t>Service Revenue</t>
  </si>
  <si>
    <t>h</t>
  </si>
  <si>
    <t>Credit card chanrge</t>
  </si>
  <si>
    <t>i</t>
  </si>
  <si>
    <t>7.8.23</t>
  </si>
  <si>
    <t>j</t>
  </si>
  <si>
    <t>Bad debt exp</t>
  </si>
  <si>
    <t>30.11.23</t>
  </si>
  <si>
    <t>k</t>
  </si>
  <si>
    <t>Bad debt recovery</t>
  </si>
  <si>
    <t>18.12.23</t>
  </si>
  <si>
    <t>l</t>
  </si>
  <si>
    <t>m</t>
  </si>
  <si>
    <t>n</t>
  </si>
  <si>
    <t>Notes receivable</t>
  </si>
  <si>
    <t>o</t>
  </si>
  <si>
    <t>Interest received</t>
  </si>
  <si>
    <t>p</t>
  </si>
  <si>
    <t>q</t>
  </si>
  <si>
    <t>r</t>
  </si>
  <si>
    <t>Discounting charge / Finance exp</t>
  </si>
  <si>
    <t>DIRECT WRITE OFF</t>
  </si>
  <si>
    <t>Versus Vs</t>
  </si>
  <si>
    <t>ALLOWANCE METHOD</t>
  </si>
  <si>
    <r>
      <t xml:space="preserve">Bad debts are recorded when </t>
    </r>
    <r>
      <rPr>
        <sz val="11"/>
        <color rgb="FFFF0000"/>
        <rFont val="Calibri"/>
        <family val="2"/>
        <scheme val="minor"/>
      </rPr>
      <t>actually suffered</t>
    </r>
    <r>
      <rPr>
        <sz val="11"/>
        <color theme="1"/>
        <rFont val="Calibri"/>
        <family val="2"/>
        <scheme val="minor"/>
      </rPr>
      <t>.</t>
    </r>
  </si>
  <si>
    <r>
      <t xml:space="preserve">Bad debts are recorded when they are </t>
    </r>
    <r>
      <rPr>
        <sz val="11"/>
        <color rgb="FFFF0000"/>
        <rFont val="Calibri"/>
        <family val="2"/>
        <scheme val="minor"/>
      </rPr>
      <t>probable</t>
    </r>
    <r>
      <rPr>
        <sz val="11"/>
        <color theme="1"/>
        <rFont val="Calibri"/>
        <family val="2"/>
        <scheme val="minor"/>
      </rPr>
      <t>.</t>
    </r>
  </si>
  <si>
    <t>Weaker because ignores prudence concept and also matching concept.</t>
  </si>
  <si>
    <t>Stronger because considers prudance concept and also matching concept.</t>
  </si>
  <si>
    <t>AR +, Revenue +</t>
  </si>
  <si>
    <t>7.6.24</t>
  </si>
  <si>
    <t>Service on account $200.</t>
  </si>
  <si>
    <t>No entry</t>
  </si>
  <si>
    <t>31.12.24</t>
  </si>
  <si>
    <t>Bad debt is probable.</t>
  </si>
  <si>
    <t>Bad debt exp +, Allowance for DD+</t>
  </si>
  <si>
    <t>Liability</t>
  </si>
  <si>
    <t>Equity</t>
  </si>
  <si>
    <t>AR -, Bad debt exp +</t>
  </si>
  <si>
    <t>5.3.25</t>
  </si>
  <si>
    <t>Bankruptsy</t>
  </si>
  <si>
    <t>AR -, Allowance for DD -</t>
  </si>
  <si>
    <t>REVENUE</t>
  </si>
  <si>
    <t>How to estimate allowance for bad debts?</t>
  </si>
  <si>
    <t>i) Income statement method</t>
  </si>
  <si>
    <t xml:space="preserve">Credit sales * % based on previous experience </t>
  </si>
  <si>
    <t>3% of $200,000 = $6000</t>
  </si>
  <si>
    <t>ii) Balance sheet method</t>
  </si>
  <si>
    <t>Agewise analysis of AR</t>
  </si>
  <si>
    <t>AR Total</t>
  </si>
  <si>
    <t>Not Due</t>
  </si>
  <si>
    <t>Overdue days</t>
  </si>
  <si>
    <t>AR Report as at 31 Dec 2023</t>
  </si>
  <si>
    <t>Limit $</t>
  </si>
  <si>
    <t>1 to 15</t>
  </si>
  <si>
    <t>16 to 30</t>
  </si>
  <si>
    <t>31-60</t>
  </si>
  <si>
    <t>61 to 90</t>
  </si>
  <si>
    <t>Over 90</t>
  </si>
  <si>
    <t>Customer A</t>
  </si>
  <si>
    <t>Customer B</t>
  </si>
  <si>
    <t>Customer C</t>
  </si>
  <si>
    <t>Customer N</t>
  </si>
  <si>
    <t>Total</t>
  </si>
  <si>
    <t>% ADD</t>
  </si>
  <si>
    <t>ADD ($)</t>
  </si>
  <si>
    <t>INCOME STATEMENT</t>
  </si>
  <si>
    <t>Service provided on credit during the year</t>
  </si>
  <si>
    <t>AR +</t>
  </si>
  <si>
    <t>Revenue +</t>
  </si>
  <si>
    <t>Estimate ADD using 4%.</t>
  </si>
  <si>
    <t>Bad Debt Exp +</t>
  </si>
  <si>
    <t>ADD +</t>
  </si>
  <si>
    <t>Show journal entry</t>
  </si>
  <si>
    <t>AR Agewise analysis</t>
  </si>
  <si>
    <t>Overdue</t>
  </si>
  <si>
    <t>AR Report as at 31 Dec 2022</t>
  </si>
  <si>
    <t>Unpaid days</t>
  </si>
  <si>
    <t>Undue</t>
  </si>
  <si>
    <t>1-30 days</t>
  </si>
  <si>
    <t>60+</t>
  </si>
  <si>
    <t>%</t>
  </si>
  <si>
    <t>ADD $</t>
  </si>
  <si>
    <t>AR $</t>
  </si>
  <si>
    <t>Need</t>
  </si>
  <si>
    <t>Have</t>
  </si>
  <si>
    <t>Increase</t>
  </si>
  <si>
    <t>Asset</t>
  </si>
  <si>
    <t>Rev(Exp)</t>
  </si>
  <si>
    <t>Bal</t>
  </si>
  <si>
    <t>ADD</t>
  </si>
  <si>
    <t>Before</t>
  </si>
  <si>
    <t>Bad debt writ off</t>
  </si>
  <si>
    <t>After Adj 2</t>
  </si>
  <si>
    <t>After Adj 1</t>
  </si>
  <si>
    <t>Adj  1</t>
  </si>
  <si>
    <t>Adj  2</t>
  </si>
  <si>
    <t>ADD ACCOUNT</t>
  </si>
  <si>
    <t>Date</t>
  </si>
  <si>
    <t>$ Credit</t>
  </si>
  <si>
    <t>$ Balance</t>
  </si>
  <si>
    <t>Unadj bal</t>
  </si>
  <si>
    <t>Opening Allowance (1 July 2023) = 4464</t>
  </si>
  <si>
    <t>Debtors after write-off (30 June 2024) = 97775</t>
  </si>
  <si>
    <t>Bad debts written off = 3132</t>
  </si>
  <si>
    <t>Required allowance = 3% of debtors</t>
  </si>
  <si>
    <t>97,775 × 3% = 2,933.25 ≈ 2,933</t>
  </si>
  <si>
    <t>Allowance for DD</t>
  </si>
  <si>
    <t>date</t>
  </si>
  <si>
    <t>details</t>
  </si>
  <si>
    <t>allowance for DD is an contra asset account so dr - / cr +</t>
  </si>
  <si>
    <t>balance</t>
  </si>
  <si>
    <t>accounts receivable</t>
  </si>
  <si>
    <t>bal c/d</t>
  </si>
  <si>
    <t>bal b/d</t>
  </si>
  <si>
    <t>bad debts expense</t>
  </si>
  <si>
    <t>Customer officially defaulted</t>
  </si>
  <si>
    <t>Dr Allowance for Doubtful Debts     3132</t>
  </si>
  <si>
    <t xml:space="preserve">    Cr Accounts Receivable               3132</t>
  </si>
  <si>
    <t>To increase allowance by 2933</t>
  </si>
  <si>
    <t>Dr Bad Debt Expense          2933</t>
  </si>
  <si>
    <t xml:space="preserve">    Cr Allowance for Doubtful Debts    2933</t>
  </si>
  <si>
    <t>a)</t>
  </si>
  <si>
    <t>b)</t>
  </si>
  <si>
    <t>Clover Landscaping Services</t>
  </si>
  <si>
    <t xml:space="preserve">Profit and Loss Statement </t>
  </si>
  <si>
    <t>for the year ended 30 jun 2024 (extract)</t>
  </si>
  <si>
    <t>Expense</t>
  </si>
  <si>
    <t>Bad debts</t>
  </si>
  <si>
    <t>Statement for financial position</t>
  </si>
  <si>
    <t>Current Assets</t>
  </si>
  <si>
    <t>Account Receivable</t>
  </si>
  <si>
    <t>LESS: Allowance for Doubtful debts</t>
  </si>
  <si>
    <t>Total uncollectible = 34012</t>
  </si>
  <si>
    <t>Amount to adjust = 34012 - 28947 = 5065</t>
  </si>
  <si>
    <t>Dr Bad Debt Expense          5065</t>
  </si>
  <si>
    <t xml:space="preserve">    Cr Allowance for Doubtful Debts    5065</t>
  </si>
  <si>
    <t>c)</t>
  </si>
  <si>
    <t>Dr Allowance for Doubtful Debts     3081</t>
  </si>
  <si>
    <t xml:space="preserve">    Cr Accounts Receivable               3081</t>
  </si>
  <si>
    <t>Estimated uncollectible accounts = ($52,000 × 1%) + ($8,000 × 15%) + ($3,200 × 40%) = $3,000</t>
  </si>
  <si>
    <t>To adjust = $3,000 - $80 = $2920</t>
  </si>
  <si>
    <t>Dr Bad Debt Expense          2920</t>
  </si>
  <si>
    <t xml:space="preserve">    Cr Allowance for Doubtful Debts    2920</t>
  </si>
  <si>
    <t>*Exercise 12.2 similar qn will be in exam</t>
  </si>
  <si>
    <t>Total uncollectible = 35941</t>
  </si>
  <si>
    <t>Amount to adjust = 35941 - 29397 = 6544</t>
  </si>
  <si>
    <t>Dr Bad Debt Expense          6544</t>
  </si>
  <si>
    <t xml:space="preserve">    Cr Allowance for Doubtful Debts    6544</t>
  </si>
  <si>
    <t>Dr Allowance for Doubtful Debts     3231</t>
  </si>
  <si>
    <t xml:space="preserve">    Cr Accounts Receivable               3231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</si>
</sst>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_-* #,##0.00_-;\-* #,##0.00_-;_-* &quot;-&quot;??_-;_-@_-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3" borderId="9" xfId="0" applyFill="1" applyBorder="1"/>
    <xf numFmtId="0" fontId="0" fillId="4" borderId="0" xfId="0" applyFill="1"/>
    <xf numFmtId="0" fontId="0" fillId="5" borderId="0" xfId="0" applyFill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0" xfId="0" applyAlignment="1">
      <alignment wrapText="1"/>
    </xf>
    <xf numFmtId="0" fontId="2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9" fontId="0" fillId="0" borderId="0" xfId="0" applyNumberFormat="1"/>
    <xf numFmtId="16" fontId="0" fillId="0" borderId="0" xfId="0" applyNumberFormat="1"/>
    <xf numFmtId="164" fontId="0" fillId="0" borderId="0" xfId="0" applyNumberFormat="1"/>
    <xf numFmtId="15" fontId="0" fillId="0" borderId="0" xfId="0" applyNumberFormat="1"/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horizontal="right"/>
    </xf>
    <xf numFmtId="166" fontId="0" fillId="0" borderId="0" xfId="1" applyNumberFormat="1" applyFont="1"/>
    <xf numFmtId="166" fontId="0" fillId="7" borderId="0" xfId="0" applyNumberFormat="1" applyFill="1"/>
    <xf numFmtId="0" fontId="0" fillId="0" borderId="13" xfId="0" applyBorder="1"/>
    <xf numFmtId="0" fontId="0" fillId="0" borderId="14" xfId="0" applyBorder="1"/>
    <xf numFmtId="166" fontId="0" fillId="8" borderId="14" xfId="0" applyNumberFormat="1" applyFill="1" applyBorder="1"/>
    <xf numFmtId="166" fontId="0" fillId="2" borderId="14" xfId="0" applyNumberFormat="1" applyFill="1" applyBorder="1"/>
    <xf numFmtId="0" fontId="0" fillId="0" borderId="15" xfId="0" applyBorder="1"/>
    <xf numFmtId="166" fontId="0" fillId="5" borderId="0" xfId="1" applyNumberFormat="1" applyFont="1" applyFill="1"/>
    <xf numFmtId="16" fontId="0" fillId="0" borderId="4" xfId="0" applyNumberFormat="1" applyBorder="1"/>
    <xf numFmtId="16" fontId="0" fillId="0" borderId="6" xfId="0" applyNumberFormat="1" applyBorder="1"/>
    <xf numFmtId="0" fontId="0" fillId="5" borderId="7" xfId="0" applyFill="1" applyBorder="1"/>
    <xf numFmtId="0" fontId="0" fillId="2" borderId="2" xfId="0" applyFill="1" applyBorder="1"/>
    <xf numFmtId="0" fontId="0" fillId="8" borderId="2" xfId="0" applyFill="1" applyBorder="1"/>
    <xf numFmtId="166" fontId="0" fillId="0" borderId="0" xfId="0" applyNumberFormat="1"/>
    <xf numFmtId="0" fontId="0" fillId="8" borderId="0" xfId="0" applyFill="1"/>
    <xf numFmtId="166" fontId="0" fillId="0" borderId="7" xfId="0" applyNumberFormat="1" applyBorder="1"/>
    <xf numFmtId="0" fontId="0" fillId="2" borderId="0" xfId="0" applyFill="1" applyAlignment="1">
      <alignment horizontal="center" vertical="center" wrapText="1"/>
    </xf>
    <xf numFmtId="16" fontId="0" fillId="0" borderId="0" xfId="0" applyNumberFormat="1" applyAlignment="1">
      <alignment horizontal="right"/>
    </xf>
    <xf numFmtId="0" fontId="0" fillId="0" borderId="16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6" fillId="0" borderId="0" xfId="0" applyFont="1"/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B3AF655-3EDB-44B0-89E7-1F75B7D34AE9}"/>
            </a:ext>
          </a:extLst>
        </xdr:cNvPr>
        <xdr:cNvGrpSpPr/>
      </xdr:nvGrpSpPr>
      <xdr:grpSpPr bwMode="auto">
        <a:xfrm>
          <a:off x="1026232" y="661707"/>
          <a:ext cx="5386393" cy="5936207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FBA6C3D8-D9D5-AA72-B0C9-FEC7CF824C10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3C483CA-B884-880B-DE3A-1339F443B23C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A290A4B2-90F6-46DB-4A80-45E8523CBD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8849367B-DE69-674A-BB47-374C0089C60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01AC6408-3B66-C6D3-BE57-98759A1F74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66E51340-1A48-B16D-24EE-2418C1A962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477B212B-D64C-C92F-B09B-B569394FF2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7BB8972-A693-4121-897D-5A50A9BEA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CB5AF-EE56-4F1D-AD64-221E17FD5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86" y="3292543"/>
          <a:ext cx="3718237" cy="3552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514507</xdr:colOff>
      <xdr:row>5</xdr:row>
      <xdr:rowOff>42998</xdr:rowOff>
    </xdr:from>
    <xdr:to>
      <xdr:col>33</xdr:col>
      <xdr:colOff>205711</xdr:colOff>
      <xdr:row>14</xdr:row>
      <xdr:rowOff>40504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948F77-A17D-3B12-9E86-DAEA6F567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209" y="961386"/>
          <a:ext cx="6387567" cy="1671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280004</xdr:colOff>
      <xdr:row>17</xdr:row>
      <xdr:rowOff>19921</xdr:rowOff>
    </xdr:from>
    <xdr:to>
      <xdr:col>29</xdr:col>
      <xdr:colOff>86216</xdr:colOff>
      <xdr:row>23</xdr:row>
      <xdr:rowOff>82923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58AC1F-8690-D9CD-7143-C2776DD35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9467" y="3163433"/>
          <a:ext cx="3458774" cy="1165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187021</xdr:colOff>
      <xdr:row>16</xdr:row>
      <xdr:rowOff>143585</xdr:rowOff>
    </xdr:from>
    <xdr:to>
      <xdr:col>21</xdr:col>
      <xdr:colOff>36969</xdr:colOff>
      <xdr:row>26</xdr:row>
      <xdr:rowOff>78808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2060D-4C3C-3DCE-AE7B-B5110CD92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8185" y="3118517"/>
          <a:ext cx="6252140" cy="1761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133350</xdr:rowOff>
    </xdr:from>
    <xdr:to>
      <xdr:col>8</xdr:col>
      <xdr:colOff>73781</xdr:colOff>
      <xdr:row>16</xdr:row>
      <xdr:rowOff>171854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A3C6DA-D812-D1A9-2B81-BD29F7D55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323850"/>
          <a:ext cx="6201640" cy="28960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211257</xdr:colOff>
      <xdr:row>24</xdr:row>
      <xdr:rowOff>164758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FEA09E-CB05-42A6-EB58-901AD5D2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914" y="190500"/>
          <a:ext cx="6620799" cy="45535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104775</xdr:rowOff>
    </xdr:from>
    <xdr:to>
      <xdr:col>8</xdr:col>
      <xdr:colOff>488133</xdr:colOff>
      <xdr:row>20</xdr:row>
      <xdr:rowOff>95754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C86F9A-5DA3-0A7F-B2C5-2CC9D9B0F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295275"/>
          <a:ext cx="6392167" cy="36104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518949</xdr:colOff>
      <xdr:row>0</xdr:row>
      <xdr:rowOff>142378</xdr:rowOff>
    </xdr:from>
    <xdr:to>
      <xdr:col>10</xdr:col>
      <xdr:colOff>558363</xdr:colOff>
      <xdr:row>14</xdr:row>
      <xdr:rowOff>10894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4B2BBA-158E-CCC0-2692-F4BB71845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863" y="142378"/>
          <a:ext cx="5537638" cy="2535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EAD7B708-3F04-4908-A591-1BCBA73A0877}" userId="7baad15b6bef9919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EAD7B708-3F04-4908-A591-1BCBA73A0877}" id="{7BD3673E-5DEC-460D-819F-F91D4F44C705}">
    <text>BDA = Balanced Day Adjustments 
Accrual, prepayment, depreciation, bad debt exp etc.</text>
  </threadedComment>
  <threadedComment ref="H4" dT="2022-04-27T08:03:56.12" personId="{EAD7B708-3F04-4908-A591-1BCBA73A0877}" id="{32491463-3731-4558-951D-9906450FEF36}">
    <text>At end of accounting year; Close books for current year and prepare for next year.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626B-C14C-46B5-8E1C-4CA9F7E39F10}">
  <dimension ref="A1"/>
  <sheetViews>
    <sheetView zoomScale="114" zoomScaleNormal="85" workbookViewId="0">
      <selection activeCell="G46" sqref="G4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C239-724E-42F6-AF35-C0937B854444}">
  <dimension ref="B1:O20"/>
  <sheetViews>
    <sheetView zoomScale="222" zoomScaleNormal="130" workbookViewId="0">
      <selection activeCell="D12" sqref="D12"/>
    </sheetView>
  </sheetViews>
  <sheetFormatPr defaultRowHeight="15" x14ac:dyDescent="0.25"/>
  <cols>
    <col min="5" max="5" width="18.85546875" bestFit="1" customWidth="1"/>
    <col min="6" max="6" width="10.42578125" customWidth="1"/>
    <col min="7" max="7" width="10.42578125" bestFit="1" customWidth="1"/>
    <col min="11" max="11" width="2.140625" bestFit="1" customWidth="1"/>
    <col min="12" max="12" width="37.42578125" bestFit="1" customWidth="1"/>
    <col min="13" max="13" width="22.5703125" bestFit="1" customWidth="1"/>
  </cols>
  <sheetData>
    <row r="1" spans="2:15" x14ac:dyDescent="0.25">
      <c r="G1" t="s">
        <v>7</v>
      </c>
    </row>
    <row r="2" spans="2:15" x14ac:dyDescent="0.25">
      <c r="B2" s="11" t="s">
        <v>8</v>
      </c>
    </row>
    <row r="3" spans="2:15" x14ac:dyDescent="0.25">
      <c r="F3" t="s">
        <v>9</v>
      </c>
      <c r="G3" t="s">
        <v>10</v>
      </c>
      <c r="H3" t="s">
        <v>8</v>
      </c>
      <c r="L3" t="s">
        <v>11</v>
      </c>
      <c r="M3" t="s">
        <v>12</v>
      </c>
    </row>
    <row r="4" spans="2:15" ht="15.75" thickBot="1" x14ac:dyDescent="0.3">
      <c r="C4" s="11" t="s">
        <v>13</v>
      </c>
      <c r="D4" s="11"/>
      <c r="E4" s="11" t="s">
        <v>0</v>
      </c>
      <c r="F4" t="s">
        <v>14</v>
      </c>
      <c r="G4" t="s">
        <v>15</v>
      </c>
      <c r="H4" t="s">
        <v>16</v>
      </c>
    </row>
    <row r="5" spans="2:15" x14ac:dyDescent="0.25">
      <c r="C5" s="11"/>
      <c r="D5" s="11"/>
      <c r="E5" s="12" t="s">
        <v>2</v>
      </c>
      <c r="M5" s="2"/>
      <c r="N5" s="3" t="s">
        <v>17</v>
      </c>
      <c r="O5" s="4" t="s">
        <v>18</v>
      </c>
    </row>
    <row r="6" spans="2:15" x14ac:dyDescent="0.25">
      <c r="C6" s="55" t="s">
        <v>19</v>
      </c>
      <c r="D6" s="11"/>
      <c r="E6" s="11" t="s">
        <v>6</v>
      </c>
      <c r="F6" t="s">
        <v>14</v>
      </c>
      <c r="H6" s="11" t="s">
        <v>20</v>
      </c>
      <c r="K6">
        <v>1</v>
      </c>
      <c r="L6" t="s">
        <v>21</v>
      </c>
      <c r="M6" s="5" t="s">
        <v>22</v>
      </c>
      <c r="N6" t="s">
        <v>3</v>
      </c>
      <c r="O6" s="6"/>
    </row>
    <row r="7" spans="2:15" x14ac:dyDescent="0.25">
      <c r="C7" s="55"/>
      <c r="D7" s="11"/>
      <c r="E7" s="12" t="s">
        <v>2</v>
      </c>
      <c r="M7" s="5" t="s">
        <v>23</v>
      </c>
      <c r="O7" s="6" t="s">
        <v>3</v>
      </c>
    </row>
    <row r="8" spans="2:15" x14ac:dyDescent="0.25">
      <c r="C8" s="55"/>
      <c r="D8" s="11"/>
      <c r="E8" s="11" t="s">
        <v>24</v>
      </c>
      <c r="F8" t="s">
        <v>14</v>
      </c>
      <c r="M8" s="5" t="s">
        <v>25</v>
      </c>
      <c r="O8" s="6"/>
    </row>
    <row r="9" spans="2:15" x14ac:dyDescent="0.25">
      <c r="C9" s="55"/>
      <c r="D9" s="11"/>
      <c r="E9" s="12" t="s">
        <v>2</v>
      </c>
      <c r="M9" s="5"/>
      <c r="O9" s="6"/>
    </row>
    <row r="10" spans="2:15" x14ac:dyDescent="0.25">
      <c r="C10" s="55"/>
      <c r="D10" s="11"/>
      <c r="E10" s="11" t="s">
        <v>26</v>
      </c>
      <c r="F10" t="s">
        <v>14</v>
      </c>
      <c r="G10" t="s">
        <v>27</v>
      </c>
      <c r="H10" t="s">
        <v>28</v>
      </c>
      <c r="K10">
        <v>2</v>
      </c>
      <c r="L10" t="s">
        <v>29</v>
      </c>
      <c r="M10" s="5" t="s">
        <v>23</v>
      </c>
      <c r="N10" t="s">
        <v>3</v>
      </c>
      <c r="O10" s="6"/>
    </row>
    <row r="11" spans="2:15" ht="15.75" thickBot="1" x14ac:dyDescent="0.3">
      <c r="C11" s="11"/>
      <c r="D11" s="11"/>
      <c r="E11" s="11"/>
      <c r="F11" s="13" t="s">
        <v>30</v>
      </c>
      <c r="G11" s="14" t="s">
        <v>31</v>
      </c>
      <c r="H11" s="15" t="s">
        <v>32</v>
      </c>
      <c r="M11" s="5" t="s">
        <v>33</v>
      </c>
      <c r="O11" s="6" t="s">
        <v>3</v>
      </c>
    </row>
    <row r="12" spans="2:15" ht="15.75" thickTop="1" x14ac:dyDescent="0.25">
      <c r="C12" s="11"/>
      <c r="D12" s="11"/>
      <c r="E12" s="12" t="s">
        <v>2</v>
      </c>
      <c r="G12" s="1" t="s">
        <v>2</v>
      </c>
      <c r="H12" t="s">
        <v>34</v>
      </c>
      <c r="M12" s="5" t="s">
        <v>35</v>
      </c>
      <c r="O12" s="6"/>
    </row>
    <row r="13" spans="2:15" x14ac:dyDescent="0.25">
      <c r="C13" s="11" t="s">
        <v>36</v>
      </c>
      <c r="D13" s="11"/>
      <c r="E13" s="11" t="s">
        <v>1</v>
      </c>
      <c r="F13" t="s">
        <v>1</v>
      </c>
      <c r="H13" t="s">
        <v>37</v>
      </c>
      <c r="M13" s="5"/>
      <c r="O13" s="6"/>
    </row>
    <row r="14" spans="2:15" x14ac:dyDescent="0.25">
      <c r="F14" t="s">
        <v>38</v>
      </c>
      <c r="K14">
        <v>3</v>
      </c>
      <c r="L14" t="s">
        <v>39</v>
      </c>
      <c r="M14" s="5" t="s">
        <v>23</v>
      </c>
      <c r="N14" t="s">
        <v>3</v>
      </c>
      <c r="O14" s="6"/>
    </row>
    <row r="15" spans="2:15" x14ac:dyDescent="0.25">
      <c r="M15" s="5" t="s">
        <v>40</v>
      </c>
      <c r="O15" s="6" t="s">
        <v>3</v>
      </c>
    </row>
    <row r="16" spans="2:15" x14ac:dyDescent="0.25">
      <c r="M16" s="5" t="s">
        <v>41</v>
      </c>
      <c r="O16" s="6"/>
    </row>
    <row r="17" spans="11:15" x14ac:dyDescent="0.25">
      <c r="M17" s="5"/>
      <c r="O17" s="6"/>
    </row>
    <row r="18" spans="11:15" x14ac:dyDescent="0.25">
      <c r="K18">
        <v>4</v>
      </c>
      <c r="L18" t="s">
        <v>42</v>
      </c>
      <c r="M18" s="5" t="s">
        <v>43</v>
      </c>
      <c r="N18" t="s">
        <v>3</v>
      </c>
      <c r="O18" s="6"/>
    </row>
    <row r="19" spans="11:15" x14ac:dyDescent="0.25">
      <c r="M19" s="5" t="s">
        <v>44</v>
      </c>
      <c r="O19" s="6" t="s">
        <v>3</v>
      </c>
    </row>
    <row r="20" spans="11:15" ht="15.75" thickBot="1" x14ac:dyDescent="0.3">
      <c r="M20" s="7" t="s">
        <v>45</v>
      </c>
      <c r="N20" s="8"/>
      <c r="O20" s="9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87AE-180A-4385-BAD6-1291BDAAE5B8}">
  <dimension ref="A1:L33"/>
  <sheetViews>
    <sheetView zoomScale="195" zoomScaleNormal="160" workbookViewId="0">
      <pane ySplit="4" topLeftCell="A18" activePane="bottomLeft" state="frozen"/>
      <selection pane="bottomLeft" activeCell="G33" sqref="G33"/>
    </sheetView>
  </sheetViews>
  <sheetFormatPr defaultRowHeight="15" x14ac:dyDescent="0.25"/>
  <cols>
    <col min="11" max="11" width="18.140625" customWidth="1"/>
  </cols>
  <sheetData>
    <row r="1" spans="1:12" x14ac:dyDescent="0.25">
      <c r="A1" s="11" t="s">
        <v>46</v>
      </c>
      <c r="C1" s="11" t="s">
        <v>47</v>
      </c>
      <c r="D1" t="s">
        <v>48</v>
      </c>
      <c r="G1" s="11" t="s">
        <v>49</v>
      </c>
      <c r="H1" t="s">
        <v>50</v>
      </c>
    </row>
    <row r="2" spans="1:12" x14ac:dyDescent="0.25">
      <c r="C2" t="s">
        <v>51</v>
      </c>
      <c r="G2" t="s">
        <v>52</v>
      </c>
      <c r="I2" t="s">
        <v>53</v>
      </c>
    </row>
    <row r="3" spans="1:12" x14ac:dyDescent="0.25">
      <c r="F3" t="s">
        <v>54</v>
      </c>
      <c r="I3" t="s">
        <v>43</v>
      </c>
      <c r="J3" t="s">
        <v>55</v>
      </c>
    </row>
    <row r="4" spans="1:12" x14ac:dyDescent="0.25">
      <c r="B4" t="s">
        <v>56</v>
      </c>
      <c r="C4" t="s">
        <v>57</v>
      </c>
      <c r="D4" t="s">
        <v>58</v>
      </c>
      <c r="E4" t="s">
        <v>59</v>
      </c>
      <c r="F4" t="s">
        <v>54</v>
      </c>
      <c r="J4" t="s">
        <v>60</v>
      </c>
      <c r="K4" t="s">
        <v>61</v>
      </c>
    </row>
    <row r="5" spans="1:12" ht="15.75" thickBot="1" x14ac:dyDescent="0.3"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2" x14ac:dyDescent="0.25">
      <c r="A6" t="s">
        <v>62</v>
      </c>
      <c r="B6" s="17">
        <v>50</v>
      </c>
      <c r="C6" s="18"/>
      <c r="D6" s="18"/>
      <c r="E6" s="18"/>
      <c r="F6" s="18" t="s">
        <v>54</v>
      </c>
      <c r="G6" s="18"/>
      <c r="H6" s="18"/>
      <c r="I6" s="18"/>
      <c r="J6" s="18">
        <v>50</v>
      </c>
      <c r="K6" s="19" t="s">
        <v>63</v>
      </c>
    </row>
    <row r="7" spans="1:12" x14ac:dyDescent="0.25">
      <c r="A7" t="s">
        <v>64</v>
      </c>
      <c r="B7" s="20"/>
      <c r="C7" s="16">
        <v>120</v>
      </c>
      <c r="D7" s="16"/>
      <c r="E7" s="16"/>
      <c r="F7" s="16" t="s">
        <v>54</v>
      </c>
      <c r="G7" s="16"/>
      <c r="H7" s="16"/>
      <c r="I7" s="16"/>
      <c r="J7" s="16">
        <v>120</v>
      </c>
      <c r="K7" s="21" t="s">
        <v>63</v>
      </c>
    </row>
    <row r="8" spans="1:12" ht="15.75" thickBot="1" x14ac:dyDescent="0.3">
      <c r="A8" t="s">
        <v>65</v>
      </c>
      <c r="B8" s="22">
        <v>120</v>
      </c>
      <c r="C8" s="23">
        <v>-120</v>
      </c>
      <c r="D8" s="23"/>
      <c r="E8" s="23"/>
      <c r="F8" s="23" t="s">
        <v>54</v>
      </c>
      <c r="G8" s="23"/>
      <c r="H8" s="23"/>
      <c r="I8" s="23"/>
      <c r="J8" s="23"/>
      <c r="K8" s="24"/>
    </row>
    <row r="9" spans="1:12" ht="15.75" thickBot="1" x14ac:dyDescent="0.3"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2" s="16" customFormat="1" x14ac:dyDescent="0.25">
      <c r="A10" s="16" t="s">
        <v>66</v>
      </c>
      <c r="B10" s="17"/>
      <c r="C10" s="18">
        <v>150</v>
      </c>
      <c r="D10" s="18"/>
      <c r="E10" s="18"/>
      <c r="F10" s="18" t="s">
        <v>54</v>
      </c>
      <c r="G10" s="18"/>
      <c r="H10" s="18"/>
      <c r="I10" s="18"/>
      <c r="J10" s="18">
        <v>150</v>
      </c>
      <c r="K10" s="19" t="s">
        <v>63</v>
      </c>
    </row>
    <row r="11" spans="1:12" s="16" customFormat="1" ht="15.75" thickBot="1" x14ac:dyDescent="0.3">
      <c r="A11" s="16" t="s">
        <v>67</v>
      </c>
      <c r="B11" s="22">
        <v>147</v>
      </c>
      <c r="C11" s="23">
        <v>-150</v>
      </c>
      <c r="D11" s="23"/>
      <c r="E11" s="23"/>
      <c r="F11" s="23" t="s">
        <v>54</v>
      </c>
      <c r="G11" s="23"/>
      <c r="H11" s="23"/>
      <c r="I11" s="23"/>
      <c r="J11" s="23">
        <v>-3</v>
      </c>
      <c r="K11" s="24" t="s">
        <v>68</v>
      </c>
      <c r="L11" s="36" t="s">
        <v>69</v>
      </c>
    </row>
    <row r="12" spans="1:12" ht="15.75" thickBot="1" x14ac:dyDescent="0.3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</row>
    <row r="13" spans="1:12" x14ac:dyDescent="0.25">
      <c r="A13" s="16" t="s">
        <v>70</v>
      </c>
      <c r="B13" s="17"/>
      <c r="C13" s="18"/>
      <c r="D13" s="18">
        <v>250</v>
      </c>
      <c r="E13" s="18"/>
      <c r="F13" s="18" t="s">
        <v>54</v>
      </c>
      <c r="G13" s="18"/>
      <c r="H13" s="18"/>
      <c r="I13" s="18"/>
      <c r="J13" s="18">
        <v>250</v>
      </c>
      <c r="K13" s="19" t="s">
        <v>71</v>
      </c>
      <c r="L13" s="16"/>
    </row>
    <row r="14" spans="1:12" ht="15.75" thickBot="1" x14ac:dyDescent="0.3">
      <c r="A14" s="16" t="s">
        <v>72</v>
      </c>
      <c r="B14" s="22">
        <v>245</v>
      </c>
      <c r="C14" s="23"/>
      <c r="D14" s="23">
        <v>-250</v>
      </c>
      <c r="E14" s="23"/>
      <c r="F14" s="23" t="s">
        <v>54</v>
      </c>
      <c r="G14" s="23"/>
      <c r="H14" s="23"/>
      <c r="I14" s="23"/>
      <c r="J14" s="23">
        <v>-5</v>
      </c>
      <c r="K14" s="24" t="s">
        <v>73</v>
      </c>
      <c r="L14" s="16"/>
    </row>
    <row r="15" spans="1:12" ht="15.75" thickBo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2" s="16" customFormat="1" x14ac:dyDescent="0.25">
      <c r="A16" s="16" t="s">
        <v>74</v>
      </c>
      <c r="B16" s="17"/>
      <c r="C16" s="18">
        <v>220</v>
      </c>
      <c r="D16" s="18"/>
      <c r="E16" s="18"/>
      <c r="F16" s="18" t="s">
        <v>54</v>
      </c>
      <c r="G16" s="18"/>
      <c r="H16" s="18"/>
      <c r="I16" s="18"/>
      <c r="J16" s="18">
        <v>220</v>
      </c>
      <c r="K16" s="19" t="s">
        <v>71</v>
      </c>
      <c r="L16" s="16" t="s">
        <v>75</v>
      </c>
    </row>
    <row r="17" spans="1:12" s="16" customFormat="1" x14ac:dyDescent="0.25">
      <c r="A17" s="16" t="s">
        <v>76</v>
      </c>
      <c r="B17" s="20"/>
      <c r="C17" s="16">
        <v>-220</v>
      </c>
      <c r="F17" s="16" t="s">
        <v>54</v>
      </c>
      <c r="J17" s="16">
        <v>-220</v>
      </c>
      <c r="K17" s="21" t="s">
        <v>77</v>
      </c>
      <c r="L17" s="16" t="s">
        <v>78</v>
      </c>
    </row>
    <row r="18" spans="1:12" s="16" customFormat="1" x14ac:dyDescent="0.25">
      <c r="A18" s="16" t="s">
        <v>79</v>
      </c>
      <c r="B18" s="20"/>
      <c r="C18" s="16">
        <v>220</v>
      </c>
      <c r="J18" s="16">
        <v>220</v>
      </c>
      <c r="K18" s="21" t="s">
        <v>80</v>
      </c>
      <c r="L18" s="16" t="s">
        <v>81</v>
      </c>
    </row>
    <row r="19" spans="1:12" s="16" customFormat="1" ht="15.75" thickBot="1" x14ac:dyDescent="0.3">
      <c r="A19" s="16" t="s">
        <v>82</v>
      </c>
      <c r="B19" s="22">
        <v>220</v>
      </c>
      <c r="C19" s="23">
        <v>-220</v>
      </c>
      <c r="D19" s="23"/>
      <c r="E19" s="23"/>
      <c r="F19" s="23"/>
      <c r="G19" s="23"/>
      <c r="H19" s="23"/>
      <c r="I19" s="23"/>
      <c r="J19" s="23"/>
      <c r="K19" s="24"/>
      <c r="L19" s="16" t="s">
        <v>81</v>
      </c>
    </row>
    <row r="20" spans="1:12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2" ht="15.75" thickBot="1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6" customFormat="1" x14ac:dyDescent="0.25">
      <c r="A22" s="16" t="s">
        <v>83</v>
      </c>
      <c r="B22" s="17"/>
      <c r="C22" s="18">
        <v>300</v>
      </c>
      <c r="D22" s="18"/>
      <c r="E22" s="18"/>
      <c r="F22" s="18"/>
      <c r="G22" s="18"/>
      <c r="H22" s="18"/>
      <c r="I22" s="18"/>
      <c r="J22" s="18">
        <v>300</v>
      </c>
      <c r="K22" s="19" t="s">
        <v>63</v>
      </c>
    </row>
    <row r="23" spans="1:12" s="16" customFormat="1" x14ac:dyDescent="0.25">
      <c r="A23" s="16" t="s">
        <v>84</v>
      </c>
      <c r="B23" s="20"/>
      <c r="C23" s="16">
        <v>-300</v>
      </c>
      <c r="E23" s="16">
        <v>300</v>
      </c>
      <c r="K23" s="21" t="s">
        <v>85</v>
      </c>
    </row>
    <row r="24" spans="1:12" s="16" customFormat="1" ht="15.75" thickBot="1" x14ac:dyDescent="0.3">
      <c r="A24" s="16" t="s">
        <v>86</v>
      </c>
      <c r="B24" s="22">
        <v>310</v>
      </c>
      <c r="C24" s="23"/>
      <c r="D24" s="23"/>
      <c r="E24" s="23">
        <v>-300</v>
      </c>
      <c r="F24" s="23"/>
      <c r="G24" s="23"/>
      <c r="H24" s="23"/>
      <c r="I24" s="23"/>
      <c r="J24" s="23">
        <v>10</v>
      </c>
      <c r="K24" s="24" t="s">
        <v>87</v>
      </c>
    </row>
    <row r="25" spans="1:12" ht="15.75" thickBot="1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s="16" customFormat="1" x14ac:dyDescent="0.25">
      <c r="A26" s="16" t="s">
        <v>88</v>
      </c>
      <c r="B26" s="17"/>
      <c r="C26" s="18">
        <v>300</v>
      </c>
      <c r="D26" s="18"/>
      <c r="E26" s="18"/>
      <c r="F26" s="18"/>
      <c r="G26" s="18"/>
      <c r="H26" s="18"/>
      <c r="I26" s="18"/>
      <c r="J26" s="18">
        <v>300</v>
      </c>
      <c r="K26" s="19" t="s">
        <v>63</v>
      </c>
    </row>
    <row r="27" spans="1:12" s="16" customFormat="1" x14ac:dyDescent="0.25">
      <c r="A27" s="16" t="s">
        <v>89</v>
      </c>
      <c r="B27" s="20"/>
      <c r="C27" s="16">
        <v>-300</v>
      </c>
      <c r="E27" s="16">
        <v>300</v>
      </c>
      <c r="K27" s="21" t="s">
        <v>85</v>
      </c>
    </row>
    <row r="28" spans="1:12" s="16" customFormat="1" ht="15.75" thickBot="1" x14ac:dyDescent="0.3">
      <c r="A28" s="16" t="s">
        <v>90</v>
      </c>
      <c r="B28" s="22">
        <v>295</v>
      </c>
      <c r="C28" s="23"/>
      <c r="D28" s="23"/>
      <c r="E28" s="23">
        <v>-300</v>
      </c>
      <c r="F28" s="23"/>
      <c r="G28" s="23"/>
      <c r="H28" s="23"/>
      <c r="I28" s="23"/>
      <c r="J28" s="23">
        <v>-5</v>
      </c>
      <c r="K28" s="24" t="s">
        <v>91</v>
      </c>
    </row>
    <row r="29" spans="1:12" s="16" customFormat="1" x14ac:dyDescent="0.25"/>
    <row r="30" spans="1:12" s="16" customFormat="1" x14ac:dyDescent="0.25"/>
    <row r="31" spans="1:12" s="16" customFormat="1" x14ac:dyDescent="0.25"/>
    <row r="32" spans="1:12" s="16" customFormat="1" x14ac:dyDescent="0.25"/>
    <row r="33" s="16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5021-B040-458A-BE6C-8074E6921372}">
  <dimension ref="B2:M26"/>
  <sheetViews>
    <sheetView zoomScale="84" zoomScaleNormal="150" workbookViewId="0">
      <selection activeCell="E28" sqref="E28"/>
    </sheetView>
  </sheetViews>
  <sheetFormatPr defaultRowHeight="15" x14ac:dyDescent="0.25"/>
  <cols>
    <col min="1" max="1" width="3.5703125" customWidth="1"/>
    <col min="2" max="2" width="40.42578125" customWidth="1"/>
    <col min="3" max="3" width="9" customWidth="1"/>
    <col min="4" max="4" width="21.85546875" customWidth="1"/>
    <col min="5" max="5" width="30.7109375" customWidth="1"/>
    <col min="6" max="6" width="8.42578125" customWidth="1"/>
    <col min="7" max="7" width="9.42578125" customWidth="1"/>
    <col min="8" max="8" width="7.5703125" customWidth="1"/>
    <col min="9" max="9" width="7.42578125" customWidth="1"/>
  </cols>
  <sheetData>
    <row r="2" spans="2:13" x14ac:dyDescent="0.25">
      <c r="B2" s="11" t="s">
        <v>92</v>
      </c>
      <c r="D2" t="s">
        <v>93</v>
      </c>
      <c r="E2" s="11" t="s">
        <v>94</v>
      </c>
    </row>
    <row r="3" spans="2:13" ht="30" x14ac:dyDescent="0.25">
      <c r="B3" t="s">
        <v>95</v>
      </c>
      <c r="E3" s="25" t="s">
        <v>96</v>
      </c>
    </row>
    <row r="4" spans="2:13" ht="45" x14ac:dyDescent="0.25">
      <c r="B4" s="25" t="s">
        <v>97</v>
      </c>
      <c r="E4" s="25" t="s">
        <v>98</v>
      </c>
    </row>
    <row r="6" spans="2:13" x14ac:dyDescent="0.25">
      <c r="B6" t="s">
        <v>99</v>
      </c>
      <c r="C6" t="s">
        <v>100</v>
      </c>
      <c r="D6" t="s">
        <v>101</v>
      </c>
      <c r="E6" t="s">
        <v>99</v>
      </c>
    </row>
    <row r="7" spans="2:13" x14ac:dyDescent="0.25">
      <c r="B7" t="s">
        <v>102</v>
      </c>
      <c r="C7" t="s">
        <v>103</v>
      </c>
      <c r="D7" t="s">
        <v>104</v>
      </c>
      <c r="E7" t="s">
        <v>105</v>
      </c>
      <c r="G7" t="s">
        <v>51</v>
      </c>
      <c r="H7" t="s">
        <v>106</v>
      </c>
      <c r="I7" t="s">
        <v>107</v>
      </c>
    </row>
    <row r="8" spans="2:13" x14ac:dyDescent="0.25">
      <c r="B8" t="s">
        <v>108</v>
      </c>
      <c r="C8" t="s">
        <v>109</v>
      </c>
      <c r="D8" t="s">
        <v>110</v>
      </c>
      <c r="E8" t="s">
        <v>111</v>
      </c>
      <c r="F8" t="s">
        <v>56</v>
      </c>
      <c r="G8" t="s">
        <v>57</v>
      </c>
    </row>
    <row r="9" spans="2:13" x14ac:dyDescent="0.25">
      <c r="G9">
        <v>200</v>
      </c>
      <c r="I9">
        <v>200</v>
      </c>
      <c r="J9" t="s">
        <v>112</v>
      </c>
    </row>
    <row r="10" spans="2:13" x14ac:dyDescent="0.25">
      <c r="F10">
        <v>125</v>
      </c>
      <c r="G10">
        <v>-125</v>
      </c>
    </row>
    <row r="11" spans="2:13" x14ac:dyDescent="0.25">
      <c r="E11" s="26" t="s">
        <v>113</v>
      </c>
      <c r="G11" s="11">
        <f>SUM(G9:G10)</f>
        <v>75</v>
      </c>
    </row>
    <row r="12" spans="2:13" x14ac:dyDescent="0.25">
      <c r="E12" s="26"/>
    </row>
    <row r="13" spans="2:13" x14ac:dyDescent="0.25">
      <c r="E13" s="27" t="s">
        <v>114</v>
      </c>
    </row>
    <row r="14" spans="2:13" x14ac:dyDescent="0.25">
      <c r="E14" t="s">
        <v>115</v>
      </c>
      <c r="F14" t="s">
        <v>116</v>
      </c>
    </row>
    <row r="15" spans="2:13" ht="15.75" thickBot="1" x14ac:dyDescent="0.3">
      <c r="E15" s="27" t="s">
        <v>117</v>
      </c>
    </row>
    <row r="16" spans="2:13" x14ac:dyDescent="0.25">
      <c r="E16" s="28" t="s">
        <v>118</v>
      </c>
      <c r="F16" t="s">
        <v>5</v>
      </c>
      <c r="G16" s="29" t="s">
        <v>119</v>
      </c>
      <c r="H16" s="3" t="s">
        <v>120</v>
      </c>
      <c r="I16" s="3" t="s">
        <v>121</v>
      </c>
      <c r="J16" s="3"/>
      <c r="K16" s="3"/>
      <c r="L16" s="3"/>
      <c r="M16" s="4"/>
    </row>
    <row r="17" spans="5:13" x14ac:dyDescent="0.25">
      <c r="E17" t="s">
        <v>122</v>
      </c>
      <c r="F17" t="s">
        <v>123</v>
      </c>
      <c r="G17" s="30" t="s">
        <v>3</v>
      </c>
      <c r="I17" s="10" t="s">
        <v>124</v>
      </c>
      <c r="J17" t="s">
        <v>125</v>
      </c>
      <c r="K17" t="s">
        <v>126</v>
      </c>
      <c r="L17" t="s">
        <v>127</v>
      </c>
      <c r="M17" s="6" t="s">
        <v>128</v>
      </c>
    </row>
    <row r="18" spans="5:13" x14ac:dyDescent="0.25">
      <c r="E18" t="s">
        <v>129</v>
      </c>
      <c r="G18" s="30">
        <v>12000</v>
      </c>
      <c r="H18">
        <v>3000</v>
      </c>
      <c r="I18">
        <v>9000</v>
      </c>
      <c r="M18" s="6"/>
    </row>
    <row r="19" spans="5:13" x14ac:dyDescent="0.25">
      <c r="E19" t="s">
        <v>130</v>
      </c>
      <c r="G19" s="30">
        <v>23000</v>
      </c>
      <c r="K19">
        <v>11000</v>
      </c>
      <c r="L19">
        <v>10000</v>
      </c>
      <c r="M19" s="6">
        <v>2000</v>
      </c>
    </row>
    <row r="20" spans="5:13" x14ac:dyDescent="0.25">
      <c r="E20" t="s">
        <v>131</v>
      </c>
      <c r="G20" s="30">
        <v>35000</v>
      </c>
      <c r="H20">
        <v>8000</v>
      </c>
      <c r="J20">
        <v>27000</v>
      </c>
      <c r="M20" s="6"/>
    </row>
    <row r="21" spans="5:13" x14ac:dyDescent="0.25">
      <c r="G21" s="30"/>
      <c r="M21" s="6"/>
    </row>
    <row r="22" spans="5:13" x14ac:dyDescent="0.25">
      <c r="G22" s="30"/>
      <c r="M22" s="6"/>
    </row>
    <row r="23" spans="5:13" x14ac:dyDescent="0.25">
      <c r="E23" t="s">
        <v>132</v>
      </c>
      <c r="G23" s="30">
        <v>5000</v>
      </c>
      <c r="H23">
        <v>1000</v>
      </c>
      <c r="M23" s="6">
        <v>4000</v>
      </c>
    </row>
    <row r="24" spans="5:13" ht="15.75" thickBot="1" x14ac:dyDescent="0.3">
      <c r="E24" t="s">
        <v>133</v>
      </c>
      <c r="G24" s="31">
        <f>SUM(G18:G23)</f>
        <v>75000</v>
      </c>
      <c r="H24" s="8">
        <f t="shared" ref="H24:M24" si="0">SUM(H18:H23)</f>
        <v>12000</v>
      </c>
      <c r="I24" s="8">
        <f t="shared" si="0"/>
        <v>9000</v>
      </c>
      <c r="J24" s="8">
        <f t="shared" si="0"/>
        <v>27000</v>
      </c>
      <c r="K24" s="8">
        <f t="shared" si="0"/>
        <v>11000</v>
      </c>
      <c r="L24" s="8">
        <f t="shared" si="0"/>
        <v>10000</v>
      </c>
      <c r="M24" s="9">
        <f t="shared" si="0"/>
        <v>6000</v>
      </c>
    </row>
    <row r="25" spans="5:13" x14ac:dyDescent="0.25">
      <c r="E25" t="s">
        <v>134</v>
      </c>
      <c r="H25" s="32">
        <v>0.01</v>
      </c>
      <c r="I25" s="32">
        <v>0.03</v>
      </c>
      <c r="J25" s="32">
        <v>0.1</v>
      </c>
      <c r="K25" s="32">
        <v>0.2</v>
      </c>
      <c r="L25" s="32">
        <v>0.4</v>
      </c>
      <c r="M25" s="32">
        <v>0.7</v>
      </c>
    </row>
    <row r="26" spans="5:13" x14ac:dyDescent="0.25">
      <c r="E26" t="s">
        <v>135</v>
      </c>
      <c r="G26" s="11">
        <f>SUM(H26:M26)</f>
        <v>13490</v>
      </c>
      <c r="H26">
        <f>H24*H25</f>
        <v>120</v>
      </c>
      <c r="I26">
        <f t="shared" ref="I26:M26" si="1">I24*I25</f>
        <v>270</v>
      </c>
      <c r="J26">
        <f t="shared" si="1"/>
        <v>2700</v>
      </c>
      <c r="K26">
        <f t="shared" si="1"/>
        <v>2200</v>
      </c>
      <c r="L26">
        <f t="shared" si="1"/>
        <v>4000</v>
      </c>
      <c r="M26">
        <f t="shared" si="1"/>
        <v>4200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55F2-E53C-44B8-B271-F795483F030A}">
  <dimension ref="A1:T16"/>
  <sheetViews>
    <sheetView zoomScale="128" workbookViewId="0">
      <selection activeCell="F12" sqref="F12:M13"/>
    </sheetView>
  </sheetViews>
  <sheetFormatPr defaultRowHeight="15" x14ac:dyDescent="0.25"/>
  <cols>
    <col min="1" max="1" width="13.28515625" customWidth="1"/>
    <col min="2" max="2" width="11.140625" bestFit="1" customWidth="1"/>
    <col min="4" max="4" width="10.140625" bestFit="1" customWidth="1"/>
    <col min="6" max="6" width="5.42578125" customWidth="1"/>
    <col min="7" max="7" width="10.85546875" bestFit="1" customWidth="1"/>
    <col min="12" max="12" width="8.140625" bestFit="1" customWidth="1"/>
    <col min="13" max="13" width="12.7109375" customWidth="1"/>
    <col min="14" max="14" width="5.140625" customWidth="1"/>
    <col min="15" max="15" width="8" customWidth="1"/>
    <col min="16" max="16" width="14.140625" customWidth="1"/>
  </cols>
  <sheetData>
    <row r="1" spans="1:20" ht="15.75" thickBot="1" x14ac:dyDescent="0.3">
      <c r="F1" s="2"/>
      <c r="G1" s="3"/>
      <c r="H1" s="50" t="s">
        <v>47</v>
      </c>
      <c r="I1" s="51" t="s">
        <v>48</v>
      </c>
      <c r="J1" s="3"/>
      <c r="K1" s="50" t="s">
        <v>49</v>
      </c>
      <c r="L1" s="51" t="s">
        <v>50</v>
      </c>
      <c r="M1" s="4"/>
    </row>
    <row r="2" spans="1:20" x14ac:dyDescent="0.25">
      <c r="B2" t="s">
        <v>133</v>
      </c>
      <c r="F2" s="5"/>
      <c r="I2" t="s">
        <v>157</v>
      </c>
      <c r="J2" t="s">
        <v>54</v>
      </c>
      <c r="K2" t="s">
        <v>106</v>
      </c>
      <c r="L2" t="s">
        <v>107</v>
      </c>
      <c r="M2" s="6"/>
      <c r="O2" s="2"/>
      <c r="P2" s="3" t="s">
        <v>24</v>
      </c>
      <c r="Q2" s="3"/>
      <c r="R2" s="3"/>
      <c r="S2" s="3"/>
      <c r="T2" s="4"/>
    </row>
    <row r="3" spans="1:20" x14ac:dyDescent="0.25">
      <c r="A3" t="s">
        <v>147</v>
      </c>
      <c r="B3" s="38" t="s">
        <v>153</v>
      </c>
      <c r="C3" s="38" t="s">
        <v>151</v>
      </c>
      <c r="D3" s="38" t="s">
        <v>152</v>
      </c>
      <c r="F3" s="5"/>
      <c r="I3" s="38" t="s">
        <v>57</v>
      </c>
      <c r="L3" t="s">
        <v>158</v>
      </c>
      <c r="M3" s="6"/>
      <c r="O3" s="5"/>
      <c r="P3" t="s">
        <v>167</v>
      </c>
      <c r="T3" s="6"/>
    </row>
    <row r="4" spans="1:20" x14ac:dyDescent="0.25">
      <c r="A4" t="s">
        <v>148</v>
      </c>
      <c r="B4" s="39">
        <v>126500</v>
      </c>
      <c r="C4" s="32">
        <v>0.02</v>
      </c>
      <c r="D4" s="39">
        <f>B4*C4</f>
        <v>2530</v>
      </c>
      <c r="F4" s="5"/>
      <c r="G4" t="s">
        <v>161</v>
      </c>
      <c r="H4" t="s">
        <v>159</v>
      </c>
      <c r="I4">
        <v>301100</v>
      </c>
      <c r="M4" s="6"/>
      <c r="O4" s="5" t="s">
        <v>168</v>
      </c>
      <c r="P4" t="s">
        <v>61</v>
      </c>
      <c r="Q4" t="s">
        <v>17</v>
      </c>
      <c r="R4" t="s">
        <v>169</v>
      </c>
      <c r="S4" t="s">
        <v>170</v>
      </c>
      <c r="T4" s="6"/>
    </row>
    <row r="5" spans="1:20" x14ac:dyDescent="0.25">
      <c r="A5" t="s">
        <v>149</v>
      </c>
      <c r="B5" s="39">
        <v>89200</v>
      </c>
      <c r="C5" s="32">
        <v>0.12</v>
      </c>
      <c r="D5" s="39">
        <f t="shared" ref="D5:D7" si="0">B5*C5</f>
        <v>10704</v>
      </c>
      <c r="F5" s="5"/>
      <c r="H5" s="38" t="s">
        <v>160</v>
      </c>
      <c r="I5">
        <v>-28947</v>
      </c>
      <c r="M5" s="6"/>
      <c r="O5" s="47">
        <v>45869</v>
      </c>
      <c r="P5" t="s">
        <v>171</v>
      </c>
      <c r="S5">
        <v>28947</v>
      </c>
      <c r="T5" s="6" t="s">
        <v>5</v>
      </c>
    </row>
    <row r="6" spans="1:20" ht="15.75" thickBot="1" x14ac:dyDescent="0.3">
      <c r="A6" t="s">
        <v>126</v>
      </c>
      <c r="B6" s="39">
        <v>53600</v>
      </c>
      <c r="C6" s="32">
        <v>0.18</v>
      </c>
      <c r="D6" s="39">
        <f t="shared" si="0"/>
        <v>9648</v>
      </c>
      <c r="F6" s="5"/>
      <c r="M6" s="6"/>
      <c r="O6" s="47">
        <v>45869</v>
      </c>
      <c r="P6" t="s">
        <v>77</v>
      </c>
      <c r="R6">
        <v>5065</v>
      </c>
      <c r="S6" s="15">
        <f>S5-Q6+R6</f>
        <v>34012</v>
      </c>
      <c r="T6" s="6" t="s">
        <v>5</v>
      </c>
    </row>
    <row r="7" spans="1:20" ht="15.75" thickBot="1" x14ac:dyDescent="0.3">
      <c r="A7" t="s">
        <v>150</v>
      </c>
      <c r="B7" s="39">
        <v>31800</v>
      </c>
      <c r="C7" s="32">
        <v>0.35</v>
      </c>
      <c r="D7" s="39">
        <f t="shared" si="0"/>
        <v>11130</v>
      </c>
      <c r="F7" s="41" t="s">
        <v>165</v>
      </c>
      <c r="H7" s="42"/>
      <c r="I7" s="43">
        <f>D9*-1</f>
        <v>-5065</v>
      </c>
      <c r="J7" s="42" t="s">
        <v>54</v>
      </c>
      <c r="K7" s="42"/>
      <c r="L7" s="44">
        <f>I7</f>
        <v>-5065</v>
      </c>
      <c r="M7" s="45" t="s">
        <v>77</v>
      </c>
      <c r="O7" s="48">
        <v>45884</v>
      </c>
      <c r="P7" s="8" t="s">
        <v>57</v>
      </c>
      <c r="Q7" s="8">
        <f>I13</f>
        <v>3081</v>
      </c>
      <c r="R7" s="8"/>
      <c r="S7" s="49">
        <f>S6-Q7+R7</f>
        <v>30931</v>
      </c>
      <c r="T7" s="9" t="s">
        <v>5</v>
      </c>
    </row>
    <row r="8" spans="1:20" x14ac:dyDescent="0.25">
      <c r="A8" t="s">
        <v>133</v>
      </c>
      <c r="B8" s="39">
        <f>SUM(B4:B7)</f>
        <v>301100</v>
      </c>
      <c r="D8" s="46">
        <f>SUM(D4:D7)</f>
        <v>34012</v>
      </c>
      <c r="E8" s="15" t="s">
        <v>154</v>
      </c>
      <c r="F8" s="5"/>
      <c r="M8" s="6"/>
    </row>
    <row r="9" spans="1:20" x14ac:dyDescent="0.25">
      <c r="D9" s="40">
        <f>D8-D10</f>
        <v>5065</v>
      </c>
      <c r="E9" t="s">
        <v>156</v>
      </c>
      <c r="F9" s="5"/>
      <c r="G9" t="s">
        <v>164</v>
      </c>
      <c r="H9" t="s">
        <v>159</v>
      </c>
      <c r="I9">
        <f>I4</f>
        <v>301100</v>
      </c>
      <c r="M9" s="6"/>
    </row>
    <row r="10" spans="1:20" x14ac:dyDescent="0.25">
      <c r="D10" s="39">
        <v>28947</v>
      </c>
      <c r="E10" t="s">
        <v>155</v>
      </c>
      <c r="F10" s="5"/>
      <c r="H10" s="38" t="s">
        <v>160</v>
      </c>
      <c r="I10" s="52">
        <f>D8*-1</f>
        <v>-34012</v>
      </c>
      <c r="M10" s="6"/>
    </row>
    <row r="11" spans="1:20" ht="15.75" thickBot="1" x14ac:dyDescent="0.3">
      <c r="F11" s="5"/>
      <c r="M11" s="6"/>
    </row>
    <row r="12" spans="1:20" ht="15.75" thickBot="1" x14ac:dyDescent="0.3">
      <c r="F12" s="41" t="s">
        <v>166</v>
      </c>
      <c r="G12" s="33">
        <v>45884</v>
      </c>
      <c r="H12" t="s">
        <v>57</v>
      </c>
      <c r="I12" s="53">
        <v>-3081</v>
      </c>
      <c r="M12" s="6" t="s">
        <v>162</v>
      </c>
    </row>
    <row r="13" spans="1:20" x14ac:dyDescent="0.25">
      <c r="F13" s="5"/>
      <c r="H13" t="s">
        <v>160</v>
      </c>
      <c r="I13" s="11">
        <v>3081</v>
      </c>
      <c r="M13" s="6"/>
    </row>
    <row r="14" spans="1:20" x14ac:dyDescent="0.25">
      <c r="F14" s="5"/>
      <c r="M14" s="6"/>
    </row>
    <row r="15" spans="1:20" x14ac:dyDescent="0.25">
      <c r="F15" s="5"/>
      <c r="G15" t="s">
        <v>163</v>
      </c>
      <c r="I15">
        <f>I9+I12</f>
        <v>298019</v>
      </c>
      <c r="M15" s="6"/>
    </row>
    <row r="16" spans="1:20" ht="15.75" thickBot="1" x14ac:dyDescent="0.3">
      <c r="F16" s="7"/>
      <c r="G16" s="8"/>
      <c r="H16" s="8" t="s">
        <v>160</v>
      </c>
      <c r="I16" s="54">
        <f>I10+I13</f>
        <v>-30931</v>
      </c>
      <c r="J16" s="8"/>
      <c r="K16" s="8"/>
      <c r="L16" s="8"/>
      <c r="M16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3159-7B4D-48B5-9560-8DAC2F67DAC8}">
  <dimension ref="A2:I18"/>
  <sheetViews>
    <sheetView zoomScale="113" zoomScaleNormal="170" workbookViewId="0">
      <selection activeCell="F30" sqref="F30"/>
    </sheetView>
  </sheetViews>
  <sheetFormatPr defaultRowHeight="15" x14ac:dyDescent="0.25"/>
  <cols>
    <col min="1" max="1" width="11" customWidth="1"/>
    <col min="2" max="2" width="38.42578125" customWidth="1"/>
  </cols>
  <sheetData>
    <row r="2" spans="1:9" x14ac:dyDescent="0.25">
      <c r="B2" t="s">
        <v>136</v>
      </c>
      <c r="E2" t="s">
        <v>4</v>
      </c>
      <c r="G2" t="s">
        <v>5</v>
      </c>
    </row>
    <row r="3" spans="1:9" x14ac:dyDescent="0.25">
      <c r="A3" s="33">
        <v>44926</v>
      </c>
      <c r="B3" t="s">
        <v>137</v>
      </c>
      <c r="C3" s="34">
        <v>40000</v>
      </c>
      <c r="E3" t="s">
        <v>138</v>
      </c>
      <c r="G3" t="s">
        <v>139</v>
      </c>
    </row>
    <row r="4" spans="1:9" x14ac:dyDescent="0.25">
      <c r="B4" t="s">
        <v>140</v>
      </c>
      <c r="C4" s="34">
        <f>C3*4%</f>
        <v>1600</v>
      </c>
      <c r="E4" t="s">
        <v>141</v>
      </c>
      <c r="G4" t="s">
        <v>142</v>
      </c>
    </row>
    <row r="5" spans="1:9" x14ac:dyDescent="0.25">
      <c r="B5" t="s">
        <v>143</v>
      </c>
    </row>
    <row r="7" spans="1:9" ht="15.75" thickBot="1" x14ac:dyDescent="0.3">
      <c r="A7" s="35">
        <v>44926</v>
      </c>
      <c r="B7" t="s">
        <v>144</v>
      </c>
    </row>
    <row r="8" spans="1:9" x14ac:dyDescent="0.25">
      <c r="B8" t="s">
        <v>118</v>
      </c>
      <c r="C8" s="29" t="s">
        <v>119</v>
      </c>
      <c r="D8" s="3" t="s">
        <v>120</v>
      </c>
      <c r="E8" s="3" t="s">
        <v>145</v>
      </c>
      <c r="F8" s="3"/>
      <c r="G8" s="3"/>
      <c r="H8" s="3"/>
      <c r="I8" s="4"/>
    </row>
    <row r="9" spans="1:9" x14ac:dyDescent="0.25">
      <c r="B9" t="s">
        <v>146</v>
      </c>
      <c r="C9" s="30" t="s">
        <v>3</v>
      </c>
      <c r="E9" s="10" t="s">
        <v>124</v>
      </c>
      <c r="F9" t="s">
        <v>125</v>
      </c>
      <c r="G9" t="s">
        <v>126</v>
      </c>
      <c r="H9" t="s">
        <v>127</v>
      </c>
      <c r="I9" s="6" t="s">
        <v>128</v>
      </c>
    </row>
    <row r="10" spans="1:9" x14ac:dyDescent="0.25">
      <c r="B10" t="s">
        <v>129</v>
      </c>
      <c r="C10" s="30">
        <v>4000</v>
      </c>
      <c r="D10">
        <v>3000</v>
      </c>
      <c r="E10">
        <v>1000</v>
      </c>
      <c r="I10" s="6"/>
    </row>
    <row r="11" spans="1:9" x14ac:dyDescent="0.25">
      <c r="B11" t="s">
        <v>130</v>
      </c>
      <c r="C11" s="30">
        <v>600</v>
      </c>
      <c r="G11">
        <v>300</v>
      </c>
      <c r="H11">
        <v>200</v>
      </c>
      <c r="I11" s="6">
        <v>100</v>
      </c>
    </row>
    <row r="12" spans="1:9" x14ac:dyDescent="0.25">
      <c r="B12" t="s">
        <v>131</v>
      </c>
      <c r="C12" s="30">
        <v>1200</v>
      </c>
      <c r="D12">
        <v>800</v>
      </c>
      <c r="F12">
        <v>400</v>
      </c>
      <c r="I12" s="6"/>
    </row>
    <row r="13" spans="1:9" x14ac:dyDescent="0.25">
      <c r="C13" s="30"/>
      <c r="I13" s="6"/>
    </row>
    <row r="14" spans="1:9" x14ac:dyDescent="0.25">
      <c r="C14" s="30"/>
      <c r="I14" s="6"/>
    </row>
    <row r="15" spans="1:9" x14ac:dyDescent="0.25">
      <c r="B15" t="s">
        <v>132</v>
      </c>
      <c r="C15" s="30">
        <v>3120</v>
      </c>
      <c r="D15">
        <v>1000</v>
      </c>
      <c r="I15" s="6">
        <v>2120</v>
      </c>
    </row>
    <row r="16" spans="1:9" ht="15.75" thickBot="1" x14ac:dyDescent="0.3">
      <c r="B16" t="s">
        <v>133</v>
      </c>
      <c r="C16" s="31">
        <f>SUM(C10:C15)</f>
        <v>8920</v>
      </c>
      <c r="D16" s="8">
        <f t="shared" ref="D16:I16" si="0">SUM(D10:D15)</f>
        <v>4800</v>
      </c>
      <c r="E16" s="8">
        <f t="shared" si="0"/>
        <v>1000</v>
      </c>
      <c r="F16" s="8">
        <f t="shared" si="0"/>
        <v>400</v>
      </c>
      <c r="G16" s="8">
        <f t="shared" si="0"/>
        <v>300</v>
      </c>
      <c r="H16" s="8">
        <f t="shared" si="0"/>
        <v>200</v>
      </c>
      <c r="I16" s="9">
        <f t="shared" si="0"/>
        <v>2220</v>
      </c>
    </row>
    <row r="17" spans="2:9" x14ac:dyDescent="0.25">
      <c r="B17" t="s">
        <v>134</v>
      </c>
      <c r="D17" s="32">
        <v>0.01</v>
      </c>
      <c r="E17" s="32">
        <v>0.03</v>
      </c>
      <c r="F17" s="32">
        <v>0.1</v>
      </c>
      <c r="G17" s="32">
        <v>0.2</v>
      </c>
      <c r="H17" s="32">
        <v>0.4</v>
      </c>
      <c r="I17" s="32">
        <v>0.7</v>
      </c>
    </row>
    <row r="18" spans="2:9" x14ac:dyDescent="0.25">
      <c r="B18" t="s">
        <v>135</v>
      </c>
      <c r="C18" s="36">
        <f>SUM(D18:I18)</f>
        <v>1812</v>
      </c>
      <c r="D18" s="16">
        <f>D16*D17</f>
        <v>48</v>
      </c>
      <c r="E18" s="16">
        <f t="shared" ref="E18:I18" si="1">E16*E17</f>
        <v>30</v>
      </c>
      <c r="F18" s="16">
        <f t="shared" si="1"/>
        <v>40</v>
      </c>
      <c r="G18" s="16">
        <f t="shared" si="1"/>
        <v>60</v>
      </c>
      <c r="H18" s="16">
        <f t="shared" si="1"/>
        <v>80</v>
      </c>
      <c r="I18" s="16">
        <f t="shared" si="1"/>
        <v>1554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F0C6-4729-4CDB-86A6-877DD944AB3C}">
  <dimension ref="B1:M48"/>
  <sheetViews>
    <sheetView topLeftCell="A13" zoomScale="145" zoomScaleNormal="145" workbookViewId="0">
      <selection activeCell="G20" sqref="G20"/>
    </sheetView>
  </sheetViews>
  <sheetFormatPr defaultRowHeight="15" x14ac:dyDescent="0.25"/>
  <cols>
    <col min="4" max="4" width="19.85546875" customWidth="1"/>
    <col min="7" max="7" width="27.42578125" customWidth="1"/>
  </cols>
  <sheetData>
    <row r="1" spans="2:13" x14ac:dyDescent="0.25">
      <c r="B1" s="61" t="s">
        <v>214</v>
      </c>
    </row>
    <row r="5" spans="2:13" x14ac:dyDescent="0.25">
      <c r="J5" s="26" t="s">
        <v>172</v>
      </c>
      <c r="M5" s="26"/>
    </row>
    <row r="6" spans="2:13" x14ac:dyDescent="0.25">
      <c r="J6" s="26" t="s">
        <v>174</v>
      </c>
      <c r="M6" s="26"/>
    </row>
    <row r="7" spans="2:13" x14ac:dyDescent="0.25">
      <c r="J7" s="26" t="s">
        <v>173</v>
      </c>
      <c r="M7" s="26"/>
    </row>
    <row r="8" spans="2:13" x14ac:dyDescent="0.25">
      <c r="J8" s="26" t="s">
        <v>175</v>
      </c>
      <c r="M8" s="26"/>
    </row>
    <row r="20" spans="2:12" x14ac:dyDescent="0.25">
      <c r="G20" t="s">
        <v>180</v>
      </c>
    </row>
    <row r="21" spans="2:12" x14ac:dyDescent="0.25">
      <c r="G21" t="s">
        <v>176</v>
      </c>
      <c r="L21" t="s">
        <v>186</v>
      </c>
    </row>
    <row r="22" spans="2:12" x14ac:dyDescent="0.25">
      <c r="C22" s="60" t="s">
        <v>177</v>
      </c>
      <c r="D22" s="60"/>
      <c r="E22" s="60"/>
      <c r="F22" s="60"/>
      <c r="G22" s="60"/>
      <c r="H22" s="60"/>
    </row>
    <row r="23" spans="2:12" x14ac:dyDescent="0.25">
      <c r="B23" t="s">
        <v>192</v>
      </c>
      <c r="C23" t="s">
        <v>178</v>
      </c>
      <c r="D23" t="s">
        <v>179</v>
      </c>
      <c r="E23" t="s">
        <v>3</v>
      </c>
      <c r="F23" t="s">
        <v>178</v>
      </c>
      <c r="G23" t="s">
        <v>179</v>
      </c>
      <c r="H23" t="s">
        <v>3</v>
      </c>
      <c r="L23" t="s">
        <v>187</v>
      </c>
    </row>
    <row r="24" spans="2:12" x14ac:dyDescent="0.25">
      <c r="C24">
        <v>2024</v>
      </c>
      <c r="F24">
        <v>2023</v>
      </c>
      <c r="L24" t="s">
        <v>188</v>
      </c>
    </row>
    <row r="25" spans="2:12" x14ac:dyDescent="0.25">
      <c r="C25" s="56">
        <v>46203</v>
      </c>
      <c r="D25" t="s">
        <v>182</v>
      </c>
      <c r="E25">
        <v>3132</v>
      </c>
      <c r="F25" s="33">
        <v>46204</v>
      </c>
      <c r="G25" t="s">
        <v>181</v>
      </c>
      <c r="H25">
        <v>4464</v>
      </c>
    </row>
    <row r="26" spans="2:12" x14ac:dyDescent="0.25">
      <c r="F26">
        <v>2024</v>
      </c>
      <c r="L26" t="s">
        <v>189</v>
      </c>
    </row>
    <row r="27" spans="2:12" x14ac:dyDescent="0.25">
      <c r="C27" s="33">
        <v>46203</v>
      </c>
      <c r="D27" t="s">
        <v>183</v>
      </c>
      <c r="E27">
        <v>4265</v>
      </c>
      <c r="F27" s="33">
        <v>46203</v>
      </c>
      <c r="G27" t="s">
        <v>185</v>
      </c>
      <c r="H27">
        <v>2933</v>
      </c>
    </row>
    <row r="28" spans="2:12" ht="15.75" thickBot="1" x14ac:dyDescent="0.3">
      <c r="E28" s="57">
        <v>7397</v>
      </c>
      <c r="H28" s="57">
        <v>7397</v>
      </c>
      <c r="L28" t="s">
        <v>190</v>
      </c>
    </row>
    <row r="29" spans="2:12" x14ac:dyDescent="0.25">
      <c r="F29">
        <v>2025</v>
      </c>
      <c r="L29" t="s">
        <v>191</v>
      </c>
    </row>
    <row r="30" spans="2:12" x14ac:dyDescent="0.25">
      <c r="F30" s="33">
        <v>46204</v>
      </c>
      <c r="G30" t="s">
        <v>184</v>
      </c>
      <c r="H30">
        <v>4265</v>
      </c>
    </row>
    <row r="33" spans="2:8" x14ac:dyDescent="0.25">
      <c r="B33" t="s">
        <v>193</v>
      </c>
      <c r="C33" s="58" t="s">
        <v>194</v>
      </c>
      <c r="D33" s="58"/>
      <c r="E33" s="58"/>
      <c r="F33" s="58"/>
      <c r="G33" s="58"/>
      <c r="H33" s="58"/>
    </row>
    <row r="34" spans="2:8" x14ac:dyDescent="0.25">
      <c r="C34" s="58" t="s">
        <v>195</v>
      </c>
      <c r="D34" s="58"/>
      <c r="E34" s="58"/>
      <c r="F34" s="58"/>
      <c r="G34" s="58"/>
      <c r="H34" s="58"/>
    </row>
    <row r="35" spans="2:8" x14ac:dyDescent="0.25">
      <c r="C35" s="58" t="s">
        <v>196</v>
      </c>
      <c r="D35" s="58"/>
      <c r="E35" s="58"/>
      <c r="F35" s="58"/>
      <c r="G35" s="58"/>
      <c r="H35" s="58"/>
    </row>
    <row r="36" spans="2:8" x14ac:dyDescent="0.25">
      <c r="C36" s="58"/>
      <c r="D36" s="58"/>
      <c r="E36" s="58"/>
      <c r="F36" s="58"/>
      <c r="G36" s="58"/>
      <c r="H36" s="38" t="s">
        <v>3</v>
      </c>
    </row>
    <row r="37" spans="2:8" x14ac:dyDescent="0.25">
      <c r="C37" s="59" t="s">
        <v>197</v>
      </c>
      <c r="D37" s="59"/>
      <c r="E37" s="59"/>
      <c r="F37" s="59"/>
      <c r="G37" s="59"/>
    </row>
    <row r="38" spans="2:8" x14ac:dyDescent="0.25">
      <c r="C38" s="59" t="s">
        <v>198</v>
      </c>
      <c r="D38" s="59"/>
      <c r="E38" s="59"/>
      <c r="F38" s="59"/>
      <c r="G38" s="59"/>
      <c r="H38">
        <v>2933</v>
      </c>
    </row>
    <row r="41" spans="2:8" x14ac:dyDescent="0.25">
      <c r="C41" s="58" t="s">
        <v>194</v>
      </c>
      <c r="D41" s="58"/>
      <c r="E41" s="58"/>
      <c r="F41" s="58"/>
      <c r="G41" s="58"/>
      <c r="H41" s="58"/>
    </row>
    <row r="42" spans="2:8" x14ac:dyDescent="0.25">
      <c r="C42" s="58" t="s">
        <v>199</v>
      </c>
      <c r="D42" s="58"/>
      <c r="E42" s="58"/>
      <c r="F42" s="58"/>
      <c r="G42" s="58"/>
      <c r="H42" s="58"/>
    </row>
    <row r="43" spans="2:8" x14ac:dyDescent="0.25">
      <c r="C43" s="58" t="s">
        <v>196</v>
      </c>
      <c r="D43" s="58"/>
      <c r="E43" s="58"/>
      <c r="F43" s="58"/>
      <c r="G43" s="58"/>
      <c r="H43" s="58"/>
    </row>
    <row r="44" spans="2:8" x14ac:dyDescent="0.25">
      <c r="C44" s="58"/>
      <c r="D44" s="58"/>
      <c r="E44" s="58"/>
      <c r="F44" s="58"/>
      <c r="G44" s="58"/>
      <c r="H44" s="38" t="s">
        <v>3</v>
      </c>
    </row>
    <row r="45" spans="2:8" x14ac:dyDescent="0.25">
      <c r="C45" s="59" t="s">
        <v>200</v>
      </c>
      <c r="D45" s="59"/>
      <c r="E45" s="59"/>
      <c r="F45" s="59"/>
      <c r="G45" s="59"/>
    </row>
    <row r="46" spans="2:8" x14ac:dyDescent="0.25">
      <c r="C46" s="59" t="s">
        <v>201</v>
      </c>
      <c r="D46" s="59"/>
      <c r="E46" s="59"/>
      <c r="F46" s="59"/>
      <c r="G46" s="59"/>
      <c r="H46">
        <v>97775</v>
      </c>
    </row>
    <row r="47" spans="2:8" x14ac:dyDescent="0.25">
      <c r="C47" t="s">
        <v>202</v>
      </c>
      <c r="H47">
        <v>4265</v>
      </c>
    </row>
    <row r="48" spans="2:8" ht="15.75" thickBot="1" x14ac:dyDescent="0.3">
      <c r="H48" s="57">
        <v>93510</v>
      </c>
    </row>
  </sheetData>
  <mergeCells count="13">
    <mergeCell ref="C41:H41"/>
    <mergeCell ref="C42:H42"/>
    <mergeCell ref="C43:H43"/>
    <mergeCell ref="C44:G44"/>
    <mergeCell ref="C45:G45"/>
    <mergeCell ref="C46:G46"/>
    <mergeCell ref="C22:H22"/>
    <mergeCell ref="C33:H33"/>
    <mergeCell ref="C34:H34"/>
    <mergeCell ref="C35:H35"/>
    <mergeCell ref="C37:G37"/>
    <mergeCell ref="C38:G38"/>
    <mergeCell ref="C36:G3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9D77-A56C-4B65-95A0-99CD710C6F6F}">
  <dimension ref="B9:M44"/>
  <sheetViews>
    <sheetView tabSelected="1" zoomScale="130" zoomScaleNormal="130" workbookViewId="0">
      <selection activeCell="K19" sqref="K19"/>
    </sheetView>
  </sheetViews>
  <sheetFormatPr defaultRowHeight="15" x14ac:dyDescent="0.25"/>
  <cols>
    <col min="4" max="4" width="21.5703125" customWidth="1"/>
    <col min="7" max="7" width="19.42578125" customWidth="1"/>
  </cols>
  <sheetData>
    <row r="9" spans="11:13" x14ac:dyDescent="0.25">
      <c r="K9">
        <v>6400</v>
      </c>
    </row>
    <row r="10" spans="11:13" x14ac:dyDescent="0.25">
      <c r="K10">
        <v>9070</v>
      </c>
    </row>
    <row r="11" spans="11:13" x14ac:dyDescent="0.25">
      <c r="K11">
        <v>8816</v>
      </c>
    </row>
    <row r="12" spans="11:13" x14ac:dyDescent="0.25">
      <c r="K12">
        <v>11655</v>
      </c>
      <c r="M12" s="62"/>
    </row>
    <row r="13" spans="11:13" ht="15.75" thickBot="1" x14ac:dyDescent="0.3">
      <c r="K13" s="57">
        <f>SUM(K9:K12)</f>
        <v>35941</v>
      </c>
      <c r="M13" s="62"/>
    </row>
    <row r="14" spans="11:13" x14ac:dyDescent="0.25">
      <c r="M14" s="62"/>
    </row>
    <row r="28" spans="2:4" x14ac:dyDescent="0.25">
      <c r="B28" t="s">
        <v>192</v>
      </c>
      <c r="C28" t="s">
        <v>215</v>
      </c>
    </row>
    <row r="29" spans="2:4" x14ac:dyDescent="0.25">
      <c r="C29" t="s">
        <v>216</v>
      </c>
    </row>
    <row r="31" spans="2:4" x14ac:dyDescent="0.25">
      <c r="C31" s="33">
        <v>46234</v>
      </c>
      <c r="D31" t="s">
        <v>217</v>
      </c>
    </row>
    <row r="32" spans="2:4" x14ac:dyDescent="0.25">
      <c r="D32" t="s">
        <v>218</v>
      </c>
    </row>
    <row r="34" spans="2:8" x14ac:dyDescent="0.25">
      <c r="B34" t="s">
        <v>193</v>
      </c>
      <c r="C34" s="33">
        <v>46249</v>
      </c>
      <c r="D34" t="s">
        <v>219</v>
      </c>
    </row>
    <row r="35" spans="2:8" x14ac:dyDescent="0.25">
      <c r="D35" t="s">
        <v>220</v>
      </c>
    </row>
    <row r="38" spans="2:8" x14ac:dyDescent="0.25">
      <c r="B38" t="s">
        <v>207</v>
      </c>
      <c r="C38" s="60" t="s">
        <v>177</v>
      </c>
      <c r="D38" s="60"/>
      <c r="E38" s="60"/>
      <c r="F38" s="60"/>
      <c r="G38" s="60"/>
      <c r="H38" s="60"/>
    </row>
    <row r="39" spans="2:8" x14ac:dyDescent="0.25">
      <c r="C39" t="s">
        <v>178</v>
      </c>
      <c r="D39" t="s">
        <v>179</v>
      </c>
      <c r="E39" t="s">
        <v>3</v>
      </c>
      <c r="F39" t="s">
        <v>178</v>
      </c>
      <c r="G39" t="s">
        <v>179</v>
      </c>
      <c r="H39" t="s">
        <v>3</v>
      </c>
    </row>
    <row r="40" spans="2:8" x14ac:dyDescent="0.25">
      <c r="C40">
        <v>2019</v>
      </c>
      <c r="F40">
        <v>2019</v>
      </c>
    </row>
    <row r="41" spans="2:8" x14ac:dyDescent="0.25">
      <c r="C41" s="56">
        <v>46249</v>
      </c>
      <c r="D41" t="s">
        <v>182</v>
      </c>
      <c r="E41">
        <v>3231</v>
      </c>
      <c r="F41" s="33">
        <v>46234</v>
      </c>
      <c r="G41" t="s">
        <v>181</v>
      </c>
      <c r="H41">
        <v>29397</v>
      </c>
    </row>
    <row r="42" spans="2:8" x14ac:dyDescent="0.25">
      <c r="F42" s="33">
        <v>46234</v>
      </c>
      <c r="G42" t="s">
        <v>185</v>
      </c>
      <c r="H42">
        <v>6544</v>
      </c>
    </row>
    <row r="43" spans="2:8" x14ac:dyDescent="0.25">
      <c r="C43" s="56">
        <v>46249</v>
      </c>
      <c r="D43" t="s">
        <v>183</v>
      </c>
      <c r="E43">
        <v>32710</v>
      </c>
      <c r="F43" s="33"/>
    </row>
    <row r="44" spans="2:8" ht="15.75" thickBot="1" x14ac:dyDescent="0.3">
      <c r="E44" s="57">
        <v>35941</v>
      </c>
      <c r="H44" s="57">
        <v>35941</v>
      </c>
    </row>
  </sheetData>
  <mergeCells count="1">
    <mergeCell ref="C38:H3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9050-310E-42A8-B201-0F3D32AF2DD6}">
  <dimension ref="B24:H42"/>
  <sheetViews>
    <sheetView topLeftCell="A16" zoomScale="130" zoomScaleNormal="130" workbookViewId="0">
      <selection activeCell="C34" sqref="C34:H41"/>
    </sheetView>
  </sheetViews>
  <sheetFormatPr defaultRowHeight="15" x14ac:dyDescent="0.25"/>
  <cols>
    <col min="4" max="4" width="20.140625" customWidth="1"/>
    <col min="6" max="6" width="9.140625" customWidth="1"/>
    <col min="7" max="7" width="24.5703125" customWidth="1"/>
    <col min="8" max="8" width="7.7109375" customWidth="1"/>
  </cols>
  <sheetData>
    <row r="24" spans="2:4" x14ac:dyDescent="0.25">
      <c r="B24" t="s">
        <v>192</v>
      </c>
      <c r="C24" t="s">
        <v>203</v>
      </c>
    </row>
    <row r="25" spans="2:4" x14ac:dyDescent="0.25">
      <c r="C25" t="s">
        <v>204</v>
      </c>
    </row>
    <row r="27" spans="2:4" x14ac:dyDescent="0.25">
      <c r="C27" s="33">
        <v>46234</v>
      </c>
      <c r="D27" t="s">
        <v>205</v>
      </c>
    </row>
    <row r="28" spans="2:4" x14ac:dyDescent="0.25">
      <c r="D28" t="s">
        <v>206</v>
      </c>
    </row>
    <row r="30" spans="2:4" x14ac:dyDescent="0.25">
      <c r="B30" t="s">
        <v>193</v>
      </c>
      <c r="C30" s="33">
        <v>46249</v>
      </c>
      <c r="D30" t="s">
        <v>208</v>
      </c>
    </row>
    <row r="31" spans="2:4" x14ac:dyDescent="0.25">
      <c r="D31" t="s">
        <v>209</v>
      </c>
    </row>
    <row r="34" spans="2:8" x14ac:dyDescent="0.25">
      <c r="B34" t="s">
        <v>207</v>
      </c>
      <c r="C34" s="60" t="s">
        <v>177</v>
      </c>
      <c r="D34" s="60"/>
      <c r="E34" s="60"/>
      <c r="F34" s="60"/>
      <c r="G34" s="60"/>
      <c r="H34" s="60"/>
    </row>
    <row r="35" spans="2:8" x14ac:dyDescent="0.25">
      <c r="C35" t="s">
        <v>178</v>
      </c>
      <c r="D35" t="s">
        <v>179</v>
      </c>
      <c r="E35" t="s">
        <v>3</v>
      </c>
      <c r="F35" t="s">
        <v>178</v>
      </c>
      <c r="G35" t="s">
        <v>179</v>
      </c>
      <c r="H35" t="s">
        <v>3</v>
      </c>
    </row>
    <row r="36" spans="2:8" x14ac:dyDescent="0.25">
      <c r="C36">
        <v>2019</v>
      </c>
      <c r="F36">
        <v>2019</v>
      </c>
    </row>
    <row r="37" spans="2:8" x14ac:dyDescent="0.25">
      <c r="C37" s="56">
        <v>46249</v>
      </c>
      <c r="D37" t="s">
        <v>182</v>
      </c>
      <c r="E37">
        <v>3081</v>
      </c>
      <c r="F37" s="33">
        <v>46234</v>
      </c>
      <c r="G37" t="s">
        <v>181</v>
      </c>
      <c r="H37">
        <v>28947</v>
      </c>
    </row>
    <row r="38" spans="2:8" x14ac:dyDescent="0.25">
      <c r="F38" s="33">
        <v>46234</v>
      </c>
      <c r="G38" t="s">
        <v>185</v>
      </c>
      <c r="H38">
        <v>5065</v>
      </c>
    </row>
    <row r="39" spans="2:8" x14ac:dyDescent="0.25">
      <c r="C39" s="56">
        <v>46249</v>
      </c>
      <c r="D39" t="s">
        <v>183</v>
      </c>
      <c r="E39">
        <v>30931</v>
      </c>
      <c r="F39" s="33"/>
    </row>
    <row r="40" spans="2:8" ht="15.75" thickBot="1" x14ac:dyDescent="0.3">
      <c r="E40" s="57">
        <v>34012</v>
      </c>
      <c r="H40" s="57">
        <v>34012</v>
      </c>
    </row>
    <row r="42" spans="2:8" x14ac:dyDescent="0.25">
      <c r="F42" s="33"/>
    </row>
  </sheetData>
  <mergeCells count="1">
    <mergeCell ref="C34:H3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D087-1C5D-44BA-B7CF-5CA64DEB1719}">
  <dimension ref="B17:C23"/>
  <sheetViews>
    <sheetView zoomScale="145" zoomScaleNormal="145" workbookViewId="0">
      <selection activeCell="H25" sqref="H25"/>
    </sheetView>
  </sheetViews>
  <sheetFormatPr defaultRowHeight="15" x14ac:dyDescent="0.25"/>
  <sheetData>
    <row r="17" spans="2:3" x14ac:dyDescent="0.25">
      <c r="B17" t="s">
        <v>192</v>
      </c>
      <c r="C17" t="s">
        <v>210</v>
      </c>
    </row>
    <row r="20" spans="2:3" x14ac:dyDescent="0.25">
      <c r="B20" t="s">
        <v>193</v>
      </c>
      <c r="C20" t="s">
        <v>211</v>
      </c>
    </row>
    <row r="22" spans="2:3" x14ac:dyDescent="0.25">
      <c r="C22" t="s">
        <v>212</v>
      </c>
    </row>
    <row r="23" spans="2:3" x14ac:dyDescent="0.25">
      <c r="C23" t="s">
        <v>213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System</vt:lpstr>
      <vt:lpstr>System (2)</vt:lpstr>
      <vt:lpstr>Key Concept</vt:lpstr>
      <vt:lpstr>Ex1</vt:lpstr>
      <vt:lpstr>LE</vt:lpstr>
      <vt:lpstr>Ex2</vt:lpstr>
      <vt:lpstr>12.2 A</vt:lpstr>
      <vt:lpstr>12.1 A</vt:lpstr>
      <vt:lpstr>214 A</vt:lpstr>
      <vt:lpstr>212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Manek</dc:creator>
  <cp:lastModifiedBy>Joseph Koh</cp:lastModifiedBy>
  <dcterms:created xsi:type="dcterms:W3CDTF">2022-05-23T07:38:23Z</dcterms:created>
  <dcterms:modified xsi:type="dcterms:W3CDTF">2026-05-15T13:32:34Z</dcterms:modified>
</cp:coreProperties>
</file>