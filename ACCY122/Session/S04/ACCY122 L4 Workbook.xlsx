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\Desktop\SIM-UOW-Mods\ACCY122\Session\S04\"/>
    </mc:Choice>
  </mc:AlternateContent>
  <xr:revisionPtr revIDLastSave="0" documentId="13_ncr:1_{4B9DF03C-3710-416F-9498-000A180BBFEC}" xr6:coauthVersionLast="47" xr6:coauthVersionMax="47" xr10:uidLastSave="{00000000-0000-0000-0000-000000000000}"/>
  <bookViews>
    <workbookView xWindow="-120" yWindow="-120" windowWidth="29040" windowHeight="15720" activeTab="11" xr2:uid="{49300C88-9C68-40D1-BFDB-69B44FEEA068}"/>
  </bookViews>
  <sheets>
    <sheet name="System" sheetId="1" r:id="rId1"/>
    <sheet name="System (2)" sheetId="2" r:id="rId2"/>
    <sheet name="5.1Q" sheetId="9" r:id="rId3"/>
    <sheet name="P5.1Q" sheetId="3" r:id="rId4"/>
    <sheet name="P5.4Q" sheetId="6" r:id="rId5"/>
    <sheet name="ANSWER" sheetId="4" r:id="rId6"/>
    <sheet name="5.1A" sheetId="8" r:id="rId7"/>
    <sheet name="P5.1 Answer" sheetId="5" r:id="rId8"/>
    <sheet name="P5.5" sheetId="7" r:id="rId9"/>
    <sheet name="4.12 A" sheetId="10" r:id="rId10"/>
    <sheet name="5.3 A" sheetId="11" r:id="rId11"/>
    <sheet name="ex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4" i="12" l="1"/>
  <c r="Y49" i="12"/>
  <c r="Y27" i="12"/>
  <c r="Y18" i="12"/>
  <c r="X18" i="12"/>
  <c r="T23" i="12"/>
  <c r="U23" i="12"/>
  <c r="S23" i="12"/>
  <c r="Q21" i="12"/>
  <c r="P21" i="12"/>
  <c r="O21" i="12"/>
  <c r="N21" i="12"/>
  <c r="M17" i="12"/>
  <c r="L17" i="12"/>
  <c r="F48" i="11"/>
  <c r="E48" i="11"/>
  <c r="M24" i="10"/>
  <c r="L24" i="10"/>
  <c r="K41" i="11"/>
  <c r="AJ34" i="11"/>
  <c r="AJ23" i="11"/>
  <c r="AJ27" i="11" s="1"/>
  <c r="AJ13" i="11"/>
  <c r="AJ19" i="11" s="1"/>
  <c r="AJ29" i="11" s="1"/>
  <c r="AF12" i="11"/>
  <c r="AA21" i="11"/>
  <c r="AB21" i="11"/>
  <c r="W24" i="11"/>
  <c r="W26" i="11" s="1"/>
  <c r="V24" i="11"/>
  <c r="U24" i="11"/>
  <c r="T24" i="11"/>
  <c r="T26" i="11" s="1"/>
  <c r="S24" i="11"/>
  <c r="R24" i="11"/>
  <c r="Q24" i="11"/>
  <c r="P24" i="11"/>
  <c r="O20" i="11"/>
  <c r="N20" i="11"/>
  <c r="O36" i="6"/>
  <c r="P36" i="6"/>
  <c r="L33" i="6"/>
  <c r="I36" i="6"/>
  <c r="J36" i="6"/>
  <c r="G36" i="6"/>
  <c r="F36" i="6"/>
  <c r="D76" i="6"/>
  <c r="C76" i="6"/>
  <c r="L33" i="7"/>
  <c r="K33" i="7"/>
  <c r="K31" i="7"/>
  <c r="L31" i="7"/>
  <c r="J33" i="7"/>
  <c r="I33" i="7"/>
  <c r="I31" i="7"/>
  <c r="J31" i="7"/>
  <c r="H31" i="7"/>
  <c r="G31" i="7"/>
  <c r="F31" i="7"/>
  <c r="E31" i="7"/>
  <c r="C23" i="7"/>
  <c r="B23" i="7"/>
  <c r="D36" i="6"/>
  <c r="C36" i="6"/>
  <c r="P74" i="3"/>
  <c r="O74" i="3"/>
  <c r="M74" i="3"/>
  <c r="L74" i="3"/>
  <c r="D74" i="3"/>
  <c r="C74" i="3"/>
  <c r="P72" i="3"/>
  <c r="J71" i="3"/>
  <c r="J70" i="3"/>
  <c r="J69" i="3"/>
  <c r="J68" i="3"/>
  <c r="I67" i="3"/>
  <c r="I66" i="3"/>
  <c r="I65" i="3"/>
  <c r="I63" i="3"/>
  <c r="I62" i="3"/>
  <c r="I61" i="3"/>
  <c r="I60" i="3"/>
  <c r="I59" i="3"/>
  <c r="I58" i="3"/>
  <c r="I57" i="3"/>
  <c r="J56" i="3"/>
  <c r="I55" i="3"/>
  <c r="J54" i="3"/>
  <c r="J53" i="3"/>
  <c r="J52" i="3"/>
  <c r="I51" i="3"/>
  <c r="I50" i="3"/>
  <c r="I49" i="3"/>
  <c r="I48" i="3"/>
  <c r="I74" i="3" s="1"/>
  <c r="E4" i="8"/>
  <c r="J74" i="3" l="1"/>
  <c r="U27" i="3"/>
  <c r="U23" i="3"/>
  <c r="T22" i="3"/>
  <c r="S22" i="3"/>
  <c r="T10" i="3"/>
  <c r="U7" i="3"/>
  <c r="T6" i="3"/>
  <c r="P29" i="3"/>
  <c r="P31" i="3" s="1"/>
  <c r="O31" i="3"/>
  <c r="M31" i="3"/>
  <c r="L31" i="3"/>
  <c r="L32" i="3" s="1"/>
  <c r="J26" i="3"/>
  <c r="J27" i="3"/>
  <c r="J28" i="3"/>
  <c r="J25" i="3"/>
  <c r="J13" i="3"/>
  <c r="J10" i="3"/>
  <c r="J11" i="3"/>
  <c r="J9" i="3"/>
  <c r="I23" i="3"/>
  <c r="I24" i="3"/>
  <c r="I22" i="3"/>
  <c r="I15" i="3"/>
  <c r="I16" i="3"/>
  <c r="I17" i="3"/>
  <c r="I18" i="3"/>
  <c r="I19" i="3"/>
  <c r="I20" i="3"/>
  <c r="I14" i="3"/>
  <c r="I12" i="3"/>
  <c r="I6" i="3"/>
  <c r="I7" i="3"/>
  <c r="I8" i="3"/>
  <c r="I5" i="3"/>
  <c r="G31" i="3"/>
  <c r="F31" i="3"/>
  <c r="L32" i="5"/>
  <c r="K32" i="5"/>
  <c r="J32" i="5"/>
  <c r="I32" i="5"/>
  <c r="F32" i="5"/>
  <c r="G32" i="5"/>
  <c r="H32" i="5"/>
  <c r="E32" i="5"/>
  <c r="D31" i="3"/>
  <c r="C31" i="3"/>
  <c r="I31" i="3" l="1"/>
  <c r="J3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tc={BB583F4E-C610-4749-8F69-7BBCCF1CC978}</author>
    <author>tc={D5A623B3-D662-4FAD-B7DC-B39312AD72BF}</author>
  </authors>
  <commentList>
    <comment ref="G4" authorId="0" shapeId="0" xr:uid="{BB583F4E-C610-4749-8F69-7BBCCF1CC978}">
      <text>
        <t>[Threaded comment]
Your version of Excel allows you to read this threaded comment; however, any edits to it will get removed if the file is opened in a newer version of Excel. Learn more: https://go.microsoft.com/fwlink/?linkid=870924
Comment:
    BDA = Balanced Day Adjustments 
Accrual, prepayment, depreciation, bad debt exp etc.</t>
      </text>
    </comment>
    <comment ref="H4" authorId="1" shapeId="0" xr:uid="{D5A623B3-D662-4FAD-B7DC-B39312AD72BF}">
      <text>
        <t>[Threaded comment]
Your version of Excel allows you to read this threaded comment; however, any edits to it will get removed if the file is opened in a newer version of Excel. Learn more: https://go.microsoft.com/fwlink/?linkid=870924
Comment:
    At end of accounting year; Close books for current year and prepare for next year.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tc={5E6F0BD9-910C-3F4C-936F-7857EBDF45EA}</author>
    <author>tc={71876D82-1589-504B-B11D-5D75376CA001}</author>
    <author>tc={2CB53C99-BE85-0445-8EC8-5631CA238D88}</author>
    <author>tc={422ADACF-04A8-654A-96A7-E4089914C09C}</author>
  </authors>
  <commentList>
    <comment ref="O19" authorId="0" shapeId="0" xr:uid="{5E6F0BD9-910C-3F4C-936F-7857EBDF45EA}">
      <text>
        <t>[Threaded comment]
Your version of Excel allows you to read this threaded comment; however, any edits to it will get removed if the file is opened in a newer version of Excel. Learn more: https://go.microsoft.com/fwlink/?linkid=870924
Comment:
    Drawings</t>
      </text>
    </comment>
    <comment ref="M20" authorId="1" shapeId="0" xr:uid="{71876D82-1589-504B-B11D-5D75376CA001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Revenue</t>
      </text>
    </comment>
    <comment ref="L33" authorId="2" shapeId="0" xr:uid="{2CB53C99-BE85-0445-8EC8-5631CA238D88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Expense</t>
      </text>
    </comment>
    <comment ref="P34" authorId="3" shapeId="0" xr:uid="{422ADACF-04A8-654A-96A7-E4089914C0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Profit &amp; Loss</t>
      </text>
    </comment>
  </commentList>
</comments>
</file>

<file path=xl/sharedStrings.xml><?xml version="1.0" encoding="utf-8"?>
<sst xmlns="http://schemas.openxmlformats.org/spreadsheetml/2006/main" count="886" uniqueCount="352">
  <si>
    <t>Balanced Day Adjustments</t>
  </si>
  <si>
    <t>Chapter 5</t>
  </si>
  <si>
    <t>Frequency</t>
  </si>
  <si>
    <t>Chapter 4</t>
  </si>
  <si>
    <t>Objective</t>
  </si>
  <si>
    <t>CLOSING ENTRIES</t>
  </si>
  <si>
    <t>INPUT</t>
  </si>
  <si>
    <t>Transactions</t>
  </si>
  <si>
    <t>Daily</t>
  </si>
  <si>
    <t>BDA</t>
  </si>
  <si>
    <t>Closing Entries</t>
  </si>
  <si>
    <t>↓</t>
  </si>
  <si>
    <t>$ Debit</t>
  </si>
  <si>
    <t>Credit $</t>
  </si>
  <si>
    <t>PROCESS</t>
  </si>
  <si>
    <t>JOURNAL</t>
  </si>
  <si>
    <t>1,2,3,4</t>
  </si>
  <si>
    <t>Reset revenue to 0</t>
  </si>
  <si>
    <t>Revenue</t>
  </si>
  <si>
    <t>$</t>
  </si>
  <si>
    <t>Income Summary</t>
  </si>
  <si>
    <t>LEDGER</t>
  </si>
  <si>
    <t>To reset revenue to 0</t>
  </si>
  <si>
    <t>TRIAL BALANCE</t>
  </si>
  <si>
    <t>Month end</t>
  </si>
  <si>
    <t>Year end</t>
  </si>
  <si>
    <t>Reset expense to 0</t>
  </si>
  <si>
    <t>Unadjusted</t>
  </si>
  <si>
    <t>Adjusted</t>
  </si>
  <si>
    <t>Post closing</t>
  </si>
  <si>
    <t xml:space="preserve">Expense </t>
  </si>
  <si>
    <t>To reset expense to 0</t>
  </si>
  <si>
    <t>OUTPUT</t>
  </si>
  <si>
    <t>Financial Statements</t>
  </si>
  <si>
    <t>Open accounts for next year</t>
  </si>
  <si>
    <t>Transfer Profit to retained earning or capital</t>
  </si>
  <si>
    <t>Capital / Retained Earning</t>
  </si>
  <si>
    <t>(Transfer profit)</t>
  </si>
  <si>
    <t>Transfer drawings to capital</t>
  </si>
  <si>
    <t>Capital</t>
  </si>
  <si>
    <t>Drawings</t>
  </si>
  <si>
    <t>To reset drawing to 0</t>
  </si>
  <si>
    <t>SECRETARIAL SERVICES</t>
  </si>
  <si>
    <t>Unadjusted Trial Balance</t>
  </si>
  <si>
    <t>as at 31 December 2017</t>
  </si>
  <si>
    <t>Debit</t>
  </si>
  <si>
    <t>Credit</t>
  </si>
  <si>
    <t>Cash at bank</t>
  </si>
  <si>
    <t>Office supplies</t>
  </si>
  <si>
    <t>Prepaid insurance</t>
  </si>
  <si>
    <t>Office equipment</t>
  </si>
  <si>
    <t>Accumulated depreciation – office equipment</t>
  </si>
  <si>
    <t>V. Prim, Capital</t>
  </si>
  <si>
    <t>V. Prim, Drawings</t>
  </si>
  <si>
    <t>Secretarial services revenue</t>
  </si>
  <si>
    <t>Salaries expense</t>
  </si>
  <si>
    <t>Advertising expense</t>
  </si>
  <si>
    <t>Repairs expense</t>
  </si>
  <si>
    <t>Sundry expense</t>
  </si>
  <si>
    <t>Electricity expense</t>
  </si>
  <si>
    <t>Telephone expense</t>
  </si>
  <si>
    <t>Interest on bank loan expense</t>
  </si>
  <si>
    <t>            </t>
  </si>
  <si>
    <t>Trial Balance</t>
  </si>
  <si>
    <t>Adjustments</t>
  </si>
  <si>
    <t>Income</t>
  </si>
  <si>
    <t>Statement</t>
  </si>
  <si>
    <t>Balance sheet</t>
  </si>
  <si>
    <t>Total</t>
  </si>
  <si>
    <t>Office Supp. Expense</t>
  </si>
  <si>
    <t>Insurance Expense</t>
  </si>
  <si>
    <t>Depr. Exp. – Office equip.</t>
  </si>
  <si>
    <t>Salaries Payable</t>
  </si>
  <si>
    <t>Electricity Payable</t>
  </si>
  <si>
    <t>Telephone Payable</t>
  </si>
  <si>
    <t>Interest Payable</t>
  </si>
  <si>
    <t>Account title</t>
  </si>
  <si>
    <t>Cash at Bank</t>
  </si>
  <si>
    <t>Office Supplies</t>
  </si>
  <si>
    <t>Prepaid Insurance</t>
  </si>
  <si>
    <t>Office Equipment</t>
  </si>
  <si>
    <t>Acc. Depr.– Office Equip.</t>
  </si>
  <si>
    <t>Bank Loan Payable</t>
  </si>
  <si>
    <t>Secretarial Services Rev.</t>
  </si>
  <si>
    <t>Salaries Expense</t>
  </si>
  <si>
    <t>Advertising Expense</t>
  </si>
  <si>
    <t>Repairs Expense</t>
  </si>
  <si>
    <t>Sundry Expense</t>
  </si>
  <si>
    <t>Electricity Expense</t>
  </si>
  <si>
    <t>Telephone Expense</t>
  </si>
  <si>
    <t>Interest Expense</t>
  </si>
  <si>
    <t>Profit for the period</t>
  </si>
  <si>
    <t>Sub total</t>
  </si>
  <si>
    <t>Ref</t>
  </si>
  <si>
    <t>Account</t>
  </si>
  <si>
    <t>Accounts Receivable</t>
  </si>
  <si>
    <t>GST Receivable</t>
  </si>
  <si>
    <t>Land</t>
  </si>
  <si>
    <t>Building</t>
  </si>
  <si>
    <t>Accounts Payable</t>
  </si>
  <si>
    <t>Unearned Consulting Fees</t>
  </si>
  <si>
    <t>GST Payable</t>
  </si>
  <si>
    <t>Mortgage Payable</t>
  </si>
  <si>
    <t>C. Delaney, Capital</t>
  </si>
  <si>
    <t>C. Delaney, Drawings</t>
  </si>
  <si>
    <t>Consulting Fees Revenue</t>
  </si>
  <si>
    <t>Telecommunications Expense</t>
  </si>
  <si>
    <t>Problem 5.4</t>
  </si>
  <si>
    <t>Office Supplies Expense</t>
  </si>
  <si>
    <t>Depr. Exp. Building</t>
  </si>
  <si>
    <t>Depr. Exp. – Office Equip.</t>
  </si>
  <si>
    <t>Telecomm. Expense Payable</t>
  </si>
  <si>
    <t>Profit for the year</t>
  </si>
  <si>
    <t>2 060</t>
  </si>
  <si>
    <t>BS, IS</t>
  </si>
  <si>
    <t>Transition to</t>
  </si>
  <si>
    <t>BDA, Adjustments</t>
  </si>
  <si>
    <t>A</t>
  </si>
  <si>
    <t>R</t>
  </si>
  <si>
    <t>C</t>
  </si>
  <si>
    <t>E</t>
  </si>
  <si>
    <t>L</t>
  </si>
  <si>
    <t>(A)</t>
  </si>
  <si>
    <t>Bank loan payable</t>
  </si>
  <si>
    <t xml:space="preserve"> ( C)</t>
  </si>
  <si>
    <t>Net Profit (Bal Fig)</t>
  </si>
  <si>
    <t>Date</t>
  </si>
  <si>
    <t>Details</t>
  </si>
  <si>
    <t>$ Dr</t>
  </si>
  <si>
    <t>$ Cr</t>
  </si>
  <si>
    <t>31.12.2017</t>
  </si>
  <si>
    <t>Interest expense</t>
  </si>
  <si>
    <t>Net income transfer to RP</t>
  </si>
  <si>
    <t>Retained Profit, Capital</t>
  </si>
  <si>
    <t>Reset drawing to 0</t>
  </si>
  <si>
    <t>Acc Depreciation – Building</t>
  </si>
  <si>
    <t>Acc Depreciation – O Equip</t>
  </si>
  <si>
    <t>Debit $</t>
  </si>
  <si>
    <t>Account 2</t>
  </si>
  <si>
    <t>Account 1</t>
  </si>
  <si>
    <t>CLEAR</t>
  </si>
  <si>
    <t>Dr Cr</t>
  </si>
  <si>
    <t>↓↑</t>
  </si>
  <si>
    <t>2,3</t>
  </si>
  <si>
    <t>OS Exp</t>
  </si>
  <si>
    <t>O Suplies</t>
  </si>
  <si>
    <t>E↑</t>
  </si>
  <si>
    <t>A↓</t>
  </si>
  <si>
    <t>Asset, Exp</t>
  </si>
  <si>
    <t>Liab, Rev Cap</t>
  </si>
  <si>
    <t>↑</t>
  </si>
  <si>
    <t>O S Expense</t>
  </si>
  <si>
    <t>O Supplies</t>
  </si>
  <si>
    <t>working</t>
  </si>
  <si>
    <t>(O Supplies used up)</t>
  </si>
  <si>
    <t>Ins Exp</t>
  </si>
  <si>
    <t>Prepaid Ins</t>
  </si>
  <si>
    <t>Insurance Exp</t>
  </si>
  <si>
    <t>(Insurance expired)</t>
  </si>
  <si>
    <t>O Equip</t>
  </si>
  <si>
    <t>Dep Exp</t>
  </si>
  <si>
    <t>Cr</t>
  </si>
  <si>
    <t>Dr</t>
  </si>
  <si>
    <t>Dep exp on O Equip</t>
  </si>
  <si>
    <t>Salary Exp</t>
  </si>
  <si>
    <t>Salary Payable</t>
  </si>
  <si>
    <t>L↑</t>
  </si>
  <si>
    <t>(Accrued salary exp)</t>
  </si>
  <si>
    <t>Elect Exp</t>
  </si>
  <si>
    <t>Elec Payable</t>
  </si>
  <si>
    <t>Elect exp</t>
  </si>
  <si>
    <t>Elect Payable</t>
  </si>
  <si>
    <t>(Accrued elect exp)</t>
  </si>
  <si>
    <t>Tel Exp</t>
  </si>
  <si>
    <t>Tel Payable</t>
  </si>
  <si>
    <t>(Accrued Tel exp)</t>
  </si>
  <si>
    <t>Int Exp</t>
  </si>
  <si>
    <t>Int Payable</t>
  </si>
  <si>
    <t>Practice</t>
  </si>
  <si>
    <t xml:space="preserve">PRACTICE </t>
  </si>
  <si>
    <t>Acc. Depn – Building</t>
  </si>
  <si>
    <t>Equipment</t>
  </si>
  <si>
    <t>Acc. Depr. – Equipment</t>
  </si>
  <si>
    <t>P. Oodle, Capital</t>
  </si>
  <si>
    <t>P. Oodle, Drawings</t>
  </si>
  <si>
    <t>Fees Earned</t>
  </si>
  <si>
    <t>Rent Revenue</t>
  </si>
  <si>
    <t>Depr. Exp – Building</t>
  </si>
  <si>
    <t>Depr. Exp. – Equipment</t>
  </si>
  <si>
    <t>Rates Payable</t>
  </si>
  <si>
    <t>Unearned Fees</t>
  </si>
  <si>
    <t>Rates Expense</t>
  </si>
  <si>
    <t>4)</t>
  </si>
  <si>
    <t>6)</t>
  </si>
  <si>
    <t>5)</t>
  </si>
  <si>
    <t>2)</t>
  </si>
  <si>
    <t>REF</t>
  </si>
  <si>
    <t>3)</t>
  </si>
  <si>
    <t>1)</t>
  </si>
  <si>
    <t>ref 3 - the service has not yet been provided at the time of receiving the payment</t>
  </si>
  <si>
    <r>
      <t xml:space="preserve">it cannot be recorded as “Fees Earned” yet, it is recorded as a </t>
    </r>
    <r>
      <rPr>
        <b/>
        <sz val="11"/>
        <color rgb="FFFF0000"/>
        <rFont val="Aptos Narrow"/>
        <family val="2"/>
        <scheme val="minor"/>
      </rPr>
      <t>liability</t>
    </r>
    <r>
      <rPr>
        <sz val="11"/>
        <color rgb="FFFF0000"/>
        <rFont val="Aptos Narrow"/>
        <family val="2"/>
        <scheme val="minor"/>
      </rPr>
      <t xml:space="preserve"> called </t>
    </r>
    <r>
      <rPr>
        <b/>
        <sz val="11"/>
        <color rgb="FFFF0000"/>
        <rFont val="Aptos Narrow"/>
        <family val="2"/>
        <scheme val="minor"/>
      </rPr>
      <t>unearned fees</t>
    </r>
  </si>
  <si>
    <t>ref 4 - there is nothing to adjust for the princiapl since it hasnt been paid only if it says it is paid but not recorded</t>
  </si>
  <si>
    <t xml:space="preserve">Dr Mortgage Payable  </t>
  </si>
  <si>
    <t xml:space="preserve">Cr Cash  </t>
  </si>
  <si>
    <t>and if such scenario then additional</t>
  </si>
  <si>
    <t>Income Statement</t>
  </si>
  <si>
    <t>in bal sheet, we don’t put expense</t>
  </si>
  <si>
    <t>only asset, liability, ending capital</t>
  </si>
  <si>
    <t>income statement and bal sheet no dr/cr</t>
  </si>
  <si>
    <t>EXP</t>
  </si>
  <si>
    <t>REV</t>
  </si>
  <si>
    <t>are closing entries</t>
  </si>
  <si>
    <t xml:space="preserve">ANSWER </t>
  </si>
  <si>
    <t>4 STEPS TO CLOSE ENTRIES</t>
  </si>
  <si>
    <t>1. Reset Revenue Account to 0</t>
  </si>
  <si>
    <t>2. Reset Expense Account to 0</t>
  </si>
  <si>
    <t>3. Transfer Profit/Loss to Capital Account</t>
  </si>
  <si>
    <t>4. Close Drawings</t>
  </si>
  <si>
    <t>Note:</t>
  </si>
  <si>
    <t>General Journal</t>
  </si>
  <si>
    <t>DR ($)</t>
  </si>
  <si>
    <t>CR ($)</t>
  </si>
  <si>
    <t xml:space="preserve">Profit &amp; Loss Summary </t>
  </si>
  <si>
    <t>158 060</t>
  </si>
  <si>
    <t>(Close revenue accounts)</t>
  </si>
  <si>
    <t>Depreciation Expense – Building </t>
  </si>
  <si>
    <t>Depreciation Expense – Office Equipment </t>
  </si>
  <si>
    <t>8 760</t>
  </si>
  <si>
    <t>2 140</t>
  </si>
  <si>
    <t>88 920</t>
  </si>
  <si>
    <t>2 310</t>
  </si>
  <si>
    <t>(Close expense accounts)</t>
  </si>
  <si>
    <t>(Transfer P/L to Capital)</t>
  </si>
  <si>
    <t>52 780</t>
  </si>
  <si>
    <t>(Close drawings account)</t>
  </si>
  <si>
    <t>now P/L summary account becomes 0</t>
  </si>
  <si>
    <t xml:space="preserve">The Profit or Loss Summary account is a temporary account used at </t>
  </si>
  <si>
    <t>the end of an accounting period to close revenue and expense accounts</t>
  </si>
  <si>
    <t>Profit → Credit balance in P&amp;L Summary</t>
  </si>
  <si>
    <t>Loss → Debit balance in P&amp;L Summary</t>
  </si>
  <si>
    <t>ref 4 - the owner bought insurance but never record</t>
  </si>
  <si>
    <t>but on 30 jun - need record but 3mths alr passed so</t>
  </si>
  <si>
    <t>left 9mths worth of insurance</t>
  </si>
  <si>
    <t xml:space="preserve">ref 5 - mortagage payment not paid so no need to record </t>
  </si>
  <si>
    <t>only record interest</t>
  </si>
  <si>
    <t>ref 6 - telecom bill owed on credit</t>
  </si>
  <si>
    <t>insurance expense</t>
  </si>
  <si>
    <t>prepaid insurance</t>
  </si>
  <si>
    <t>(3 mths of insurance expired (4500/12)x3 = 1125)</t>
  </si>
  <si>
    <t xml:space="preserve">supplies expense </t>
  </si>
  <si>
    <t xml:space="preserve">supplies  </t>
  </si>
  <si>
    <t>(supplies used up 720-430=290)</t>
  </si>
  <si>
    <t>accumulated dep - shop shelving</t>
  </si>
  <si>
    <t>depreciation expense</t>
  </si>
  <si>
    <t>salaries expense</t>
  </si>
  <si>
    <t>cash at bank</t>
  </si>
  <si>
    <t>(dep accumulated ((24k-2k)/10)/2 = 1.1k)</t>
  </si>
  <si>
    <t>salaries payable</t>
  </si>
  <si>
    <t>(1mth earned from rental fees 4.8k/4=1.2k)</t>
  </si>
  <si>
    <t>unearned rental fees</t>
  </si>
  <si>
    <t>rental fees revenue</t>
  </si>
  <si>
    <t>(accrued salaries)</t>
  </si>
  <si>
    <t>a)</t>
  </si>
  <si>
    <t>account title</t>
  </si>
  <si>
    <t>DR</t>
  </si>
  <si>
    <t>CR</t>
  </si>
  <si>
    <t>Unadjusted trial bal</t>
  </si>
  <si>
    <t>adjustments</t>
  </si>
  <si>
    <t>adjusted trial bal</t>
  </si>
  <si>
    <t>income statement</t>
  </si>
  <si>
    <t>bal sheet</t>
  </si>
  <si>
    <t>accounts receivable</t>
  </si>
  <si>
    <t>equipment</t>
  </si>
  <si>
    <t>accounts payable</t>
  </si>
  <si>
    <t>heather harris - capital</t>
  </si>
  <si>
    <t>heather harris - drawings</t>
  </si>
  <si>
    <t>service revenue</t>
  </si>
  <si>
    <t>wages exp</t>
  </si>
  <si>
    <t>electricity exp</t>
  </si>
  <si>
    <t>sundry exp</t>
  </si>
  <si>
    <t>accum dep - equip</t>
  </si>
  <si>
    <t>c)</t>
  </si>
  <si>
    <t>date</t>
  </si>
  <si>
    <t>details</t>
  </si>
  <si>
    <t>(accrued wages)</t>
  </si>
  <si>
    <t>insurance exp</t>
  </si>
  <si>
    <t>(expired insurance)</t>
  </si>
  <si>
    <t>dep exp</t>
  </si>
  <si>
    <t>(dep on equip)</t>
  </si>
  <si>
    <t>wages payable</t>
  </si>
  <si>
    <t>dep exp - equip</t>
  </si>
  <si>
    <t>profit/loss</t>
  </si>
  <si>
    <r>
      <t xml:space="preserve">in income statement - only </t>
    </r>
    <r>
      <rPr>
        <b/>
        <sz val="11"/>
        <color rgb="FFFF0000"/>
        <rFont val="Aptos Narrow"/>
        <family val="2"/>
        <scheme val="minor"/>
      </rPr>
      <t>include</t>
    </r>
    <r>
      <rPr>
        <sz val="11"/>
        <color rgb="FFFF0000"/>
        <rFont val="Aptos Narrow"/>
        <family val="2"/>
        <scheme val="minor"/>
      </rPr>
      <t xml:space="preserve"> revenue and expense</t>
    </r>
  </si>
  <si>
    <r>
      <t xml:space="preserve">in bal sheet - </t>
    </r>
    <r>
      <rPr>
        <b/>
        <sz val="11"/>
        <color rgb="FFFF0000"/>
        <rFont val="Aptos Narrow"/>
        <family val="2"/>
        <scheme val="minor"/>
      </rPr>
      <t>exclude</t>
    </r>
    <r>
      <rPr>
        <sz val="11"/>
        <color rgb="FFFF0000"/>
        <rFont val="Aptos Narrow"/>
        <family val="2"/>
        <scheme val="minor"/>
      </rPr>
      <t xml:space="preserve"> revenue, expense</t>
    </r>
  </si>
  <si>
    <t>b)</t>
  </si>
  <si>
    <t>HEATHER’S H.R. SERVICES</t>
  </si>
  <si>
    <t>for the year ended 30 June 2025</t>
  </si>
  <si>
    <t xml:space="preserve">income </t>
  </si>
  <si>
    <t>expense</t>
  </si>
  <si>
    <t>statement of changes in owner equity</t>
  </si>
  <si>
    <t>profit for the year</t>
  </si>
  <si>
    <t>heather harris - capital 1 july 2024</t>
  </si>
  <si>
    <t>heather harris - capital 30 jun 2025</t>
  </si>
  <si>
    <t>as at 30 June 2025</t>
  </si>
  <si>
    <t>current assets</t>
  </si>
  <si>
    <t>non current assets</t>
  </si>
  <si>
    <t xml:space="preserve">LESS: heather harris - drawings </t>
  </si>
  <si>
    <t>LESS: accum dep - equip</t>
  </si>
  <si>
    <t>total assets</t>
  </si>
  <si>
    <t>current liability</t>
  </si>
  <si>
    <t>non current liability</t>
  </si>
  <si>
    <t>total liability</t>
  </si>
  <si>
    <t>net assets (ta-tl)</t>
  </si>
  <si>
    <t>equity</t>
  </si>
  <si>
    <t>total equity</t>
  </si>
  <si>
    <t>closing entries</t>
  </si>
  <si>
    <t>1. close income account</t>
  </si>
  <si>
    <t>2. close expense account</t>
  </si>
  <si>
    <t>3. xfer pnl to capital account</t>
  </si>
  <si>
    <t>4. xfer drawings to capital account</t>
  </si>
  <si>
    <t>profit/loss summary</t>
  </si>
  <si>
    <t>(close income acc)</t>
  </si>
  <si>
    <t>p/l summary acc is dr- and cr+</t>
  </si>
  <si>
    <t>(close exp acc)</t>
  </si>
  <si>
    <t>(xfer pnl to capital acc)</t>
  </si>
  <si>
    <t>drawings is dr + and cr -</t>
  </si>
  <si>
    <t>(xfer drawings to capital acc)</t>
  </si>
  <si>
    <t>accrued exp = u got exp but havent paid so dr exp and cr payable (creditor)</t>
  </si>
  <si>
    <t>accrued income = u got income but havent been paid so dr AR (debtor) and cr rev</t>
  </si>
  <si>
    <t>dr</t>
  </si>
  <si>
    <t>cr</t>
  </si>
  <si>
    <t>accrued exp</t>
  </si>
  <si>
    <t>unadjusted trial bal</t>
  </si>
  <si>
    <t>adjustment</t>
  </si>
  <si>
    <t>insurance expired</t>
  </si>
  <si>
    <t>dep on equip</t>
  </si>
  <si>
    <t xml:space="preserve">wages payable </t>
  </si>
  <si>
    <t>p/l</t>
  </si>
  <si>
    <t>income</t>
  </si>
  <si>
    <t>Statement of Changes in Owner Equity</t>
  </si>
  <si>
    <t>heather harris - capital 1July24</t>
  </si>
  <si>
    <t>Less: heather harris - drawings</t>
  </si>
  <si>
    <t>heather harris - capital 30Jun25</t>
  </si>
  <si>
    <t>non-current assets</t>
  </si>
  <si>
    <t>non-current liability</t>
  </si>
  <si>
    <t>1. close income acc</t>
  </si>
  <si>
    <t>2. close exp acc</t>
  </si>
  <si>
    <t>3. xfer p/l to capital acc</t>
  </si>
  <si>
    <t>4. xfer drawings to capital acc</t>
  </si>
  <si>
    <t>p/l summary acc</t>
  </si>
  <si>
    <t>(xfer p/l to capital acc)</t>
  </si>
  <si>
    <t>drawings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</si>
</sst>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rial Black"/>
      <family val="2"/>
    </font>
    <font>
      <sz val="8"/>
      <color theme="1"/>
      <name val="Arial Black"/>
      <family val="2"/>
    </font>
    <font>
      <sz val="12"/>
      <color theme="1"/>
      <name val="Arial Black"/>
      <family val="2"/>
    </font>
    <font>
      <sz val="9"/>
      <color theme="1"/>
      <name val="Arial Black"/>
      <family val="2"/>
    </font>
    <font>
      <b/>
      <sz val="10"/>
      <color theme="1"/>
      <name val="Arial Black"/>
      <family val="2"/>
    </font>
    <font>
      <sz val="10"/>
      <color theme="1"/>
      <name val="Arial Black"/>
      <family val="2"/>
    </font>
    <font>
      <u/>
      <sz val="10"/>
      <color theme="1"/>
      <name val="Arial Black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rial Black"/>
      <family val="2"/>
    </font>
    <font>
      <b/>
      <sz val="11"/>
      <color rgb="FFFF0000"/>
      <name val="Aptos Narrow"/>
      <family val="2"/>
      <scheme val="minor"/>
    </font>
    <font>
      <b/>
      <sz val="11"/>
      <color theme="1"/>
      <name val="Arial Black"/>
      <family val="2"/>
    </font>
    <font>
      <b/>
      <sz val="11"/>
      <color rgb="FFFF0000"/>
      <name val="Arial Black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i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10" xfId="0" applyFont="1" applyBorder="1"/>
    <xf numFmtId="0" fontId="3" fillId="0" borderId="10" xfId="0" applyFont="1" applyBorder="1" applyAlignment="1">
      <alignment vertical="center" wrapText="1"/>
    </xf>
    <xf numFmtId="0" fontId="4" fillId="0" borderId="10" xfId="0" applyFont="1" applyBorder="1"/>
    <xf numFmtId="0" fontId="4" fillId="0" borderId="10" xfId="0" applyFont="1" applyBorder="1" applyAlignment="1">
      <alignment vertical="center" wrapText="1"/>
    </xf>
    <xf numFmtId="0" fontId="5" fillId="0" borderId="10" xfId="0" applyFont="1" applyBorder="1" applyAlignment="1">
      <alignment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2" fillId="0" borderId="4" xfId="0" applyFont="1" applyBorder="1"/>
    <xf numFmtId="0" fontId="7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10" xfId="0" applyFont="1" applyBorder="1" applyAlignment="1">
      <alignment horizontal="justify" vertical="center" wrapText="1"/>
    </xf>
    <xf numFmtId="0" fontId="7" fillId="0" borderId="12" xfId="0" applyFont="1" applyBorder="1" applyAlignment="1">
      <alignment horizontal="justify" vertical="center" wrapText="1"/>
    </xf>
    <xf numFmtId="0" fontId="2" fillId="0" borderId="12" xfId="0" applyFont="1" applyBorder="1"/>
    <xf numFmtId="0" fontId="5" fillId="0" borderId="10" xfId="0" applyFont="1" applyBorder="1" applyAlignment="1">
      <alignment horizontal="justify" vertical="center" wrapText="1"/>
    </xf>
    <xf numFmtId="0" fontId="5" fillId="0" borderId="12" xfId="0" applyFont="1" applyBorder="1" applyAlignment="1">
      <alignment horizontal="justify" vertical="center" wrapText="1"/>
    </xf>
    <xf numFmtId="0" fontId="2" fillId="0" borderId="0" xfId="0" applyFont="1"/>
    <xf numFmtId="0" fontId="0" fillId="5" borderId="6" xfId="0" applyFill="1" applyBorder="1"/>
    <xf numFmtId="0" fontId="2" fillId="6" borderId="16" xfId="0" applyFont="1" applyFill="1" applyBorder="1"/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3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6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right" vertical="center" wrapText="1"/>
    </xf>
    <xf numFmtId="0" fontId="7" fillId="0" borderId="12" xfId="0" applyFont="1" applyBorder="1" applyAlignment="1">
      <alignment horizontal="right" vertical="center" wrapText="1"/>
    </xf>
    <xf numFmtId="0" fontId="2" fillId="0" borderId="15" xfId="0" applyFont="1" applyBorder="1"/>
    <xf numFmtId="0" fontId="2" fillId="0" borderId="16" xfId="0" applyFont="1" applyBorder="1"/>
    <xf numFmtId="0" fontId="8" fillId="0" borderId="12" xfId="0" applyFont="1" applyBorder="1" applyAlignment="1">
      <alignment horizontal="right" vertical="center" wrapText="1"/>
    </xf>
    <xf numFmtId="0" fontId="2" fillId="0" borderId="17" xfId="0" applyFont="1" applyBorder="1"/>
    <xf numFmtId="0" fontId="2" fillId="0" borderId="19" xfId="0" applyFont="1" applyBorder="1"/>
    <xf numFmtId="0" fontId="2" fillId="7" borderId="15" xfId="0" applyFont="1" applyFill="1" applyBorder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justify" vertical="center"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8" borderId="20" xfId="0" applyFont="1" applyFill="1" applyBorder="1"/>
    <xf numFmtId="0" fontId="5" fillId="0" borderId="21" xfId="0" applyFont="1" applyBorder="1" applyAlignment="1">
      <alignment horizontal="justify" vertical="center" wrapText="1"/>
    </xf>
    <xf numFmtId="0" fontId="5" fillId="0" borderId="19" xfId="0" applyFont="1" applyBorder="1" applyAlignment="1">
      <alignment horizontal="justify" vertical="center" wrapText="1"/>
    </xf>
    <xf numFmtId="0" fontId="2" fillId="8" borderId="22" xfId="0" applyFont="1" applyFill="1" applyBorder="1"/>
    <xf numFmtId="0" fontId="9" fillId="0" borderId="0" xfId="0" applyFont="1" applyAlignment="1">
      <alignment vertical="center"/>
    </xf>
    <xf numFmtId="0" fontId="0" fillId="0" borderId="0" xfId="0" applyAlignment="1">
      <alignment horizontal="right"/>
    </xf>
    <xf numFmtId="16" fontId="0" fillId="0" borderId="1" xfId="0" applyNumberFormat="1" applyBorder="1"/>
    <xf numFmtId="0" fontId="0" fillId="9" borderId="1" xfId="0" applyFill="1" applyBorder="1"/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/>
    <xf numFmtId="0" fontId="9" fillId="9" borderId="0" xfId="0" applyFont="1" applyFill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0" fillId="9" borderId="7" xfId="0" applyFill="1" applyBorder="1"/>
    <xf numFmtId="0" fontId="9" fillId="9" borderId="8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0" fontId="12" fillId="0" borderId="16" xfId="0" applyFont="1" applyBorder="1"/>
    <xf numFmtId="0" fontId="12" fillId="0" borderId="15" xfId="0" applyFont="1" applyBorder="1"/>
    <xf numFmtId="0" fontId="10" fillId="0" borderId="0" xfId="0" applyFont="1"/>
    <xf numFmtId="0" fontId="12" fillId="0" borderId="10" xfId="0" applyFont="1" applyBorder="1"/>
    <xf numFmtId="0" fontId="2" fillId="2" borderId="10" xfId="0" applyFont="1" applyFill="1" applyBorder="1"/>
    <xf numFmtId="0" fontId="15" fillId="0" borderId="0" xfId="0" applyFont="1"/>
    <xf numFmtId="0" fontId="2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2" fillId="0" borderId="24" xfId="0" applyFont="1" applyBorder="1"/>
    <xf numFmtId="0" fontId="2" fillId="0" borderId="23" xfId="0" applyFont="1" applyBorder="1"/>
    <xf numFmtId="0" fontId="11" fillId="0" borderId="10" xfId="0" applyFont="1" applyBorder="1"/>
    <xf numFmtId="0" fontId="14" fillId="0" borderId="10" xfId="0" applyFont="1" applyBorder="1"/>
    <xf numFmtId="0" fontId="12" fillId="0" borderId="25" xfId="0" applyFont="1" applyBorder="1"/>
    <xf numFmtId="0" fontId="12" fillId="0" borderId="24" xfId="0" applyFont="1" applyBorder="1"/>
    <xf numFmtId="0" fontId="15" fillId="0" borderId="10" xfId="0" applyFont="1" applyBorder="1"/>
    <xf numFmtId="0" fontId="2" fillId="10" borderId="10" xfId="0" applyFont="1" applyFill="1" applyBorder="1"/>
    <xf numFmtId="0" fontId="2" fillId="11" borderId="10" xfId="0" applyFont="1" applyFill="1" applyBorder="1"/>
    <xf numFmtId="0" fontId="14" fillId="10" borderId="0" xfId="0" applyFont="1" applyFill="1" applyAlignment="1">
      <alignment horizontal="right"/>
    </xf>
    <xf numFmtId="0" fontId="0" fillId="0" borderId="24" xfId="0" applyBorder="1"/>
    <xf numFmtId="0" fontId="2" fillId="8" borderId="10" xfId="0" applyFont="1" applyFill="1" applyBorder="1"/>
    <xf numFmtId="0" fontId="14" fillId="8" borderId="0" xfId="0" applyFont="1" applyFill="1" applyAlignment="1">
      <alignment horizontal="right"/>
    </xf>
    <xf numFmtId="0" fontId="2" fillId="2" borderId="23" xfId="0" applyFont="1" applyFill="1" applyBorder="1"/>
    <xf numFmtId="0" fontId="2" fillId="2" borderId="0" xfId="0" applyFont="1" applyFill="1"/>
    <xf numFmtId="0" fontId="14" fillId="0" borderId="0" xfId="0" applyFont="1"/>
    <xf numFmtId="0" fontId="12" fillId="0" borderId="0" xfId="0" applyFont="1"/>
    <xf numFmtId="0" fontId="16" fillId="0" borderId="0" xfId="0" applyFont="1"/>
    <xf numFmtId="0" fontId="17" fillId="0" borderId="0" xfId="0" applyFont="1"/>
    <xf numFmtId="0" fontId="16" fillId="0" borderId="4" xfId="0" applyFont="1" applyBorder="1"/>
    <xf numFmtId="0" fontId="16" fillId="0" borderId="8" xfId="0" applyFont="1" applyBorder="1"/>
    <xf numFmtId="0" fontId="18" fillId="0" borderId="4" xfId="0" applyFont="1" applyBorder="1"/>
    <xf numFmtId="0" fontId="18" fillId="0" borderId="7" xfId="0" applyFont="1" applyBorder="1"/>
    <xf numFmtId="0" fontId="19" fillId="0" borderId="0" xfId="0" applyFont="1"/>
    <xf numFmtId="0" fontId="19" fillId="0" borderId="5" xfId="0" applyFont="1" applyBorder="1"/>
    <xf numFmtId="0" fontId="19" fillId="0" borderId="4" xfId="0" applyFont="1" applyBorder="1"/>
    <xf numFmtId="0" fontId="19" fillId="0" borderId="4" xfId="0" applyFont="1" applyBorder="1" applyAlignment="1">
      <alignment horizontal="left" indent="1"/>
    </xf>
    <xf numFmtId="0" fontId="16" fillId="0" borderId="0" xfId="0" applyFont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20" fillId="0" borderId="4" xfId="0" applyFont="1" applyBorder="1" applyAlignment="1">
      <alignment horizontal="left" indent="1"/>
    </xf>
    <xf numFmtId="0" fontId="21" fillId="0" borderId="5" xfId="0" applyFont="1" applyBorder="1" applyAlignment="1">
      <alignment horizontal="center"/>
    </xf>
    <xf numFmtId="0" fontId="20" fillId="0" borderId="4" xfId="0" applyFont="1" applyBorder="1"/>
    <xf numFmtId="0" fontId="21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16" fontId="0" fillId="0" borderId="0" xfId="0" applyNumberFormat="1"/>
    <xf numFmtId="0" fontId="0" fillId="0" borderId="0" xfId="0" applyAlignment="1">
      <alignment horizontal="left" indent="1"/>
    </xf>
    <xf numFmtId="0" fontId="22" fillId="0" borderId="0" xfId="0" applyFont="1"/>
    <xf numFmtId="0" fontId="0" fillId="0" borderId="0" xfId="0" applyAlignment="1">
      <alignment horizontal="center"/>
    </xf>
    <xf numFmtId="0" fontId="0" fillId="0" borderId="27" xfId="0" applyBorder="1"/>
    <xf numFmtId="0" fontId="0" fillId="0" borderId="0" xfId="0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27" xfId="0" applyFont="1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 wrapText="1"/>
    </xf>
    <xf numFmtId="0" fontId="19" fillId="0" borderId="4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416298</xdr:colOff>
      <xdr:row>3</xdr:row>
      <xdr:rowOff>85194</xdr:rowOff>
    </xdr:from>
    <xdr:to>
      <xdr:col>10</xdr:col>
      <xdr:colOff>313283</xdr:colOff>
      <xdr:row>34</xdr:row>
      <xdr:rowOff>64098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DF4DDFF-C62F-4ED7-92A4-26C803DE3C80}"/>
            </a:ext>
          </a:extLst>
        </xdr:cNvPr>
        <xdr:cNvGrpSpPr/>
      </xdr:nvGrpSpPr>
      <xdr:grpSpPr bwMode="auto">
        <a:xfrm>
          <a:off x="1004363" y="656694"/>
          <a:ext cx="5189572" cy="5884404"/>
          <a:chOff x="0" y="78429"/>
          <a:chExt cx="6059328" cy="3928254"/>
        </a:xfrm>
      </xdr:grpSpPr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2662FD6C-2C5B-AE6D-0DC2-14862539F005}"/>
              </a:ext>
            </a:extLst>
          </xdr:cNvPr>
          <xdr:cNvCxnSpPr>
            <a:cxnSpLocks/>
          </xdr:cNvCxnSpPr>
        </xdr:nvCxnSpPr>
        <xdr:spPr bwMode="auto">
          <a:xfrm flipH="1">
            <a:off x="0" y="417106"/>
            <a:ext cx="5477" cy="2779586"/>
          </a:xfrm>
          <a:prstGeom prst="straightConnector1">
            <a:avLst/>
          </a:prstGeom>
          <a:noFill/>
          <a:ln w="6350" algn="ctr">
            <a:solidFill>
              <a:srgbClr val="4472C4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66AAA784-E93E-4009-7295-F4FC616C3430}"/>
              </a:ext>
            </a:extLst>
          </xdr:cNvPr>
          <xdr:cNvGrpSpPr>
            <a:grpSpLocks/>
          </xdr:cNvGrpSpPr>
        </xdr:nvGrpSpPr>
        <xdr:grpSpPr bwMode="auto">
          <a:xfrm>
            <a:off x="7778" y="78429"/>
            <a:ext cx="6051550" cy="3928254"/>
            <a:chOff x="7778" y="78429"/>
            <a:chExt cx="6051550" cy="3928254"/>
          </a:xfrm>
        </xdr:grpSpPr>
        <xdr:sp macro="" textlink="">
          <xdr:nvSpPr>
            <xdr:cNvPr id="5" name="Flowchart: Alternate Process 4">
              <a:extLst>
                <a:ext uri="{FF2B5EF4-FFF2-40B4-BE49-F238E27FC236}">
                  <a16:creationId xmlns:a16="http://schemas.microsoft.com/office/drawing/2014/main" id="{0205F8C2-08CA-2120-4267-CE15DA12C0A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2989" y="78429"/>
              <a:ext cx="6045200" cy="641350"/>
            </a:xfrm>
            <a:prstGeom prst="flowChartAlternateProcess">
              <a:avLst/>
            </a:prstGeom>
            <a:solidFill>
              <a:srgbClr val="FFFFFF"/>
            </a:solidFill>
            <a:ln w="12700">
              <a:solidFill>
                <a:srgbClr val="70AD47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Transactions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6" name="Flowchart: Alternate Process 5">
              <a:extLst>
                <a:ext uri="{FF2B5EF4-FFF2-40B4-BE49-F238E27FC236}">
                  <a16:creationId xmlns:a16="http://schemas.microsoft.com/office/drawing/2014/main" id="{DF6FD0F6-C626-D429-2B20-E066DED3B73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3119542"/>
              <a:ext cx="6048374" cy="887141"/>
            </a:xfrm>
            <a:prstGeom prst="flowChartAlternate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Financial Statements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Balance Sheet (Asset = Liability + Owners Equity)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Income Statement (Revenue – Expenses = Profit)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Cashflows ($ Receipts and $ Payments)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Changes in Owners Equity (OE at start + changes = OE at end) – sometimes viewed as a note.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7" name="Flowchart: Predefined Process 6">
              <a:extLst>
                <a:ext uri="{FF2B5EF4-FFF2-40B4-BE49-F238E27FC236}">
                  <a16:creationId xmlns:a16="http://schemas.microsoft.com/office/drawing/2014/main" id="{AF25F097-D301-041E-7F35-C863DB4EBFE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1550757"/>
              <a:ext cx="6051550" cy="736600"/>
            </a:xfrm>
            <a:prstGeom prst="flowChartPredefined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4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Asset = Liability + Owners Equity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8" name="Arrow: Down 7">
              <a:extLst>
                <a:ext uri="{FF2B5EF4-FFF2-40B4-BE49-F238E27FC236}">
                  <a16:creationId xmlns:a16="http://schemas.microsoft.com/office/drawing/2014/main" id="{EFD7BD5B-6195-5928-CA64-546FB0A878C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2382941"/>
              <a:ext cx="201045" cy="736601"/>
            </a:xfrm>
            <a:prstGeom prst="downArrow">
              <a:avLst>
                <a:gd name="adj1" fmla="val 50000"/>
                <a:gd name="adj2" fmla="val 50005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  <xdr:sp macro="" textlink="">
          <xdr:nvSpPr>
            <xdr:cNvPr id="9" name="Arrow: Down 8">
              <a:extLst>
                <a:ext uri="{FF2B5EF4-FFF2-40B4-BE49-F238E27FC236}">
                  <a16:creationId xmlns:a16="http://schemas.microsoft.com/office/drawing/2014/main" id="{F4ECA4F8-2628-BAD5-B248-20209603917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729956"/>
              <a:ext cx="206522" cy="736600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</xdr:grpSp>
    </xdr:grpSp>
    <xdr:clientData/>
  </xdr:twoCellAnchor>
  <xdr:twoCellAnchor editAs="oneCell">
    <xdr:from>
      <xdr:col>10</xdr:col>
      <xdr:colOff>603658</xdr:colOff>
      <xdr:row>2</xdr:row>
      <xdr:rowOff>38661</xdr:rowOff>
    </xdr:from>
    <xdr:to>
      <xdr:col>25</xdr:col>
      <xdr:colOff>101853</xdr:colOff>
      <xdr:row>34</xdr:row>
      <xdr:rowOff>19611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6528DF4-DBF7-4A30-B99A-84E2949B0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9658" y="406961"/>
          <a:ext cx="8642195" cy="587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290486</xdr:colOff>
      <xdr:row>17</xdr:row>
      <xdr:rowOff>142943</xdr:rowOff>
    </xdr:from>
    <xdr:to>
      <xdr:col>6</xdr:col>
      <xdr:colOff>135223</xdr:colOff>
      <xdr:row>37</xdr:row>
      <xdr:rowOff>6026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F65ED4-E7E3-472C-A106-5812FB200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167" y="3290922"/>
          <a:ext cx="3719588" cy="35460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798480</xdr:colOff>
      <xdr:row>33</xdr:row>
      <xdr:rowOff>19381</xdr:rowOff>
    </xdr:from>
    <xdr:to>
      <xdr:col>8</xdr:col>
      <xdr:colOff>611934</xdr:colOff>
      <xdr:row>42</xdr:row>
      <xdr:rowOff>95196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9DA030C-AAED-BE23-2336-27E939596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480" y="8106106"/>
          <a:ext cx="7242954" cy="1790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133350</xdr:rowOff>
    </xdr:from>
    <xdr:to>
      <xdr:col>6</xdr:col>
      <xdr:colOff>1804179</xdr:colOff>
      <xdr:row>84</xdr:row>
      <xdr:rowOff>18665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E07067-D395-4EF8-8AB9-E2C88D324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83200"/>
          <a:ext cx="7242954" cy="1790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577905</xdr:colOff>
      <xdr:row>1</xdr:row>
      <xdr:rowOff>84250</xdr:rowOff>
    </xdr:from>
    <xdr:to>
      <xdr:col>28</xdr:col>
      <xdr:colOff>470328</xdr:colOff>
      <xdr:row>11</xdr:row>
      <xdr:rowOff>3882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B13879-F6FF-D94E-B666-157FFCA93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60624" y="295917"/>
          <a:ext cx="8742051" cy="23036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76200</xdr:rowOff>
    </xdr:from>
    <xdr:to>
      <xdr:col>6</xdr:col>
      <xdr:colOff>543966</xdr:colOff>
      <xdr:row>45</xdr:row>
      <xdr:rowOff>85986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D3DD1C-C00D-A946-D70B-40F791ECA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496300"/>
          <a:ext cx="7459116" cy="186716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301046</xdr:colOff>
      <xdr:row>0</xdr:row>
      <xdr:rowOff>158911</xdr:rowOff>
    </xdr:from>
    <xdr:to>
      <xdr:col>7</xdr:col>
      <xdr:colOff>520075</xdr:colOff>
      <xdr:row>18</xdr:row>
      <xdr:rowOff>159925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6F8A16-603C-7FB4-80A9-6A5C9405F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046" y="158911"/>
          <a:ext cx="4495426" cy="343001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301998</xdr:colOff>
      <xdr:row>1</xdr:row>
      <xdr:rowOff>1912</xdr:rowOff>
    </xdr:from>
    <xdr:to>
      <xdr:col>8</xdr:col>
      <xdr:colOff>559973</xdr:colOff>
      <xdr:row>31</xdr:row>
      <xdr:rowOff>187578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2AF9A9-0868-1FB6-0E94-2D6135E05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98" y="192412"/>
          <a:ext cx="6072366" cy="603318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80597</xdr:colOff>
      <xdr:row>0</xdr:row>
      <xdr:rowOff>146538</xdr:rowOff>
    </xdr:from>
    <xdr:to>
      <xdr:col>7</xdr:col>
      <xdr:colOff>402981</xdr:colOff>
      <xdr:row>28</xdr:row>
      <xdr:rowOff>89765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C40406-E74C-4924-A20B-B840B1F78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97" y="146538"/>
          <a:ext cx="5392615" cy="535782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nek Mukesh" id="{D1B72572-4EE9-4B5D-AA50-003122841091}" userId="7baad15b6bef9919" providerId="Windows Live"/>
  <person displayName="Joseph Koh" id="{B9C67BA8-3942-E14F-8EA7-6B64E0EF8E63}" userId="cf4f27787168282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2-04-27T08:01:01.46" personId="{D1B72572-4EE9-4B5D-AA50-003122841091}" id="{BB583F4E-C610-4749-8F69-7BBCCF1CC978}">
    <text>BDA = Balanced Day Adjustments 
Accrual, prepayment, depreciation, bad debt exp etc.</text>
  </threadedComment>
  <threadedComment ref="H4" dT="2022-04-27T08:03:56.12" personId="{D1B72572-4EE9-4B5D-AA50-003122841091}" id="{D5A623B3-D662-4FAD-B7DC-B39312AD72BF}">
    <text>At end of accounting year; Close books for current year and prepare for next year.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19" dT="2026-04-20T04:18:45.63" personId="{B9C67BA8-3942-E14F-8EA7-6B64E0EF8E63}" id="{5E6F0BD9-910C-3F4C-936F-7857EBDF45EA}">
    <text>Drawings</text>
  </threadedComment>
  <threadedComment ref="M20" dT="2026-04-20T04:17:57.80" personId="{B9C67BA8-3942-E14F-8EA7-6B64E0EF8E63}" id="{71876D82-1589-504B-B11D-5D75376CA001}">
    <text>Total Revenue</text>
  </threadedComment>
  <threadedComment ref="L33" dT="2026-04-20T04:17:02.30" personId="{B9C67BA8-3942-E14F-8EA7-6B64E0EF8E63}" id="{2CB53C99-BE85-0445-8EC8-5631CA238D88}">
    <text>Total Expense</text>
  </threadedComment>
  <threadedComment ref="P34" dT="2026-04-20T04:18:22.22" personId="{B9C67BA8-3942-E14F-8EA7-6B64E0EF8E63}" id="{422ADACF-04A8-654A-96A7-E4089914C09C}">
    <text>Profit &amp; Loss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54719-4B7A-4BD1-A273-F4DC249F84D4}">
  <dimension ref="A1"/>
  <sheetViews>
    <sheetView topLeftCell="A7" zoomScale="115" zoomScaleNormal="115" workbookViewId="0">
      <selection activeCell="E38" sqref="E38"/>
    </sheetView>
  </sheetViews>
  <sheetFormatPr defaultColWidth="8.85546875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3618A-53E6-4AA0-84BA-AB41705F9398}">
  <dimension ref="B1:O20"/>
  <sheetViews>
    <sheetView topLeftCell="G2" zoomScale="193" zoomScaleNormal="205" workbookViewId="0">
      <selection activeCell="H11" sqref="H11"/>
    </sheetView>
  </sheetViews>
  <sheetFormatPr defaultColWidth="8.85546875" defaultRowHeight="15" x14ac:dyDescent="0.25"/>
  <cols>
    <col min="5" max="5" width="18.85546875" bestFit="1" customWidth="1"/>
    <col min="6" max="6" width="10.42578125" customWidth="1"/>
    <col min="7" max="7" width="10.42578125" bestFit="1" customWidth="1"/>
    <col min="11" max="11" width="2" bestFit="1" customWidth="1"/>
    <col min="12" max="12" width="37.42578125" bestFit="1" customWidth="1"/>
    <col min="13" max="13" width="22.42578125" bestFit="1" customWidth="1"/>
  </cols>
  <sheetData>
    <row r="1" spans="2:15" x14ac:dyDescent="0.25">
      <c r="G1" t="s">
        <v>0</v>
      </c>
    </row>
    <row r="2" spans="2:15" x14ac:dyDescent="0.25">
      <c r="B2" s="1" t="s">
        <v>1</v>
      </c>
    </row>
    <row r="3" spans="2:15" x14ac:dyDescent="0.25">
      <c r="F3" t="s">
        <v>2</v>
      </c>
      <c r="G3" t="s">
        <v>3</v>
      </c>
      <c r="H3" t="s">
        <v>1</v>
      </c>
      <c r="L3" t="s">
        <v>4</v>
      </c>
      <c r="M3" t="s">
        <v>5</v>
      </c>
    </row>
    <row r="4" spans="2:15" ht="15.75" thickBot="1" x14ac:dyDescent="0.3">
      <c r="C4" s="1" t="s">
        <v>6</v>
      </c>
      <c r="D4" s="1"/>
      <c r="E4" s="1" t="s">
        <v>7</v>
      </c>
      <c r="F4" t="s">
        <v>8</v>
      </c>
      <c r="G4" t="s">
        <v>9</v>
      </c>
      <c r="H4" t="s">
        <v>10</v>
      </c>
    </row>
    <row r="5" spans="2:15" x14ac:dyDescent="0.25">
      <c r="C5" s="1"/>
      <c r="D5" s="1"/>
      <c r="E5" s="2" t="s">
        <v>11</v>
      </c>
      <c r="M5" s="3"/>
      <c r="N5" s="4" t="s">
        <v>12</v>
      </c>
      <c r="O5" s="5" t="s">
        <v>13</v>
      </c>
    </row>
    <row r="6" spans="2:15" x14ac:dyDescent="0.25">
      <c r="C6" s="137" t="s">
        <v>14</v>
      </c>
      <c r="D6" s="1"/>
      <c r="E6" s="1" t="s">
        <v>15</v>
      </c>
      <c r="F6" t="s">
        <v>8</v>
      </c>
      <c r="H6" s="1" t="s">
        <v>16</v>
      </c>
      <c r="K6">
        <v>1</v>
      </c>
      <c r="L6" t="s">
        <v>17</v>
      </c>
      <c r="M6" s="6" t="s">
        <v>18</v>
      </c>
      <c r="N6" t="s">
        <v>19</v>
      </c>
      <c r="O6" s="7"/>
    </row>
    <row r="7" spans="2:15" x14ac:dyDescent="0.25">
      <c r="C7" s="137"/>
      <c r="D7" s="1"/>
      <c r="E7" s="2" t="s">
        <v>11</v>
      </c>
      <c r="M7" s="6" t="s">
        <v>20</v>
      </c>
      <c r="O7" s="7" t="s">
        <v>19</v>
      </c>
    </row>
    <row r="8" spans="2:15" x14ac:dyDescent="0.25">
      <c r="C8" s="137"/>
      <c r="D8" s="1"/>
      <c r="E8" s="1" t="s">
        <v>21</v>
      </c>
      <c r="F8" t="s">
        <v>8</v>
      </c>
      <c r="M8" s="6" t="s">
        <v>22</v>
      </c>
      <c r="O8" s="7"/>
    </row>
    <row r="9" spans="2:15" x14ac:dyDescent="0.25">
      <c r="C9" s="137"/>
      <c r="D9" s="1"/>
      <c r="E9" s="2" t="s">
        <v>11</v>
      </c>
      <c r="M9" s="6"/>
      <c r="O9" s="7"/>
    </row>
    <row r="10" spans="2:15" x14ac:dyDescent="0.25">
      <c r="C10" s="137"/>
      <c r="D10" s="1"/>
      <c r="E10" s="1" t="s">
        <v>23</v>
      </c>
      <c r="F10" t="s">
        <v>8</v>
      </c>
      <c r="G10" t="s">
        <v>24</v>
      </c>
      <c r="H10" t="s">
        <v>25</v>
      </c>
      <c r="K10">
        <v>2</v>
      </c>
      <c r="L10" t="s">
        <v>26</v>
      </c>
      <c r="M10" s="6" t="s">
        <v>20</v>
      </c>
      <c r="N10" t="s">
        <v>19</v>
      </c>
      <c r="O10" s="7"/>
    </row>
    <row r="11" spans="2:15" ht="15.75" thickBot="1" x14ac:dyDescent="0.3">
      <c r="C11" s="1"/>
      <c r="D11" s="1"/>
      <c r="E11" s="1"/>
      <c r="F11" s="33" t="s">
        <v>27</v>
      </c>
      <c r="G11" s="8" t="s">
        <v>28</v>
      </c>
      <c r="H11" s="9" t="s">
        <v>29</v>
      </c>
      <c r="M11" s="6" t="s">
        <v>30</v>
      </c>
      <c r="O11" s="7" t="s">
        <v>19</v>
      </c>
    </row>
    <row r="12" spans="2:15" ht="15.75" thickTop="1" x14ac:dyDescent="0.25">
      <c r="C12" s="1"/>
      <c r="D12" s="1"/>
      <c r="E12" s="2" t="s">
        <v>11</v>
      </c>
      <c r="G12" s="10" t="s">
        <v>11</v>
      </c>
      <c r="H12" t="s">
        <v>115</v>
      </c>
      <c r="M12" s="6" t="s">
        <v>31</v>
      </c>
      <c r="O12" s="7"/>
    </row>
    <row r="13" spans="2:15" x14ac:dyDescent="0.25">
      <c r="C13" s="1" t="s">
        <v>32</v>
      </c>
      <c r="D13" s="1"/>
      <c r="E13" s="1" t="s">
        <v>33</v>
      </c>
      <c r="F13" t="s">
        <v>33</v>
      </c>
      <c r="H13" t="s">
        <v>34</v>
      </c>
      <c r="M13" s="6"/>
      <c r="O13" s="7"/>
    </row>
    <row r="14" spans="2:15" x14ac:dyDescent="0.25">
      <c r="F14" t="s">
        <v>114</v>
      </c>
      <c r="K14">
        <v>3</v>
      </c>
      <c r="L14" t="s">
        <v>35</v>
      </c>
      <c r="M14" s="6" t="s">
        <v>20</v>
      </c>
      <c r="N14" t="s">
        <v>19</v>
      </c>
      <c r="O14" s="7"/>
    </row>
    <row r="15" spans="2:15" x14ac:dyDescent="0.25">
      <c r="M15" s="6" t="s">
        <v>36</v>
      </c>
      <c r="O15" s="7" t="s">
        <v>19</v>
      </c>
    </row>
    <row r="16" spans="2:15" x14ac:dyDescent="0.25">
      <c r="M16" s="6" t="s">
        <v>37</v>
      </c>
      <c r="O16" s="7"/>
    </row>
    <row r="17" spans="11:15" x14ac:dyDescent="0.25">
      <c r="M17" s="6"/>
      <c r="O17" s="7"/>
    </row>
    <row r="18" spans="11:15" x14ac:dyDescent="0.25">
      <c r="K18">
        <v>4</v>
      </c>
      <c r="L18" t="s">
        <v>38</v>
      </c>
      <c r="M18" s="6" t="s">
        <v>39</v>
      </c>
      <c r="N18" t="s">
        <v>19</v>
      </c>
      <c r="O18" s="7"/>
    </row>
    <row r="19" spans="11:15" x14ac:dyDescent="0.25">
      <c r="M19" s="6" t="s">
        <v>40</v>
      </c>
      <c r="O19" s="7" t="s">
        <v>19</v>
      </c>
    </row>
    <row r="20" spans="11:15" ht="15.75" thickBot="1" x14ac:dyDescent="0.3">
      <c r="M20" s="11" t="s">
        <v>41</v>
      </c>
      <c r="N20" s="12"/>
      <c r="O20" s="13"/>
    </row>
  </sheetData>
  <mergeCells count="1">
    <mergeCell ref="C6:C10"/>
  </mergeCell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0BE0-433C-401E-8C60-EBD47C86025A}">
  <dimension ref="A1:M35"/>
  <sheetViews>
    <sheetView zoomScale="138" workbookViewId="0">
      <pane ySplit="2" topLeftCell="A3" activePane="bottomLeft" state="frozen"/>
      <selection pane="bottomLeft" activeCell="C22" sqref="C22"/>
    </sheetView>
  </sheetViews>
  <sheetFormatPr defaultColWidth="8.85546875" defaultRowHeight="15" x14ac:dyDescent="0.25"/>
  <cols>
    <col min="3" max="3" width="18.140625" customWidth="1"/>
    <col min="11" max="11" width="12.7109375" customWidth="1"/>
  </cols>
  <sheetData>
    <row r="1" spans="1:9" x14ac:dyDescent="0.25">
      <c r="B1" s="3"/>
      <c r="C1" s="4" t="s">
        <v>15</v>
      </c>
      <c r="D1" s="4"/>
      <c r="E1" s="5"/>
      <c r="H1" t="s">
        <v>153</v>
      </c>
    </row>
    <row r="2" spans="1:9" ht="15.75" thickBot="1" x14ac:dyDescent="0.3">
      <c r="A2" t="s">
        <v>93</v>
      </c>
      <c r="B2" s="6" t="s">
        <v>126</v>
      </c>
      <c r="C2" t="s">
        <v>127</v>
      </c>
      <c r="D2" t="s">
        <v>137</v>
      </c>
      <c r="E2" s="7" t="s">
        <v>13</v>
      </c>
    </row>
    <row r="3" spans="1:9" x14ac:dyDescent="0.25">
      <c r="A3">
        <v>1</v>
      </c>
      <c r="B3" s="73">
        <v>46387</v>
      </c>
      <c r="C3" s="4"/>
      <c r="D3" s="4"/>
      <c r="E3" s="5"/>
      <c r="G3">
        <v>1</v>
      </c>
    </row>
    <row r="4" spans="1:9" ht="16.5" customHeight="1" x14ac:dyDescent="0.25">
      <c r="B4" s="6"/>
      <c r="E4" s="7"/>
      <c r="G4" s="72" t="s">
        <v>143</v>
      </c>
    </row>
    <row r="5" spans="1:9" ht="15.75" thickBot="1" x14ac:dyDescent="0.3">
      <c r="B5" s="11"/>
      <c r="C5" s="12"/>
      <c r="D5" s="12"/>
      <c r="E5" s="13"/>
      <c r="G5">
        <v>4</v>
      </c>
    </row>
    <row r="6" spans="1:9" ht="15.75" thickBot="1" x14ac:dyDescent="0.3">
      <c r="B6" s="6"/>
      <c r="E6" s="7"/>
    </row>
    <row r="7" spans="1:9" x14ac:dyDescent="0.25">
      <c r="A7">
        <v>2</v>
      </c>
      <c r="B7" s="73">
        <v>46387</v>
      </c>
      <c r="C7" s="4"/>
      <c r="D7" s="4"/>
      <c r="E7" s="5"/>
      <c r="G7" s="72">
        <v>1</v>
      </c>
    </row>
    <row r="8" spans="1:9" x14ac:dyDescent="0.25">
      <c r="B8" s="6"/>
      <c r="E8" s="7"/>
      <c r="G8" s="72" t="s">
        <v>143</v>
      </c>
    </row>
    <row r="9" spans="1:9" ht="15.75" thickBot="1" x14ac:dyDescent="0.3">
      <c r="B9" s="11"/>
      <c r="C9" s="12"/>
      <c r="D9" s="12"/>
      <c r="E9" s="13"/>
      <c r="G9" s="72">
        <v>4</v>
      </c>
    </row>
    <row r="10" spans="1:9" ht="15.75" thickBot="1" x14ac:dyDescent="0.3">
      <c r="B10" s="6"/>
      <c r="E10" s="7"/>
    </row>
    <row r="11" spans="1:9" x14ac:dyDescent="0.25">
      <c r="A11">
        <v>3</v>
      </c>
      <c r="B11" s="73">
        <v>46387</v>
      </c>
      <c r="C11" s="4"/>
      <c r="D11" s="4"/>
      <c r="E11" s="5"/>
      <c r="G11" s="72">
        <v>1</v>
      </c>
    </row>
    <row r="12" spans="1:9" x14ac:dyDescent="0.25">
      <c r="B12" s="6"/>
      <c r="E12" s="7"/>
      <c r="G12" s="72" t="s">
        <v>143</v>
      </c>
      <c r="H12" s="71"/>
      <c r="I12" s="71"/>
    </row>
    <row r="13" spans="1:9" ht="15.75" thickBot="1" x14ac:dyDescent="0.3">
      <c r="B13" s="11"/>
      <c r="C13" s="12"/>
      <c r="D13" s="12"/>
      <c r="E13" s="13"/>
      <c r="G13" s="72">
        <v>4</v>
      </c>
    </row>
    <row r="14" spans="1:9" ht="15.75" thickBot="1" x14ac:dyDescent="0.3">
      <c r="B14" s="6"/>
      <c r="E14" s="7"/>
    </row>
    <row r="15" spans="1:9" x14ac:dyDescent="0.25">
      <c r="A15">
        <v>4</v>
      </c>
      <c r="B15" s="73">
        <v>46387</v>
      </c>
      <c r="C15" s="4"/>
      <c r="D15" s="4"/>
      <c r="E15" s="5"/>
      <c r="G15" s="72">
        <v>1</v>
      </c>
    </row>
    <row r="16" spans="1:9" x14ac:dyDescent="0.25">
      <c r="B16" s="6"/>
      <c r="E16" s="7"/>
      <c r="G16" s="72" t="s">
        <v>143</v>
      </c>
      <c r="H16" s="71"/>
      <c r="I16" s="71"/>
    </row>
    <row r="17" spans="1:13" ht="15.75" thickBot="1" x14ac:dyDescent="0.3">
      <c r="B17" s="11"/>
      <c r="C17" s="12"/>
      <c r="D17" s="12"/>
      <c r="E17" s="13"/>
      <c r="G17" s="72">
        <v>4</v>
      </c>
    </row>
    <row r="18" spans="1:13" ht="15.75" thickBot="1" x14ac:dyDescent="0.3">
      <c r="B18" s="6"/>
      <c r="E18" s="7"/>
    </row>
    <row r="19" spans="1:13" x14ac:dyDescent="0.25">
      <c r="A19">
        <v>5</v>
      </c>
      <c r="B19" s="73">
        <v>46387</v>
      </c>
      <c r="E19" s="7"/>
      <c r="G19" s="72">
        <v>1</v>
      </c>
    </row>
    <row r="20" spans="1:13" x14ac:dyDescent="0.25">
      <c r="B20" s="6"/>
      <c r="E20" s="7"/>
      <c r="G20" s="72" t="s">
        <v>143</v>
      </c>
      <c r="H20" s="71"/>
      <c r="I20" s="71"/>
    </row>
    <row r="21" spans="1:13" x14ac:dyDescent="0.25">
      <c r="B21" s="6"/>
      <c r="E21" s="7"/>
      <c r="G21" s="72">
        <v>4</v>
      </c>
    </row>
    <row r="22" spans="1:13" ht="15.75" thickBot="1" x14ac:dyDescent="0.3">
      <c r="B22" s="11"/>
      <c r="C22" s="12"/>
      <c r="D22" s="12"/>
      <c r="E22" s="13"/>
    </row>
    <row r="23" spans="1:13" ht="15.75" thickBot="1" x14ac:dyDescent="0.3"/>
    <row r="24" spans="1:13" x14ac:dyDescent="0.25">
      <c r="A24">
        <v>6</v>
      </c>
      <c r="B24" s="73">
        <v>46387</v>
      </c>
      <c r="C24" s="4"/>
      <c r="D24" s="4"/>
      <c r="E24" s="5"/>
      <c r="G24" s="72">
        <v>1</v>
      </c>
    </row>
    <row r="25" spans="1:13" x14ac:dyDescent="0.25">
      <c r="B25" s="6"/>
      <c r="E25" s="7"/>
      <c r="G25" s="72" t="s">
        <v>143</v>
      </c>
      <c r="H25" s="71"/>
      <c r="I25" s="71"/>
    </row>
    <row r="26" spans="1:13" ht="15.75" thickBot="1" x14ac:dyDescent="0.3">
      <c r="B26" s="11"/>
      <c r="C26" s="12"/>
      <c r="D26" s="12"/>
      <c r="E26" s="13"/>
      <c r="G26" s="72">
        <v>4</v>
      </c>
    </row>
    <row r="27" spans="1:13" ht="15.75" thickBot="1" x14ac:dyDescent="0.3"/>
    <row r="28" spans="1:13" ht="15.75" thickBot="1" x14ac:dyDescent="0.3">
      <c r="A28">
        <v>7</v>
      </c>
      <c r="B28" s="73">
        <v>46387</v>
      </c>
      <c r="C28" s="4"/>
      <c r="D28" s="4"/>
      <c r="E28" s="5"/>
      <c r="G28" s="72">
        <v>1</v>
      </c>
    </row>
    <row r="29" spans="1:13" x14ac:dyDescent="0.25">
      <c r="B29" s="6"/>
      <c r="E29" s="4"/>
      <c r="G29" s="72" t="s">
        <v>143</v>
      </c>
      <c r="H29" s="71"/>
      <c r="I29" s="71"/>
    </row>
    <row r="30" spans="1:13" ht="15.75" thickBot="1" x14ac:dyDescent="0.3">
      <c r="B30" s="11"/>
      <c r="C30" s="12"/>
      <c r="D30" s="12"/>
      <c r="E30" s="13"/>
      <c r="G30" s="72">
        <v>4</v>
      </c>
    </row>
    <row r="31" spans="1:13" ht="15.75" thickBot="1" x14ac:dyDescent="0.3"/>
    <row r="32" spans="1:13" x14ac:dyDescent="0.25">
      <c r="G32">
        <v>1</v>
      </c>
      <c r="H32" t="s">
        <v>139</v>
      </c>
      <c r="I32" t="s">
        <v>138</v>
      </c>
      <c r="K32" s="74"/>
      <c r="L32" s="75" t="s">
        <v>45</v>
      </c>
      <c r="M32" s="76" t="s">
        <v>46</v>
      </c>
    </row>
    <row r="33" spans="7:13" x14ac:dyDescent="0.25">
      <c r="G33">
        <v>2</v>
      </c>
      <c r="H33" t="s">
        <v>140</v>
      </c>
      <c r="I33" t="s">
        <v>140</v>
      </c>
      <c r="K33" s="77" t="s">
        <v>148</v>
      </c>
      <c r="L33" s="78" t="s">
        <v>150</v>
      </c>
      <c r="M33" s="79" t="s">
        <v>11</v>
      </c>
    </row>
    <row r="34" spans="7:13" ht="15.75" thickBot="1" x14ac:dyDescent="0.3">
      <c r="G34">
        <v>3</v>
      </c>
      <c r="H34" s="71" t="s">
        <v>142</v>
      </c>
      <c r="I34" s="71" t="s">
        <v>142</v>
      </c>
      <c r="K34" s="80" t="s">
        <v>149</v>
      </c>
      <c r="L34" s="81" t="s">
        <v>11</v>
      </c>
      <c r="M34" s="82" t="s">
        <v>150</v>
      </c>
    </row>
    <row r="35" spans="7:13" x14ac:dyDescent="0.25">
      <c r="G35">
        <v>4</v>
      </c>
      <c r="H35" t="s">
        <v>141</v>
      </c>
      <c r="I35" t="s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369FE-F92F-4C37-9408-0538561CEBA7}">
  <dimension ref="A1:U74"/>
  <sheetViews>
    <sheetView zoomScaleNormal="100" workbookViewId="0">
      <selection activeCell="F63" sqref="F63"/>
    </sheetView>
  </sheetViews>
  <sheetFormatPr defaultColWidth="8.85546875" defaultRowHeight="15" x14ac:dyDescent="0.25"/>
  <cols>
    <col min="1" max="1" width="31.42578125" customWidth="1"/>
    <col min="2" max="2" width="6.7109375" customWidth="1"/>
    <col min="3" max="3" width="12.7109375" customWidth="1"/>
    <col min="4" max="4" width="8.7109375" customWidth="1"/>
    <col min="5" max="5" width="13.140625" customWidth="1"/>
    <col min="6" max="6" width="8.7109375" customWidth="1"/>
    <col min="7" max="7" width="27.140625" customWidth="1"/>
    <col min="8" max="8" width="2.7109375" customWidth="1"/>
    <col min="9" max="9" width="13.28515625" customWidth="1"/>
    <col min="10" max="10" width="13" customWidth="1"/>
    <col min="11" max="11" width="19" customWidth="1"/>
    <col min="12" max="12" width="10" customWidth="1"/>
    <col min="13" max="13" width="14.42578125" customWidth="1"/>
    <col min="14" max="14" width="2.28515625" customWidth="1"/>
    <col min="15" max="15" width="11" customWidth="1"/>
    <col min="16" max="16" width="11.42578125" customWidth="1"/>
    <col min="18" max="18" width="13.28515625" bestFit="1" customWidth="1"/>
    <col min="19" max="19" width="27.42578125" customWidth="1"/>
    <col min="20" max="21" width="9.140625" bestFit="1" customWidth="1"/>
  </cols>
  <sheetData>
    <row r="1" spans="1:21" ht="15.75" thickBot="1" x14ac:dyDescent="0.3">
      <c r="A1" s="14"/>
      <c r="B1" s="14"/>
    </row>
    <row r="2" spans="1:21" ht="14.85" customHeight="1" x14ac:dyDescent="0.25">
      <c r="A2" s="22" t="s">
        <v>42</v>
      </c>
      <c r="B2" s="23"/>
      <c r="C2" s="19" t="s">
        <v>27</v>
      </c>
      <c r="D2" s="19" t="s">
        <v>63</v>
      </c>
      <c r="E2" s="35"/>
      <c r="F2" s="36" t="s">
        <v>116</v>
      </c>
      <c r="G2" s="37"/>
      <c r="H2" s="38"/>
      <c r="I2" s="19" t="s">
        <v>28</v>
      </c>
      <c r="J2" s="19" t="s">
        <v>63</v>
      </c>
      <c r="K2" s="38"/>
      <c r="L2" s="39" t="s">
        <v>65</v>
      </c>
      <c r="M2" s="40" t="s">
        <v>66</v>
      </c>
      <c r="N2" s="41"/>
      <c r="O2" s="36" t="s">
        <v>67</v>
      </c>
      <c r="P2" s="40"/>
    </row>
    <row r="3" spans="1:21" ht="15" customHeight="1" x14ac:dyDescent="0.4">
      <c r="A3" s="22" t="s">
        <v>43</v>
      </c>
      <c r="B3" s="23"/>
      <c r="C3" s="15"/>
      <c r="D3" s="19"/>
      <c r="E3" s="35" t="s">
        <v>93</v>
      </c>
      <c r="F3" s="42"/>
      <c r="G3" s="43"/>
      <c r="H3" s="44"/>
      <c r="I3" s="15"/>
      <c r="J3" s="19"/>
      <c r="K3" s="44"/>
      <c r="L3" s="24"/>
      <c r="M3" s="45"/>
      <c r="N3" s="46"/>
      <c r="O3" s="47"/>
      <c r="P3" s="45"/>
    </row>
    <row r="4" spans="1:21" ht="15.75" thickBot="1" x14ac:dyDescent="0.3">
      <c r="A4" s="25" t="s">
        <v>44</v>
      </c>
      <c r="B4" s="26"/>
      <c r="C4" s="20" t="s">
        <v>45</v>
      </c>
      <c r="D4" s="20" t="s">
        <v>46</v>
      </c>
      <c r="E4" s="35"/>
      <c r="F4" s="48" t="s">
        <v>45</v>
      </c>
      <c r="G4" s="49" t="s">
        <v>46</v>
      </c>
      <c r="H4" s="35"/>
      <c r="I4" s="20" t="s">
        <v>45</v>
      </c>
      <c r="J4" s="21" t="s">
        <v>46</v>
      </c>
      <c r="K4" s="46"/>
      <c r="L4" s="48" t="s">
        <v>45</v>
      </c>
      <c r="M4" s="49" t="s">
        <v>46</v>
      </c>
      <c r="N4" s="35"/>
      <c r="O4" s="48" t="s">
        <v>45</v>
      </c>
      <c r="P4" s="49" t="s">
        <v>46</v>
      </c>
      <c r="S4" s="58" t="s">
        <v>15</v>
      </c>
    </row>
    <row r="5" spans="1:21" ht="18.75" x14ac:dyDescent="0.4">
      <c r="A5" s="27" t="s">
        <v>47</v>
      </c>
      <c r="B5" s="28" t="s">
        <v>117</v>
      </c>
      <c r="C5" s="50">
        <v>6200</v>
      </c>
      <c r="D5" s="50"/>
      <c r="E5" s="51"/>
      <c r="F5" s="52"/>
      <c r="G5" s="53"/>
      <c r="H5" s="29"/>
      <c r="I5" s="15">
        <f>C5+F5-G5</f>
        <v>6200</v>
      </c>
      <c r="J5" s="15"/>
      <c r="K5" s="29"/>
      <c r="L5" s="52"/>
      <c r="M5" s="53"/>
      <c r="N5" s="29"/>
      <c r="O5" s="52">
        <v>6200</v>
      </c>
      <c r="P5" s="53"/>
      <c r="R5" s="60" t="s">
        <v>126</v>
      </c>
      <c r="S5" s="61" t="s">
        <v>127</v>
      </c>
      <c r="T5" s="61" t="s">
        <v>128</v>
      </c>
      <c r="U5" s="62" t="s">
        <v>129</v>
      </c>
    </row>
    <row r="6" spans="1:21" ht="18.75" x14ac:dyDescent="0.4">
      <c r="A6" s="27" t="s">
        <v>48</v>
      </c>
      <c r="B6" s="28" t="s">
        <v>117</v>
      </c>
      <c r="C6" s="50">
        <v>7260</v>
      </c>
      <c r="D6" s="50"/>
      <c r="E6" s="51">
        <v>1</v>
      </c>
      <c r="F6" s="52"/>
      <c r="G6" s="53">
        <v>4940</v>
      </c>
      <c r="H6" s="29"/>
      <c r="I6" s="15">
        <f t="shared" ref="I6:I8" si="0">C6+F6-G6</f>
        <v>2320</v>
      </c>
      <c r="J6" s="15"/>
      <c r="K6" s="29"/>
      <c r="L6" s="52"/>
      <c r="M6" s="53"/>
      <c r="N6" s="29"/>
      <c r="O6" s="52">
        <v>2320</v>
      </c>
      <c r="P6" s="53"/>
      <c r="R6" s="24" t="s">
        <v>130</v>
      </c>
      <c r="S6" s="24" t="s">
        <v>18</v>
      </c>
      <c r="T6" s="32">
        <f>M13</f>
        <v>126500</v>
      </c>
      <c r="U6" s="63"/>
    </row>
    <row r="7" spans="1:21" ht="18.75" x14ac:dyDescent="0.4">
      <c r="A7" s="27" t="s">
        <v>49</v>
      </c>
      <c r="B7" s="28" t="s">
        <v>117</v>
      </c>
      <c r="C7" s="50">
        <v>1725</v>
      </c>
      <c r="D7" s="50"/>
      <c r="E7" s="51">
        <v>2</v>
      </c>
      <c r="F7" s="52"/>
      <c r="G7" s="53">
        <v>1185</v>
      </c>
      <c r="H7" s="29"/>
      <c r="I7" s="15">
        <f t="shared" si="0"/>
        <v>540</v>
      </c>
      <c r="J7" s="15"/>
      <c r="K7" s="29"/>
      <c r="L7" s="52"/>
      <c r="M7" s="53"/>
      <c r="N7" s="29"/>
      <c r="O7" s="52">
        <v>540</v>
      </c>
      <c r="P7" s="53"/>
      <c r="R7" s="24"/>
      <c r="S7" s="24" t="s">
        <v>20</v>
      </c>
      <c r="T7" s="32"/>
      <c r="U7" s="63">
        <f>M13</f>
        <v>126500</v>
      </c>
    </row>
    <row r="8" spans="1:21" ht="19.5" thickBot="1" x14ac:dyDescent="0.45">
      <c r="A8" s="27" t="s">
        <v>50</v>
      </c>
      <c r="B8" s="28" t="s">
        <v>117</v>
      </c>
      <c r="C8" s="50">
        <v>82800</v>
      </c>
      <c r="D8" s="50"/>
      <c r="E8" s="51"/>
      <c r="F8" s="52"/>
      <c r="G8" s="53"/>
      <c r="H8" s="29"/>
      <c r="I8" s="15">
        <f t="shared" si="0"/>
        <v>82800</v>
      </c>
      <c r="J8" s="15"/>
      <c r="K8" s="29"/>
      <c r="L8" s="52"/>
      <c r="M8" s="53"/>
      <c r="N8" s="29"/>
      <c r="O8" s="52">
        <v>82800</v>
      </c>
      <c r="P8" s="53"/>
      <c r="R8" s="64"/>
      <c r="S8" s="64" t="s">
        <v>22</v>
      </c>
      <c r="T8" s="65"/>
      <c r="U8" s="66"/>
    </row>
    <row r="9" spans="1:21" ht="30.75" thickBot="1" x14ac:dyDescent="0.45">
      <c r="A9" s="27" t="s">
        <v>51</v>
      </c>
      <c r="B9" s="28" t="s">
        <v>122</v>
      </c>
      <c r="C9" s="50"/>
      <c r="D9" s="50">
        <v>14600</v>
      </c>
      <c r="E9" s="51">
        <v>3</v>
      </c>
      <c r="F9" s="52"/>
      <c r="G9" s="53">
        <v>7400</v>
      </c>
      <c r="H9" s="29"/>
      <c r="I9" s="15"/>
      <c r="J9" s="15">
        <f>D9-F9+G9</f>
        <v>22000</v>
      </c>
      <c r="K9" s="29"/>
      <c r="L9" s="52"/>
      <c r="M9" s="53"/>
      <c r="N9" s="29"/>
      <c r="O9" s="52"/>
      <c r="P9" s="53">
        <v>22000</v>
      </c>
      <c r="R9" s="32"/>
      <c r="S9" s="32"/>
      <c r="T9" s="32"/>
      <c r="U9" s="32"/>
    </row>
    <row r="10" spans="1:21" ht="18.75" x14ac:dyDescent="0.4">
      <c r="A10" s="27" t="s">
        <v>123</v>
      </c>
      <c r="B10" s="28" t="s">
        <v>121</v>
      </c>
      <c r="C10" s="50"/>
      <c r="D10" s="50">
        <v>50000</v>
      </c>
      <c r="E10" s="51"/>
      <c r="F10" s="52"/>
      <c r="G10" s="53"/>
      <c r="H10" s="29"/>
      <c r="I10" s="15"/>
      <c r="J10" s="15">
        <f t="shared" ref="J10:J11" si="1">D10-F10+G10</f>
        <v>50000</v>
      </c>
      <c r="K10" s="29"/>
      <c r="L10" s="52"/>
      <c r="M10" s="53"/>
      <c r="N10" s="29"/>
      <c r="O10" s="52"/>
      <c r="P10" s="53">
        <v>50000</v>
      </c>
      <c r="R10" s="60" t="s">
        <v>130</v>
      </c>
      <c r="S10" s="61" t="s">
        <v>20</v>
      </c>
      <c r="T10" s="61">
        <f>SUM(U11:U20)</f>
        <v>96945</v>
      </c>
      <c r="U10" s="62"/>
    </row>
    <row r="11" spans="1:21" ht="18.75" x14ac:dyDescent="0.4">
      <c r="A11" s="27" t="s">
        <v>52</v>
      </c>
      <c r="B11" s="28" t="s">
        <v>119</v>
      </c>
      <c r="C11" s="50"/>
      <c r="D11" s="50">
        <v>15540</v>
      </c>
      <c r="E11" s="51"/>
      <c r="F11" s="52"/>
      <c r="G11" s="53"/>
      <c r="H11" s="29"/>
      <c r="I11" s="15"/>
      <c r="J11" s="15">
        <f t="shared" si="1"/>
        <v>15540</v>
      </c>
      <c r="K11" s="29"/>
      <c r="L11" s="52"/>
      <c r="M11" s="53"/>
      <c r="N11" s="29"/>
      <c r="O11" s="52"/>
      <c r="P11" s="53">
        <v>15540</v>
      </c>
      <c r="R11" s="24"/>
      <c r="S11" s="27" t="s">
        <v>55</v>
      </c>
      <c r="T11" s="28"/>
      <c r="U11" s="67">
        <v>63510</v>
      </c>
    </row>
    <row r="12" spans="1:21" ht="18.75" x14ac:dyDescent="0.4">
      <c r="A12" s="27" t="s">
        <v>53</v>
      </c>
      <c r="B12" s="28" t="s">
        <v>124</v>
      </c>
      <c r="C12" s="50">
        <v>27000</v>
      </c>
      <c r="D12" s="50"/>
      <c r="E12" s="51"/>
      <c r="F12" s="52"/>
      <c r="G12" s="53"/>
      <c r="H12" s="29"/>
      <c r="I12" s="15">
        <f>C12+F12-G12</f>
        <v>27000</v>
      </c>
      <c r="J12" s="15"/>
      <c r="K12" s="29"/>
      <c r="L12" s="52"/>
      <c r="M12" s="53"/>
      <c r="N12" s="29"/>
      <c r="O12" s="52">
        <v>27000</v>
      </c>
      <c r="P12" s="53"/>
      <c r="R12" s="24"/>
      <c r="S12" s="27" t="s">
        <v>56</v>
      </c>
      <c r="T12" s="28"/>
      <c r="U12" s="67">
        <v>2250</v>
      </c>
    </row>
    <row r="13" spans="1:21" ht="30" x14ac:dyDescent="0.4">
      <c r="A13" s="27" t="s">
        <v>54</v>
      </c>
      <c r="B13" s="28" t="s">
        <v>118</v>
      </c>
      <c r="C13" s="50"/>
      <c r="D13" s="50">
        <v>126500</v>
      </c>
      <c r="E13" s="51"/>
      <c r="F13" s="52"/>
      <c r="G13" s="53"/>
      <c r="H13" s="29"/>
      <c r="I13" s="15"/>
      <c r="J13" s="15">
        <f>D13-F13+G13</f>
        <v>126500</v>
      </c>
      <c r="K13" s="29"/>
      <c r="L13" s="52"/>
      <c r="M13" s="34">
        <v>126500</v>
      </c>
      <c r="N13" s="29"/>
      <c r="O13" s="52"/>
      <c r="P13" s="53"/>
      <c r="R13" s="24"/>
      <c r="S13" s="27" t="s">
        <v>57</v>
      </c>
      <c r="T13" s="28"/>
      <c r="U13" s="67">
        <v>1260</v>
      </c>
    </row>
    <row r="14" spans="1:21" ht="18.75" x14ac:dyDescent="0.4">
      <c r="A14" s="27" t="s">
        <v>55</v>
      </c>
      <c r="B14" s="28" t="s">
        <v>120</v>
      </c>
      <c r="C14" s="50">
        <v>63250</v>
      </c>
      <c r="D14" s="50"/>
      <c r="E14" s="51">
        <v>4</v>
      </c>
      <c r="F14" s="52">
        <v>260</v>
      </c>
      <c r="G14" s="53"/>
      <c r="H14" s="29"/>
      <c r="I14" s="15">
        <f>C14+F14-G14</f>
        <v>63510</v>
      </c>
      <c r="J14" s="15"/>
      <c r="K14" s="29"/>
      <c r="L14" s="57">
        <v>63510</v>
      </c>
      <c r="M14" s="53"/>
      <c r="N14" s="29"/>
      <c r="O14" s="52"/>
      <c r="P14" s="53"/>
      <c r="R14" s="24"/>
      <c r="S14" s="27" t="s">
        <v>58</v>
      </c>
      <c r="T14" s="28"/>
      <c r="U14" s="67">
        <v>7520</v>
      </c>
    </row>
    <row r="15" spans="1:21" ht="18.75" x14ac:dyDescent="0.4">
      <c r="A15" s="27" t="s">
        <v>56</v>
      </c>
      <c r="B15" s="28" t="s">
        <v>120</v>
      </c>
      <c r="C15" s="50">
        <v>2250</v>
      </c>
      <c r="D15" s="50"/>
      <c r="E15" s="51"/>
      <c r="F15" s="52"/>
      <c r="G15" s="53"/>
      <c r="H15" s="29"/>
      <c r="I15" s="15">
        <f t="shared" ref="I15:I20" si="2">C15+F15-G15</f>
        <v>2250</v>
      </c>
      <c r="J15" s="15"/>
      <c r="K15" s="29"/>
      <c r="L15" s="57">
        <v>2250</v>
      </c>
      <c r="M15" s="53"/>
      <c r="N15" s="29"/>
      <c r="O15" s="52"/>
      <c r="P15" s="53"/>
      <c r="R15" s="24"/>
      <c r="S15" s="27" t="s">
        <v>59</v>
      </c>
      <c r="T15" s="28"/>
      <c r="U15" s="67">
        <v>4235</v>
      </c>
    </row>
    <row r="16" spans="1:21" ht="18.75" x14ac:dyDescent="0.4">
      <c r="A16" s="27" t="s">
        <v>57</v>
      </c>
      <c r="B16" s="28" t="s">
        <v>120</v>
      </c>
      <c r="C16" s="50">
        <v>1260</v>
      </c>
      <c r="D16" s="50"/>
      <c r="E16" s="51"/>
      <c r="F16" s="52"/>
      <c r="G16" s="53"/>
      <c r="H16" s="29"/>
      <c r="I16" s="15">
        <f t="shared" si="2"/>
        <v>1260</v>
      </c>
      <c r="J16" s="15"/>
      <c r="K16" s="29"/>
      <c r="L16" s="57">
        <v>1260</v>
      </c>
      <c r="M16" s="53"/>
      <c r="N16" s="29"/>
      <c r="O16" s="52"/>
      <c r="P16" s="53"/>
      <c r="R16" s="24"/>
      <c r="S16" s="27" t="s">
        <v>60</v>
      </c>
      <c r="T16" s="28"/>
      <c r="U16" s="67">
        <v>3045</v>
      </c>
    </row>
    <row r="17" spans="1:21" ht="18.75" x14ac:dyDescent="0.4">
      <c r="A17" s="27" t="s">
        <v>58</v>
      </c>
      <c r="B17" s="28" t="s">
        <v>120</v>
      </c>
      <c r="C17" s="50">
        <v>7520</v>
      </c>
      <c r="D17" s="50"/>
      <c r="E17" s="51"/>
      <c r="F17" s="52"/>
      <c r="G17" s="53"/>
      <c r="H17" s="29"/>
      <c r="I17" s="15">
        <f t="shared" si="2"/>
        <v>7520</v>
      </c>
      <c r="J17" s="15"/>
      <c r="K17" s="29"/>
      <c r="L17" s="57">
        <v>7520</v>
      </c>
      <c r="M17" s="53"/>
      <c r="N17" s="29"/>
      <c r="O17" s="52"/>
      <c r="P17" s="53"/>
      <c r="R17" s="24"/>
      <c r="S17" s="27" t="s">
        <v>131</v>
      </c>
      <c r="T17" s="28"/>
      <c r="U17" s="67">
        <v>1600</v>
      </c>
    </row>
    <row r="18" spans="1:21" ht="18.75" x14ac:dyDescent="0.4">
      <c r="A18" s="27" t="s">
        <v>59</v>
      </c>
      <c r="B18" s="28" t="s">
        <v>120</v>
      </c>
      <c r="C18" s="50">
        <v>3405</v>
      </c>
      <c r="D18" s="50"/>
      <c r="E18" s="51">
        <v>5</v>
      </c>
      <c r="F18" s="52">
        <v>830</v>
      </c>
      <c r="G18" s="53"/>
      <c r="H18" s="29"/>
      <c r="I18" s="15">
        <f t="shared" si="2"/>
        <v>4235</v>
      </c>
      <c r="J18" s="15"/>
      <c r="K18" s="29"/>
      <c r="L18" s="57">
        <v>4235</v>
      </c>
      <c r="M18" s="53"/>
      <c r="N18" s="29"/>
      <c r="O18" s="52"/>
      <c r="P18" s="53"/>
      <c r="R18" s="24"/>
      <c r="S18" s="30" t="s">
        <v>69</v>
      </c>
      <c r="T18" s="31"/>
      <c r="U18" s="67">
        <v>4940</v>
      </c>
    </row>
    <row r="19" spans="1:21" ht="18.75" x14ac:dyDescent="0.4">
      <c r="A19" s="27" t="s">
        <v>60</v>
      </c>
      <c r="B19" s="28" t="s">
        <v>120</v>
      </c>
      <c r="C19" s="50">
        <v>2620</v>
      </c>
      <c r="D19" s="50"/>
      <c r="E19" s="51">
        <v>6</v>
      </c>
      <c r="F19" s="52">
        <v>425</v>
      </c>
      <c r="G19" s="53"/>
      <c r="H19" s="29"/>
      <c r="I19" s="15">
        <f t="shared" si="2"/>
        <v>3045</v>
      </c>
      <c r="J19" s="15"/>
      <c r="K19" s="29"/>
      <c r="L19" s="57">
        <v>3045</v>
      </c>
      <c r="M19" s="53"/>
      <c r="N19" s="29"/>
      <c r="O19" s="52"/>
      <c r="P19" s="53"/>
      <c r="R19" s="24"/>
      <c r="S19" s="30" t="s">
        <v>70</v>
      </c>
      <c r="T19" s="31"/>
      <c r="U19" s="67">
        <v>1185</v>
      </c>
    </row>
    <row r="20" spans="1:21" ht="30.75" thickBot="1" x14ac:dyDescent="0.45">
      <c r="A20" s="27" t="s">
        <v>61</v>
      </c>
      <c r="B20" s="28" t="s">
        <v>120</v>
      </c>
      <c r="C20" s="50">
        <v>1350</v>
      </c>
      <c r="D20" s="50" t="s">
        <v>62</v>
      </c>
      <c r="E20" s="54">
        <v>7</v>
      </c>
      <c r="F20" s="52">
        <v>250</v>
      </c>
      <c r="G20" s="53"/>
      <c r="H20" s="29"/>
      <c r="I20" s="15">
        <f t="shared" si="2"/>
        <v>1600</v>
      </c>
      <c r="J20" s="15"/>
      <c r="K20" s="29"/>
      <c r="L20" s="57">
        <v>1600</v>
      </c>
      <c r="M20" s="53"/>
      <c r="N20" s="29"/>
      <c r="O20" s="52"/>
      <c r="P20" s="53"/>
      <c r="R20" s="64"/>
      <c r="S20" s="68" t="s">
        <v>71</v>
      </c>
      <c r="T20" s="69"/>
      <c r="U20" s="70">
        <v>7400</v>
      </c>
    </row>
    <row r="21" spans="1:21" ht="19.5" thickBot="1" x14ac:dyDescent="0.45">
      <c r="A21" s="27"/>
      <c r="B21" s="28"/>
      <c r="C21" s="15"/>
      <c r="D21" s="15"/>
      <c r="E21" s="29"/>
      <c r="F21" s="52"/>
      <c r="G21" s="53"/>
      <c r="H21" s="29"/>
      <c r="I21" s="15"/>
      <c r="J21" s="15"/>
      <c r="K21" s="29"/>
      <c r="L21" s="57"/>
      <c r="M21" s="53"/>
      <c r="N21" s="29"/>
      <c r="O21" s="52"/>
      <c r="P21" s="53"/>
      <c r="R21" s="32"/>
      <c r="S21" s="32"/>
      <c r="T21" s="32"/>
      <c r="U21" s="32"/>
    </row>
    <row r="22" spans="1:21" ht="18.75" x14ac:dyDescent="0.4">
      <c r="A22" s="30" t="s">
        <v>69</v>
      </c>
      <c r="B22" s="31" t="s">
        <v>120</v>
      </c>
      <c r="C22" s="15"/>
      <c r="D22" s="15"/>
      <c r="E22" s="29">
        <v>1</v>
      </c>
      <c r="F22" s="52">
        <v>4940</v>
      </c>
      <c r="G22" s="53"/>
      <c r="H22" s="29"/>
      <c r="I22" s="15">
        <f>C22+F22-G22</f>
        <v>4940</v>
      </c>
      <c r="J22" s="15"/>
      <c r="K22" s="29"/>
      <c r="L22" s="57">
        <v>4940</v>
      </c>
      <c r="M22" s="53"/>
      <c r="N22" s="29"/>
      <c r="O22" s="52"/>
      <c r="P22" s="53"/>
      <c r="R22" s="60" t="s">
        <v>130</v>
      </c>
      <c r="S22" s="61" t="str">
        <f>S10</f>
        <v>Income Summary</v>
      </c>
      <c r="T22" s="61">
        <f>U7-T10</f>
        <v>29555</v>
      </c>
      <c r="U22" s="62"/>
    </row>
    <row r="23" spans="1:21" ht="18.75" x14ac:dyDescent="0.4">
      <c r="A23" s="30" t="s">
        <v>70</v>
      </c>
      <c r="B23" s="31" t="s">
        <v>120</v>
      </c>
      <c r="C23" s="15"/>
      <c r="D23" s="15"/>
      <c r="E23" s="29">
        <v>2</v>
      </c>
      <c r="F23" s="52">
        <v>1185</v>
      </c>
      <c r="G23" s="53"/>
      <c r="H23" s="29"/>
      <c r="I23" s="15">
        <f t="shared" ref="I23:I24" si="3">C23+F23-G23</f>
        <v>1185</v>
      </c>
      <c r="J23" s="15"/>
      <c r="K23" s="29"/>
      <c r="L23" s="57">
        <v>1185</v>
      </c>
      <c r="M23" s="53"/>
      <c r="N23" s="29"/>
      <c r="O23" s="52"/>
      <c r="P23" s="53"/>
      <c r="R23" s="24"/>
      <c r="S23" s="59" t="s">
        <v>133</v>
      </c>
      <c r="T23" s="32"/>
      <c r="U23" s="63">
        <f>T22</f>
        <v>29555</v>
      </c>
    </row>
    <row r="24" spans="1:21" ht="19.5" thickBot="1" x14ac:dyDescent="0.45">
      <c r="A24" s="30" t="s">
        <v>71</v>
      </c>
      <c r="B24" s="31" t="s">
        <v>120</v>
      </c>
      <c r="C24" s="15"/>
      <c r="D24" s="15"/>
      <c r="E24" s="29">
        <v>3</v>
      </c>
      <c r="F24" s="52">
        <v>7400</v>
      </c>
      <c r="G24" s="53"/>
      <c r="H24" s="29"/>
      <c r="I24" s="15">
        <f t="shared" si="3"/>
        <v>7400</v>
      </c>
      <c r="J24" s="15"/>
      <c r="K24" s="29"/>
      <c r="L24" s="57">
        <v>7400</v>
      </c>
      <c r="M24" s="53"/>
      <c r="N24" s="29"/>
      <c r="O24" s="52"/>
      <c r="P24" s="53"/>
      <c r="R24" s="64"/>
      <c r="S24" s="65" t="s">
        <v>132</v>
      </c>
      <c r="T24" s="65"/>
      <c r="U24" s="66"/>
    </row>
    <row r="25" spans="1:21" ht="19.5" thickBot="1" x14ac:dyDescent="0.45">
      <c r="A25" s="30" t="s">
        <v>72</v>
      </c>
      <c r="B25" s="31" t="s">
        <v>121</v>
      </c>
      <c r="C25" s="15"/>
      <c r="D25" s="15"/>
      <c r="E25" s="29">
        <v>4</v>
      </c>
      <c r="F25" s="52"/>
      <c r="G25" s="53">
        <v>260</v>
      </c>
      <c r="H25" s="29"/>
      <c r="I25" s="15"/>
      <c r="J25" s="15">
        <f>D25-F25+G25</f>
        <v>260</v>
      </c>
      <c r="K25" s="29"/>
      <c r="L25" s="52"/>
      <c r="M25" s="53"/>
      <c r="N25" s="29"/>
      <c r="O25" s="52"/>
      <c r="P25" s="53">
        <v>260</v>
      </c>
      <c r="R25" s="32"/>
      <c r="S25" s="32"/>
      <c r="T25" s="32"/>
      <c r="U25" s="32"/>
    </row>
    <row r="26" spans="1:21" ht="18.75" x14ac:dyDescent="0.4">
      <c r="A26" s="30" t="s">
        <v>73</v>
      </c>
      <c r="B26" s="31" t="s">
        <v>121</v>
      </c>
      <c r="C26" s="15"/>
      <c r="D26" s="15"/>
      <c r="E26" s="29">
        <v>5</v>
      </c>
      <c r="F26" s="52"/>
      <c r="G26" s="53">
        <v>830</v>
      </c>
      <c r="H26" s="29"/>
      <c r="I26" s="15"/>
      <c r="J26" s="15">
        <f t="shared" ref="J26:J28" si="4">D26-F26+G26</f>
        <v>830</v>
      </c>
      <c r="K26" s="29"/>
      <c r="L26" s="52"/>
      <c r="M26" s="53"/>
      <c r="N26" s="29"/>
      <c r="O26" s="52"/>
      <c r="P26" s="53">
        <v>830</v>
      </c>
      <c r="R26" s="60" t="s">
        <v>130</v>
      </c>
      <c r="S26" s="61" t="s">
        <v>39</v>
      </c>
      <c r="T26" s="61">
        <v>27000</v>
      </c>
      <c r="U26" s="62"/>
    </row>
    <row r="27" spans="1:21" ht="18.75" x14ac:dyDescent="0.4">
      <c r="A27" s="30" t="s">
        <v>74</v>
      </c>
      <c r="B27" s="31" t="s">
        <v>121</v>
      </c>
      <c r="C27" s="15"/>
      <c r="D27" s="15"/>
      <c r="E27" s="29">
        <v>6</v>
      </c>
      <c r="F27" s="52"/>
      <c r="G27" s="53">
        <v>425</v>
      </c>
      <c r="H27" s="29"/>
      <c r="I27" s="15"/>
      <c r="J27" s="15">
        <f t="shared" si="4"/>
        <v>425</v>
      </c>
      <c r="K27" s="29"/>
      <c r="L27" s="52"/>
      <c r="M27" s="53"/>
      <c r="N27" s="29"/>
      <c r="O27" s="52"/>
      <c r="P27" s="53">
        <v>425</v>
      </c>
      <c r="R27" s="24"/>
      <c r="S27" s="32" t="s">
        <v>40</v>
      </c>
      <c r="T27" s="32"/>
      <c r="U27" s="63">
        <f>O12</f>
        <v>27000</v>
      </c>
    </row>
    <row r="28" spans="1:21" ht="19.5" thickBot="1" x14ac:dyDescent="0.45">
      <c r="A28" s="30" t="s">
        <v>75</v>
      </c>
      <c r="B28" s="31" t="s">
        <v>121</v>
      </c>
      <c r="C28" s="15"/>
      <c r="D28" s="15"/>
      <c r="E28" s="29">
        <v>7</v>
      </c>
      <c r="F28" s="52"/>
      <c r="G28" s="53">
        <v>250</v>
      </c>
      <c r="H28" s="29"/>
      <c r="I28" s="15"/>
      <c r="J28" s="15">
        <f t="shared" si="4"/>
        <v>250</v>
      </c>
      <c r="K28" s="29"/>
      <c r="L28" s="52"/>
      <c r="M28" s="53"/>
      <c r="N28" s="29"/>
      <c r="O28" s="52"/>
      <c r="P28" s="53">
        <v>250</v>
      </c>
      <c r="R28" s="11"/>
      <c r="S28" s="65" t="s">
        <v>134</v>
      </c>
      <c r="T28" s="12"/>
      <c r="U28" s="13"/>
    </row>
    <row r="29" spans="1:21" ht="18.75" x14ac:dyDescent="0.4">
      <c r="A29" s="15" t="s">
        <v>125</v>
      </c>
      <c r="B29" s="29"/>
      <c r="C29" s="15"/>
      <c r="D29" s="15"/>
      <c r="E29" s="29"/>
      <c r="F29" s="52"/>
      <c r="G29" s="53"/>
      <c r="H29" s="29"/>
      <c r="I29" s="15"/>
      <c r="J29" s="15"/>
      <c r="K29" s="29"/>
      <c r="L29" s="52">
        <v>29555</v>
      </c>
      <c r="M29" s="53"/>
      <c r="N29" s="29"/>
      <c r="O29" s="52"/>
      <c r="P29" s="53">
        <f>L29</f>
        <v>29555</v>
      </c>
    </row>
    <row r="30" spans="1:21" ht="18.75" x14ac:dyDescent="0.4">
      <c r="A30" s="32"/>
      <c r="B30" s="29"/>
      <c r="C30" s="15"/>
      <c r="D30" s="15"/>
      <c r="E30" s="51"/>
      <c r="F30" s="52"/>
      <c r="G30" s="53"/>
      <c r="H30" s="29"/>
      <c r="I30" s="15"/>
      <c r="J30" s="15"/>
      <c r="K30" s="29"/>
      <c r="L30" s="52"/>
      <c r="M30" s="53"/>
      <c r="N30" s="29"/>
      <c r="O30" s="52"/>
      <c r="P30" s="53"/>
    </row>
    <row r="31" spans="1:21" ht="19.5" thickBot="1" x14ac:dyDescent="0.45">
      <c r="A31" s="15" t="s">
        <v>68</v>
      </c>
      <c r="B31" s="29"/>
      <c r="C31" s="50">
        <f>SUM(C5:C20)</f>
        <v>206640</v>
      </c>
      <c r="D31" s="50">
        <f>SUM(D5:D20)</f>
        <v>206640</v>
      </c>
      <c r="E31" s="29"/>
      <c r="F31" s="55">
        <f>SUM(F5:F30)</f>
        <v>15290</v>
      </c>
      <c r="G31" s="55">
        <f>SUM(G5:G30)</f>
        <v>15290</v>
      </c>
      <c r="H31" s="56"/>
      <c r="I31" s="55">
        <f>SUM(I5:I30)</f>
        <v>215805</v>
      </c>
      <c r="J31" s="55">
        <f>SUM(J5:J30)</f>
        <v>215805</v>
      </c>
      <c r="K31" s="56"/>
      <c r="L31" s="55">
        <f>SUM(L5:L30)</f>
        <v>126500</v>
      </c>
      <c r="M31" s="55">
        <f>SUM(M5:M30)</f>
        <v>126500</v>
      </c>
      <c r="N31" s="56"/>
      <c r="O31" s="55">
        <f>SUM(O5:O30)</f>
        <v>118860</v>
      </c>
      <c r="P31" s="55">
        <f>SUM(P5:P30)</f>
        <v>118860</v>
      </c>
    </row>
    <row r="32" spans="1:21" x14ac:dyDescent="0.25">
      <c r="L32">
        <f>M31-L31</f>
        <v>0</v>
      </c>
    </row>
    <row r="44" spans="1:16" ht="15.75" thickBot="1" x14ac:dyDescent="0.3">
      <c r="A44" s="85" t="s">
        <v>178</v>
      </c>
    </row>
    <row r="45" spans="1:16" x14ac:dyDescent="0.25">
      <c r="A45" s="22" t="s">
        <v>42</v>
      </c>
      <c r="B45" s="23"/>
      <c r="C45" s="19" t="s">
        <v>27</v>
      </c>
      <c r="D45" s="19" t="s">
        <v>63</v>
      </c>
      <c r="E45" s="35"/>
      <c r="F45" s="36" t="s">
        <v>116</v>
      </c>
      <c r="G45" s="37"/>
      <c r="H45" s="38"/>
      <c r="I45" s="19" t="s">
        <v>28</v>
      </c>
      <c r="J45" s="19" t="s">
        <v>63</v>
      </c>
      <c r="K45" s="38"/>
      <c r="L45" s="39" t="s">
        <v>65</v>
      </c>
      <c r="M45" s="40" t="s">
        <v>66</v>
      </c>
      <c r="N45" s="41"/>
      <c r="O45" s="36" t="s">
        <v>67</v>
      </c>
      <c r="P45" s="40"/>
    </row>
    <row r="46" spans="1:16" ht="18.75" x14ac:dyDescent="0.4">
      <c r="A46" s="22" t="s">
        <v>43</v>
      </c>
      <c r="B46" s="23"/>
      <c r="C46" s="15"/>
      <c r="D46" s="19"/>
      <c r="E46" s="35" t="s">
        <v>93</v>
      </c>
      <c r="F46" s="42"/>
      <c r="G46" s="43"/>
      <c r="H46" s="44"/>
      <c r="I46" s="15"/>
      <c r="J46" s="19"/>
      <c r="K46" s="44"/>
      <c r="L46" s="24"/>
      <c r="M46" s="45"/>
      <c r="N46" s="46"/>
      <c r="O46" s="47"/>
      <c r="P46" s="45"/>
    </row>
    <row r="47" spans="1:16" x14ac:dyDescent="0.25">
      <c r="A47" s="25" t="s">
        <v>44</v>
      </c>
      <c r="B47" s="26"/>
      <c r="C47" s="20" t="s">
        <v>45</v>
      </c>
      <c r="D47" s="20" t="s">
        <v>46</v>
      </c>
      <c r="E47" s="35"/>
      <c r="F47" s="48" t="s">
        <v>45</v>
      </c>
      <c r="G47" s="49" t="s">
        <v>46</v>
      </c>
      <c r="H47" s="35"/>
      <c r="I47" s="20" t="s">
        <v>45</v>
      </c>
      <c r="J47" s="21" t="s">
        <v>46</v>
      </c>
      <c r="K47" s="46"/>
      <c r="L47" s="48" t="s">
        <v>45</v>
      </c>
      <c r="M47" s="49" t="s">
        <v>46</v>
      </c>
      <c r="N47" s="35"/>
      <c r="O47" s="48" t="s">
        <v>45</v>
      </c>
      <c r="P47" s="49" t="s">
        <v>46</v>
      </c>
    </row>
    <row r="48" spans="1:16" ht="18.75" x14ac:dyDescent="0.4">
      <c r="A48" s="27" t="s">
        <v>47</v>
      </c>
      <c r="B48" s="28" t="s">
        <v>117</v>
      </c>
      <c r="C48" s="50">
        <v>6200</v>
      </c>
      <c r="D48" s="50"/>
      <c r="E48" s="51"/>
      <c r="F48" s="52"/>
      <c r="G48" s="53"/>
      <c r="H48" s="29"/>
      <c r="I48" s="15">
        <f>C48+F48-G48</f>
        <v>6200</v>
      </c>
      <c r="J48" s="15"/>
      <c r="K48" s="29"/>
      <c r="L48" s="52"/>
      <c r="M48" s="53"/>
      <c r="N48" s="29"/>
      <c r="O48" s="52">
        <v>6200</v>
      </c>
      <c r="P48" s="53"/>
    </row>
    <row r="49" spans="1:16" ht="18.75" x14ac:dyDescent="0.4">
      <c r="A49" s="27" t="s">
        <v>48</v>
      </c>
      <c r="B49" s="28" t="s">
        <v>117</v>
      </c>
      <c r="C49" s="50">
        <v>7260</v>
      </c>
      <c r="D49" s="50"/>
      <c r="E49" s="51">
        <v>1</v>
      </c>
      <c r="F49" s="52"/>
      <c r="G49" s="83">
        <v>4940</v>
      </c>
      <c r="H49" s="29"/>
      <c r="I49" s="15">
        <f t="shared" ref="I49:I51" si="5">C49+F49-G49</f>
        <v>2320</v>
      </c>
      <c r="J49" s="15"/>
      <c r="K49" s="29"/>
      <c r="L49" s="52"/>
      <c r="M49" s="53"/>
      <c r="N49" s="29"/>
      <c r="O49" s="52">
        <v>2320</v>
      </c>
      <c r="P49" s="53"/>
    </row>
    <row r="50" spans="1:16" ht="18.75" x14ac:dyDescent="0.4">
      <c r="A50" s="27" t="s">
        <v>49</v>
      </c>
      <c r="B50" s="28" t="s">
        <v>117</v>
      </c>
      <c r="C50" s="50">
        <v>1725</v>
      </c>
      <c r="D50" s="50"/>
      <c r="E50" s="51">
        <v>2</v>
      </c>
      <c r="F50" s="52"/>
      <c r="G50" s="83">
        <v>1185</v>
      </c>
      <c r="H50" s="29"/>
      <c r="I50" s="15">
        <f t="shared" si="5"/>
        <v>540</v>
      </c>
      <c r="J50" s="15"/>
      <c r="K50" s="29"/>
      <c r="L50" s="52"/>
      <c r="M50" s="53"/>
      <c r="N50" s="29"/>
      <c r="O50" s="52">
        <v>540</v>
      </c>
      <c r="P50" s="53"/>
    </row>
    <row r="51" spans="1:16" ht="18.75" x14ac:dyDescent="0.4">
      <c r="A51" s="27" t="s">
        <v>50</v>
      </c>
      <c r="B51" s="28" t="s">
        <v>117</v>
      </c>
      <c r="C51" s="50">
        <v>82800</v>
      </c>
      <c r="D51" s="50"/>
      <c r="E51" s="51"/>
      <c r="F51" s="52"/>
      <c r="G51" s="53"/>
      <c r="H51" s="29"/>
      <c r="I51" s="15">
        <f t="shared" si="5"/>
        <v>82800</v>
      </c>
      <c r="J51" s="15"/>
      <c r="K51" s="29"/>
      <c r="L51" s="52"/>
      <c r="M51" s="53"/>
      <c r="N51" s="29"/>
      <c r="O51" s="52">
        <v>82800</v>
      </c>
      <c r="P51" s="53"/>
    </row>
    <row r="52" spans="1:16" ht="30" x14ac:dyDescent="0.4">
      <c r="A52" s="27" t="s">
        <v>51</v>
      </c>
      <c r="B52" s="28" t="s">
        <v>122</v>
      </c>
      <c r="C52" s="50"/>
      <c r="D52" s="50">
        <v>14600</v>
      </c>
      <c r="E52" s="51">
        <v>3</v>
      </c>
      <c r="F52" s="52"/>
      <c r="G52" s="83">
        <v>7400</v>
      </c>
      <c r="H52" s="29"/>
      <c r="I52" s="15"/>
      <c r="J52" s="15">
        <f>D52-F52+G52</f>
        <v>22000</v>
      </c>
      <c r="K52" s="29"/>
      <c r="L52" s="52"/>
      <c r="M52" s="53"/>
      <c r="N52" s="29"/>
      <c r="O52" s="52"/>
      <c r="P52" s="53">
        <v>22000</v>
      </c>
    </row>
    <row r="53" spans="1:16" ht="18.75" x14ac:dyDescent="0.4">
      <c r="A53" s="27" t="s">
        <v>123</v>
      </c>
      <c r="B53" s="28" t="s">
        <v>121</v>
      </c>
      <c r="C53" s="50"/>
      <c r="D53" s="50">
        <v>50000</v>
      </c>
      <c r="E53" s="51"/>
      <c r="F53" s="52"/>
      <c r="G53" s="53"/>
      <c r="H53" s="29"/>
      <c r="I53" s="15"/>
      <c r="J53" s="15">
        <f t="shared" ref="J53:J54" si="6">D53-F53+G53</f>
        <v>50000</v>
      </c>
      <c r="K53" s="29"/>
      <c r="L53" s="52"/>
      <c r="M53" s="53"/>
      <c r="N53" s="29"/>
      <c r="O53" s="52"/>
      <c r="P53" s="53">
        <v>50000</v>
      </c>
    </row>
    <row r="54" spans="1:16" ht="18.75" x14ac:dyDescent="0.4">
      <c r="A54" s="27" t="s">
        <v>52</v>
      </c>
      <c r="B54" s="28" t="s">
        <v>119</v>
      </c>
      <c r="C54" s="50"/>
      <c r="D54" s="50">
        <v>15540</v>
      </c>
      <c r="E54" s="51"/>
      <c r="F54" s="52"/>
      <c r="G54" s="53"/>
      <c r="H54" s="29"/>
      <c r="I54" s="15"/>
      <c r="J54" s="15">
        <f t="shared" si="6"/>
        <v>15540</v>
      </c>
      <c r="K54" s="29"/>
      <c r="L54" s="52"/>
      <c r="M54" s="53"/>
      <c r="N54" s="29"/>
      <c r="O54" s="52"/>
      <c r="P54" s="53">
        <v>15540</v>
      </c>
    </row>
    <row r="55" spans="1:16" ht="18.75" x14ac:dyDescent="0.4">
      <c r="A55" s="27" t="s">
        <v>53</v>
      </c>
      <c r="B55" s="28" t="s">
        <v>124</v>
      </c>
      <c r="C55" s="50">
        <v>27000</v>
      </c>
      <c r="D55" s="50"/>
      <c r="E55" s="51"/>
      <c r="F55" s="52"/>
      <c r="G55" s="53"/>
      <c r="H55" s="29"/>
      <c r="I55" s="15">
        <f>C55+F55-G55</f>
        <v>27000</v>
      </c>
      <c r="J55" s="15"/>
      <c r="K55" s="29"/>
      <c r="L55" s="52"/>
      <c r="M55" s="53"/>
      <c r="N55" s="29"/>
      <c r="O55" s="52">
        <v>27000</v>
      </c>
      <c r="P55" s="53"/>
    </row>
    <row r="56" spans="1:16" ht="30" x14ac:dyDescent="0.4">
      <c r="A56" s="27" t="s">
        <v>54</v>
      </c>
      <c r="B56" s="28" t="s">
        <v>118</v>
      </c>
      <c r="C56" s="50"/>
      <c r="D56" s="50">
        <v>126500</v>
      </c>
      <c r="E56" s="51"/>
      <c r="F56" s="52"/>
      <c r="G56" s="53"/>
      <c r="H56" s="29"/>
      <c r="I56" s="15"/>
      <c r="J56" s="15">
        <f>D56-F56+G56</f>
        <v>126500</v>
      </c>
      <c r="K56" s="29"/>
      <c r="L56" s="52"/>
      <c r="M56" s="34">
        <v>126500</v>
      </c>
      <c r="N56" s="29"/>
      <c r="O56" s="52"/>
      <c r="P56" s="53"/>
    </row>
    <row r="57" spans="1:16" ht="18.75" x14ac:dyDescent="0.4">
      <c r="A57" s="27" t="s">
        <v>55</v>
      </c>
      <c r="B57" s="28" t="s">
        <v>120</v>
      </c>
      <c r="C57" s="50">
        <v>63250</v>
      </c>
      <c r="D57" s="50"/>
      <c r="E57" s="51">
        <v>4</v>
      </c>
      <c r="F57" s="84">
        <v>260</v>
      </c>
      <c r="G57" s="53"/>
      <c r="H57" s="29"/>
      <c r="I57" s="15">
        <f>C57+F57-G57</f>
        <v>63510</v>
      </c>
      <c r="J57" s="15"/>
      <c r="K57" s="29"/>
      <c r="L57" s="57">
        <v>63510</v>
      </c>
      <c r="M57" s="53"/>
      <c r="N57" s="29"/>
      <c r="O57" s="52"/>
      <c r="P57" s="53"/>
    </row>
    <row r="58" spans="1:16" ht="18.75" x14ac:dyDescent="0.4">
      <c r="A58" s="27" t="s">
        <v>56</v>
      </c>
      <c r="B58" s="28" t="s">
        <v>120</v>
      </c>
      <c r="C58" s="50">
        <v>2250</v>
      </c>
      <c r="D58" s="50"/>
      <c r="E58" s="51"/>
      <c r="F58" s="52"/>
      <c r="G58" s="53"/>
      <c r="H58" s="29"/>
      <c r="I58" s="15">
        <f t="shared" ref="I58:I63" si="7">C58+F58-G58</f>
        <v>2250</v>
      </c>
      <c r="J58" s="15"/>
      <c r="K58" s="29"/>
      <c r="L58" s="57">
        <v>2250</v>
      </c>
      <c r="M58" s="53"/>
      <c r="N58" s="29"/>
      <c r="O58" s="52"/>
      <c r="P58" s="53"/>
    </row>
    <row r="59" spans="1:16" ht="18.75" x14ac:dyDescent="0.4">
      <c r="A59" s="27" t="s">
        <v>57</v>
      </c>
      <c r="B59" s="28" t="s">
        <v>120</v>
      </c>
      <c r="C59" s="50">
        <v>1260</v>
      </c>
      <c r="D59" s="50"/>
      <c r="E59" s="51"/>
      <c r="F59" s="52"/>
      <c r="G59" s="53"/>
      <c r="H59" s="29"/>
      <c r="I59" s="15">
        <f t="shared" si="7"/>
        <v>1260</v>
      </c>
      <c r="J59" s="15"/>
      <c r="K59" s="29"/>
      <c r="L59" s="57">
        <v>1260</v>
      </c>
      <c r="M59" s="53"/>
      <c r="N59" s="29"/>
      <c r="O59" s="52"/>
      <c r="P59" s="53"/>
    </row>
    <row r="60" spans="1:16" ht="18.75" x14ac:dyDescent="0.4">
      <c r="A60" s="27" t="s">
        <v>58</v>
      </c>
      <c r="B60" s="28" t="s">
        <v>120</v>
      </c>
      <c r="C60" s="50">
        <v>7520</v>
      </c>
      <c r="D60" s="50"/>
      <c r="E60" s="51"/>
      <c r="F60" s="52"/>
      <c r="G60" s="53"/>
      <c r="H60" s="29"/>
      <c r="I60" s="15">
        <f t="shared" si="7"/>
        <v>7520</v>
      </c>
      <c r="J60" s="15"/>
      <c r="K60" s="29"/>
      <c r="L60" s="57">
        <v>7520</v>
      </c>
      <c r="M60" s="53"/>
      <c r="N60" s="29"/>
      <c r="O60" s="52"/>
      <c r="P60" s="53"/>
    </row>
    <row r="61" spans="1:16" ht="18.75" x14ac:dyDescent="0.4">
      <c r="A61" s="27" t="s">
        <v>59</v>
      </c>
      <c r="B61" s="28" t="s">
        <v>120</v>
      </c>
      <c r="C61" s="50">
        <v>3405</v>
      </c>
      <c r="D61" s="50"/>
      <c r="E61" s="51">
        <v>5</v>
      </c>
      <c r="F61" s="84">
        <v>830</v>
      </c>
      <c r="G61" s="53"/>
      <c r="H61" s="29"/>
      <c r="I61" s="15">
        <f t="shared" si="7"/>
        <v>4235</v>
      </c>
      <c r="J61" s="15"/>
      <c r="K61" s="29"/>
      <c r="L61" s="57">
        <v>4235</v>
      </c>
      <c r="M61" s="53"/>
      <c r="N61" s="29"/>
      <c r="O61" s="52"/>
      <c r="P61" s="53"/>
    </row>
    <row r="62" spans="1:16" ht="18.75" x14ac:dyDescent="0.4">
      <c r="A62" s="27" t="s">
        <v>60</v>
      </c>
      <c r="B62" s="28" t="s">
        <v>120</v>
      </c>
      <c r="C62" s="50">
        <v>2620</v>
      </c>
      <c r="D62" s="50"/>
      <c r="E62" s="51">
        <v>6</v>
      </c>
      <c r="F62" s="84">
        <v>425</v>
      </c>
      <c r="G62" s="53"/>
      <c r="H62" s="29"/>
      <c r="I62" s="15">
        <f t="shared" si="7"/>
        <v>3045</v>
      </c>
      <c r="J62" s="15"/>
      <c r="K62" s="29"/>
      <c r="L62" s="57">
        <v>3045</v>
      </c>
      <c r="M62" s="53"/>
      <c r="N62" s="29"/>
      <c r="O62" s="52"/>
      <c r="P62" s="53"/>
    </row>
    <row r="63" spans="1:16" ht="30" x14ac:dyDescent="0.4">
      <c r="A63" s="27" t="s">
        <v>61</v>
      </c>
      <c r="B63" s="28" t="s">
        <v>120</v>
      </c>
      <c r="C63" s="50">
        <v>1350</v>
      </c>
      <c r="D63" s="50" t="s">
        <v>62</v>
      </c>
      <c r="E63" s="54">
        <v>7</v>
      </c>
      <c r="F63" s="84">
        <v>250</v>
      </c>
      <c r="G63" s="53"/>
      <c r="H63" s="29"/>
      <c r="I63" s="15">
        <f t="shared" si="7"/>
        <v>1600</v>
      </c>
      <c r="J63" s="15"/>
      <c r="K63" s="29"/>
      <c r="L63" s="57">
        <v>1600</v>
      </c>
      <c r="M63" s="53"/>
      <c r="N63" s="29"/>
      <c r="O63" s="52"/>
      <c r="P63" s="53"/>
    </row>
    <row r="64" spans="1:16" ht="18.75" x14ac:dyDescent="0.4">
      <c r="A64" s="27"/>
      <c r="B64" s="28"/>
      <c r="C64" s="15"/>
      <c r="D64" s="15"/>
      <c r="E64" s="29"/>
      <c r="F64" s="52"/>
      <c r="G64" s="53"/>
      <c r="H64" s="29"/>
      <c r="I64" s="15"/>
      <c r="J64" s="15"/>
      <c r="K64" s="29"/>
      <c r="L64" s="57"/>
      <c r="M64" s="53"/>
      <c r="N64" s="29"/>
      <c r="O64" s="52"/>
      <c r="P64" s="53"/>
    </row>
    <row r="65" spans="1:16" ht="18.75" x14ac:dyDescent="0.4">
      <c r="A65" s="30" t="s">
        <v>69</v>
      </c>
      <c r="B65" s="31" t="s">
        <v>120</v>
      </c>
      <c r="C65" s="15"/>
      <c r="D65" s="15"/>
      <c r="E65" s="29">
        <v>1</v>
      </c>
      <c r="F65" s="83">
        <v>4940</v>
      </c>
      <c r="G65" s="53"/>
      <c r="H65" s="29"/>
      <c r="I65" s="15">
        <f>C65+F65-G65</f>
        <v>4940</v>
      </c>
      <c r="J65" s="15"/>
      <c r="K65" s="29"/>
      <c r="L65" s="57">
        <v>4940</v>
      </c>
      <c r="M65" s="53"/>
      <c r="N65" s="29"/>
      <c r="O65" s="52"/>
      <c r="P65" s="53"/>
    </row>
    <row r="66" spans="1:16" ht="18.75" x14ac:dyDescent="0.4">
      <c r="A66" s="30" t="s">
        <v>70</v>
      </c>
      <c r="B66" s="31" t="s">
        <v>120</v>
      </c>
      <c r="C66" s="15"/>
      <c r="D66" s="15"/>
      <c r="E66" s="29">
        <v>2</v>
      </c>
      <c r="F66" s="83">
        <v>1185</v>
      </c>
      <c r="G66" s="53"/>
      <c r="H66" s="29"/>
      <c r="I66" s="15">
        <f t="shared" ref="I66:I67" si="8">C66+F66-G66</f>
        <v>1185</v>
      </c>
      <c r="J66" s="15"/>
      <c r="K66" s="29"/>
      <c r="L66" s="57">
        <v>1185</v>
      </c>
      <c r="M66" s="53"/>
      <c r="N66" s="29"/>
      <c r="O66" s="52"/>
      <c r="P66" s="53"/>
    </row>
    <row r="67" spans="1:16" ht="18.75" x14ac:dyDescent="0.4">
      <c r="A67" s="30" t="s">
        <v>71</v>
      </c>
      <c r="B67" s="31" t="s">
        <v>120</v>
      </c>
      <c r="C67" s="15"/>
      <c r="D67" s="15"/>
      <c r="E67" s="29">
        <v>3</v>
      </c>
      <c r="F67" s="83">
        <v>7400</v>
      </c>
      <c r="G67" s="53"/>
      <c r="H67" s="29"/>
      <c r="I67" s="15">
        <f t="shared" si="8"/>
        <v>7400</v>
      </c>
      <c r="J67" s="15"/>
      <c r="K67" s="29"/>
      <c r="L67" s="57">
        <v>7400</v>
      </c>
      <c r="M67" s="53"/>
      <c r="N67" s="29"/>
      <c r="O67" s="52"/>
      <c r="P67" s="53"/>
    </row>
    <row r="68" spans="1:16" ht="18.75" x14ac:dyDescent="0.4">
      <c r="A68" s="30" t="s">
        <v>72</v>
      </c>
      <c r="B68" s="31" t="s">
        <v>121</v>
      </c>
      <c r="C68" s="15"/>
      <c r="D68" s="15"/>
      <c r="E68" s="29">
        <v>4</v>
      </c>
      <c r="F68" s="84"/>
      <c r="G68" s="84">
        <v>260</v>
      </c>
      <c r="H68" s="29"/>
      <c r="I68" s="15"/>
      <c r="J68" s="15">
        <f>D68-F68+G68</f>
        <v>260</v>
      </c>
      <c r="K68" s="29"/>
      <c r="L68" s="52"/>
      <c r="M68" s="53"/>
      <c r="N68" s="29"/>
      <c r="O68" s="52"/>
      <c r="P68" s="53">
        <v>260</v>
      </c>
    </row>
    <row r="69" spans="1:16" ht="18.75" x14ac:dyDescent="0.4">
      <c r="A69" s="30" t="s">
        <v>73</v>
      </c>
      <c r="B69" s="31" t="s">
        <v>121</v>
      </c>
      <c r="C69" s="15"/>
      <c r="D69" s="15"/>
      <c r="E69" s="29">
        <v>5</v>
      </c>
      <c r="F69" s="52"/>
      <c r="G69" s="84">
        <v>830</v>
      </c>
      <c r="H69" s="29"/>
      <c r="I69" s="15"/>
      <c r="J69" s="15">
        <f t="shared" ref="J69:J71" si="9">D69-F69+G69</f>
        <v>830</v>
      </c>
      <c r="K69" s="29"/>
      <c r="L69" s="52"/>
      <c r="M69" s="53"/>
      <c r="N69" s="29"/>
      <c r="O69" s="52"/>
      <c r="P69" s="53">
        <v>830</v>
      </c>
    </row>
    <row r="70" spans="1:16" ht="18.75" x14ac:dyDescent="0.4">
      <c r="A70" s="30" t="s">
        <v>74</v>
      </c>
      <c r="B70" s="31" t="s">
        <v>121</v>
      </c>
      <c r="C70" s="15"/>
      <c r="D70" s="15"/>
      <c r="E70" s="29">
        <v>6</v>
      </c>
      <c r="F70" s="52"/>
      <c r="G70" s="84">
        <v>425</v>
      </c>
      <c r="H70" s="29"/>
      <c r="I70" s="15"/>
      <c r="J70" s="15">
        <f t="shared" si="9"/>
        <v>425</v>
      </c>
      <c r="K70" s="29"/>
      <c r="L70" s="52"/>
      <c r="M70" s="53"/>
      <c r="N70" s="29"/>
      <c r="O70" s="52"/>
      <c r="P70" s="53">
        <v>425</v>
      </c>
    </row>
    <row r="71" spans="1:16" ht="18.75" x14ac:dyDescent="0.4">
      <c r="A71" s="30" t="s">
        <v>75</v>
      </c>
      <c r="B71" s="31" t="s">
        <v>121</v>
      </c>
      <c r="C71" s="15"/>
      <c r="D71" s="15"/>
      <c r="E71" s="29">
        <v>7</v>
      </c>
      <c r="F71" s="52"/>
      <c r="G71" s="84">
        <v>250</v>
      </c>
      <c r="H71" s="29"/>
      <c r="I71" s="15"/>
      <c r="J71" s="15">
        <f t="shared" si="9"/>
        <v>250</v>
      </c>
      <c r="K71" s="29"/>
      <c r="L71" s="52"/>
      <c r="M71" s="53"/>
      <c r="N71" s="29"/>
      <c r="O71" s="52"/>
      <c r="P71" s="53">
        <v>250</v>
      </c>
    </row>
    <row r="72" spans="1:16" ht="18.75" x14ac:dyDescent="0.4">
      <c r="A72" s="15" t="s">
        <v>125</v>
      </c>
      <c r="B72" s="29"/>
      <c r="C72" s="15"/>
      <c r="D72" s="15"/>
      <c r="E72" s="29"/>
      <c r="F72" s="52"/>
      <c r="G72" s="53"/>
      <c r="H72" s="29"/>
      <c r="I72" s="15"/>
      <c r="J72" s="15"/>
      <c r="K72" s="29"/>
      <c r="L72" s="52">
        <v>29555</v>
      </c>
      <c r="M72" s="53"/>
      <c r="N72" s="29"/>
      <c r="O72" s="52"/>
      <c r="P72" s="53">
        <f>L72</f>
        <v>29555</v>
      </c>
    </row>
    <row r="73" spans="1:16" ht="18.75" x14ac:dyDescent="0.4">
      <c r="A73" s="32"/>
      <c r="B73" s="29"/>
      <c r="C73" s="15"/>
      <c r="D73" s="15"/>
      <c r="E73" s="51"/>
      <c r="F73" s="52"/>
      <c r="G73" s="53"/>
      <c r="H73" s="29"/>
      <c r="I73" s="15"/>
      <c r="J73" s="15"/>
      <c r="K73" s="29"/>
      <c r="L73" s="52"/>
      <c r="M73" s="53"/>
      <c r="N73" s="29"/>
      <c r="O73" s="52"/>
      <c r="P73" s="53"/>
    </row>
    <row r="74" spans="1:16" ht="19.5" thickBot="1" x14ac:dyDescent="0.45">
      <c r="A74" s="15" t="s">
        <v>68</v>
      </c>
      <c r="B74" s="29"/>
      <c r="C74" s="50">
        <f>SUM(C48:C63)</f>
        <v>206640</v>
      </c>
      <c r="D74" s="50">
        <f>SUM(D48:D63)</f>
        <v>206640</v>
      </c>
      <c r="E74" s="29"/>
      <c r="F74" s="55"/>
      <c r="G74" s="55"/>
      <c r="H74" s="56"/>
      <c r="I74" s="55">
        <f>SUM(I48:I73)</f>
        <v>215805</v>
      </c>
      <c r="J74" s="55">
        <f>SUM(J48:J73)</f>
        <v>215805</v>
      </c>
      <c r="K74" s="56"/>
      <c r="L74" s="55">
        <f>SUM(L48:L73)</f>
        <v>126500</v>
      </c>
      <c r="M74" s="55">
        <f>SUM(M48:M73)</f>
        <v>126500</v>
      </c>
      <c r="N74" s="56"/>
      <c r="O74" s="55">
        <f>SUM(O48:O73)</f>
        <v>118860</v>
      </c>
      <c r="P74" s="55">
        <f>SUM(P48:P73)</f>
        <v>118860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678-24D7-4F17-8C17-332E4659A9B1}">
  <dimension ref="A1:W76"/>
  <sheetViews>
    <sheetView topLeftCell="A6" zoomScale="114" zoomScaleNormal="100" workbookViewId="0">
      <selection activeCell="C10" sqref="C10"/>
    </sheetView>
  </sheetViews>
  <sheetFormatPr defaultColWidth="9.140625" defaultRowHeight="18.75" x14ac:dyDescent="0.4"/>
  <cols>
    <col min="1" max="1" width="37.42578125" style="32" bestFit="1" customWidth="1"/>
    <col min="2" max="2" width="5.42578125" style="32" customWidth="1"/>
    <col min="3" max="3" width="17" style="32" customWidth="1"/>
    <col min="4" max="4" width="14.42578125" style="32" customWidth="1"/>
    <col min="5" max="5" width="5.7109375" style="32" customWidth="1"/>
    <col min="6" max="7" width="9.140625" style="32" customWidth="1"/>
    <col min="8" max="8" width="3.42578125" style="32" customWidth="1"/>
    <col min="9" max="9" width="14.85546875" style="32" customWidth="1"/>
    <col min="10" max="10" width="13.42578125" style="32" customWidth="1"/>
    <col min="11" max="11" width="3.140625" style="32" customWidth="1"/>
    <col min="12" max="12" width="9.85546875" style="32" bestFit="1" customWidth="1"/>
    <col min="13" max="13" width="14.85546875" style="32" customWidth="1"/>
    <col min="14" max="14" width="3.28515625" style="32" customWidth="1"/>
    <col min="15" max="15" width="15.7109375" style="32" customWidth="1"/>
    <col min="16" max="16" width="14.140625" style="32" customWidth="1"/>
    <col min="17" max="17" width="9.140625" style="32"/>
    <col min="18" max="18" width="14.85546875" style="32" customWidth="1"/>
    <col min="19" max="16384" width="9.140625" style="32"/>
  </cols>
  <sheetData>
    <row r="1" spans="1:23" x14ac:dyDescent="0.4">
      <c r="A1" s="88" t="s">
        <v>212</v>
      </c>
    </row>
    <row r="2" spans="1:23" x14ac:dyDescent="0.4">
      <c r="A2" s="15" t="s">
        <v>107</v>
      </c>
      <c r="B2" s="15"/>
      <c r="C2" s="19" t="s">
        <v>27</v>
      </c>
      <c r="D2" s="19" t="s">
        <v>63</v>
      </c>
      <c r="E2" s="20"/>
      <c r="F2" s="19" t="s">
        <v>64</v>
      </c>
      <c r="G2" s="19"/>
      <c r="H2" s="19"/>
      <c r="I2" s="19" t="s">
        <v>28</v>
      </c>
      <c r="J2" s="19" t="s">
        <v>63</v>
      </c>
      <c r="K2" s="19"/>
      <c r="L2" s="21" t="s">
        <v>65</v>
      </c>
      <c r="M2" s="21" t="s">
        <v>66</v>
      </c>
      <c r="N2" s="21"/>
      <c r="O2" s="19" t="s">
        <v>67</v>
      </c>
      <c r="P2" s="21"/>
    </row>
    <row r="3" spans="1:23" x14ac:dyDescent="0.4">
      <c r="A3" s="15"/>
      <c r="B3" s="15"/>
      <c r="C3" s="15"/>
      <c r="D3" s="19"/>
      <c r="E3" s="20" t="s">
        <v>93</v>
      </c>
      <c r="F3" s="19"/>
      <c r="G3" s="19"/>
      <c r="H3" s="19"/>
      <c r="I3" s="15"/>
      <c r="J3" s="19"/>
      <c r="K3" s="19"/>
      <c r="L3" s="15" t="s">
        <v>209</v>
      </c>
      <c r="M3" s="21" t="s">
        <v>210</v>
      </c>
      <c r="N3" s="21"/>
      <c r="O3" s="21"/>
      <c r="P3" s="21"/>
    </row>
    <row r="4" spans="1:23" ht="19.5" x14ac:dyDescent="0.4">
      <c r="A4" s="17" t="s">
        <v>94</v>
      </c>
      <c r="B4" s="15"/>
      <c r="C4" s="20" t="s">
        <v>45</v>
      </c>
      <c r="D4" s="20" t="s">
        <v>46</v>
      </c>
      <c r="E4" s="20"/>
      <c r="F4" s="20" t="s">
        <v>45</v>
      </c>
      <c r="G4" s="20" t="s">
        <v>46</v>
      </c>
      <c r="H4" s="20"/>
      <c r="I4" s="20" t="s">
        <v>45</v>
      </c>
      <c r="J4" s="21" t="s">
        <v>46</v>
      </c>
      <c r="K4" s="21"/>
      <c r="L4" s="20" t="s">
        <v>45</v>
      </c>
      <c r="M4" s="20" t="s">
        <v>46</v>
      </c>
      <c r="N4" s="20"/>
      <c r="O4" s="20" t="s">
        <v>45</v>
      </c>
      <c r="P4" s="20" t="s">
        <v>46</v>
      </c>
    </row>
    <row r="5" spans="1:23" ht="19.5" x14ac:dyDescent="0.4">
      <c r="A5" s="17" t="s">
        <v>77</v>
      </c>
      <c r="B5" s="15"/>
      <c r="C5" s="15">
        <v>5200</v>
      </c>
      <c r="D5" s="15"/>
      <c r="E5" s="15"/>
      <c r="F5" s="15"/>
      <c r="G5" s="15"/>
      <c r="H5" s="15"/>
      <c r="I5" s="15">
        <v>5200</v>
      </c>
      <c r="J5" s="15"/>
      <c r="K5" s="15"/>
      <c r="L5" s="15"/>
      <c r="M5" s="15"/>
      <c r="N5" s="15"/>
      <c r="O5" s="15">
        <v>5200</v>
      </c>
      <c r="P5" s="15"/>
    </row>
    <row r="6" spans="1:23" ht="19.5" x14ac:dyDescent="0.4">
      <c r="A6" s="17" t="s">
        <v>95</v>
      </c>
      <c r="B6" s="15"/>
      <c r="C6" s="15">
        <v>9260</v>
      </c>
      <c r="D6" s="15"/>
      <c r="E6" s="15"/>
      <c r="F6" s="15"/>
      <c r="G6" s="15"/>
      <c r="H6" s="15"/>
      <c r="I6" s="15">
        <v>9260</v>
      </c>
      <c r="J6" s="15"/>
      <c r="K6" s="15"/>
      <c r="L6" s="15"/>
      <c r="M6" s="15"/>
      <c r="N6" s="15"/>
      <c r="O6" s="15">
        <v>9260</v>
      </c>
      <c r="P6" s="15"/>
    </row>
    <row r="7" spans="1:23" ht="19.5" x14ac:dyDescent="0.4">
      <c r="A7" s="17" t="s">
        <v>96</v>
      </c>
      <c r="B7" s="15"/>
      <c r="C7" s="15">
        <v>920</v>
      </c>
      <c r="D7" s="15"/>
      <c r="E7" s="15"/>
      <c r="F7" s="15"/>
      <c r="G7" s="15"/>
      <c r="H7" s="15"/>
      <c r="I7" s="15">
        <v>920</v>
      </c>
      <c r="J7" s="15"/>
      <c r="K7" s="15"/>
      <c r="L7" s="15"/>
      <c r="M7" s="15"/>
      <c r="N7" s="15"/>
      <c r="O7" s="15">
        <v>920</v>
      </c>
      <c r="P7" s="15"/>
    </row>
    <row r="8" spans="1:23" ht="19.5" x14ac:dyDescent="0.4">
      <c r="A8" s="17" t="s">
        <v>78</v>
      </c>
      <c r="B8" s="15" t="s">
        <v>117</v>
      </c>
      <c r="C8" s="15">
        <v>1140</v>
      </c>
      <c r="D8" s="15"/>
      <c r="E8" s="15">
        <v>1</v>
      </c>
      <c r="F8" s="15"/>
      <c r="G8" s="86">
        <v>720</v>
      </c>
      <c r="H8" s="15"/>
      <c r="I8" s="15">
        <v>420</v>
      </c>
      <c r="J8" s="15"/>
      <c r="K8" s="15"/>
      <c r="L8" s="15"/>
      <c r="M8" s="15"/>
      <c r="N8" s="15"/>
      <c r="O8" s="15">
        <v>420</v>
      </c>
      <c r="P8" s="15"/>
    </row>
    <row r="9" spans="1:23" ht="19.5" x14ac:dyDescent="0.4">
      <c r="A9" s="17" t="s">
        <v>97</v>
      </c>
      <c r="B9" s="15"/>
      <c r="C9" s="15">
        <v>60000</v>
      </c>
      <c r="D9" s="15"/>
      <c r="E9" s="15"/>
      <c r="F9" s="15"/>
      <c r="G9" s="15"/>
      <c r="H9" s="15"/>
      <c r="I9" s="15">
        <v>60000</v>
      </c>
      <c r="J9" s="15"/>
      <c r="K9" s="15"/>
      <c r="L9" s="15"/>
      <c r="M9" s="15"/>
      <c r="N9" s="15"/>
      <c r="O9" s="15">
        <v>60000</v>
      </c>
      <c r="P9" s="15"/>
    </row>
    <row r="10" spans="1:23" ht="19.5" x14ac:dyDescent="0.4">
      <c r="A10" s="17" t="s">
        <v>98</v>
      </c>
      <c r="B10" s="15"/>
      <c r="C10" s="15">
        <v>152000</v>
      </c>
      <c r="D10" s="15"/>
      <c r="E10" s="15"/>
      <c r="F10" s="15"/>
      <c r="G10" s="15"/>
      <c r="H10" s="15"/>
      <c r="I10" s="15">
        <v>152000</v>
      </c>
      <c r="J10" s="15"/>
      <c r="K10" s="15"/>
      <c r="L10" s="15"/>
      <c r="M10" s="15"/>
      <c r="N10" s="15"/>
      <c r="O10" s="15">
        <v>152000</v>
      </c>
      <c r="P10" s="15"/>
    </row>
    <row r="11" spans="1:23" ht="19.5" x14ac:dyDescent="0.4">
      <c r="A11" s="17" t="s">
        <v>135</v>
      </c>
      <c r="B11" s="15"/>
      <c r="C11" s="15"/>
      <c r="D11" s="15">
        <v>64000</v>
      </c>
      <c r="E11" s="15">
        <v>3</v>
      </c>
      <c r="F11" s="86"/>
      <c r="G11" s="86">
        <v>8760</v>
      </c>
      <c r="H11" s="15"/>
      <c r="I11" s="15"/>
      <c r="J11" s="89">
        <v>72760</v>
      </c>
      <c r="K11" s="15"/>
      <c r="L11" s="15"/>
      <c r="M11" s="15"/>
      <c r="N11" s="15"/>
      <c r="O11" s="15"/>
      <c r="P11" s="89">
        <v>72760</v>
      </c>
    </row>
    <row r="12" spans="1:23" ht="19.5" x14ac:dyDescent="0.4">
      <c r="A12" s="17" t="s">
        <v>80</v>
      </c>
      <c r="B12" s="15"/>
      <c r="C12" s="15">
        <v>23400</v>
      </c>
      <c r="D12" s="15"/>
      <c r="E12" s="15"/>
      <c r="F12" s="15"/>
      <c r="G12" s="86"/>
      <c r="H12" s="15"/>
      <c r="I12" s="15">
        <v>23400</v>
      </c>
      <c r="J12" s="15"/>
      <c r="K12" s="15"/>
      <c r="L12" s="15"/>
      <c r="M12" s="15"/>
      <c r="N12" s="15"/>
      <c r="O12" s="15">
        <v>23400</v>
      </c>
      <c r="P12" s="15"/>
    </row>
    <row r="13" spans="1:23" ht="19.5" x14ac:dyDescent="0.4">
      <c r="A13" s="17" t="s">
        <v>136</v>
      </c>
      <c r="B13" s="15"/>
      <c r="C13" s="15"/>
      <c r="D13" s="15">
        <v>6420</v>
      </c>
      <c r="E13" s="15">
        <v>3</v>
      </c>
      <c r="F13" s="86"/>
      <c r="G13" s="86">
        <v>2140</v>
      </c>
      <c r="H13" s="15"/>
      <c r="I13" s="15"/>
      <c r="J13" s="15">
        <v>8560</v>
      </c>
      <c r="K13" s="15"/>
      <c r="L13" s="15"/>
      <c r="M13" s="15"/>
      <c r="N13" s="15"/>
      <c r="O13" s="15"/>
      <c r="P13" s="15">
        <v>8560</v>
      </c>
      <c r="W13" s="107" t="s">
        <v>240</v>
      </c>
    </row>
    <row r="14" spans="1:23" ht="19.5" x14ac:dyDescent="0.4">
      <c r="A14" s="17" t="s">
        <v>99</v>
      </c>
      <c r="B14" s="15"/>
      <c r="C14" s="15"/>
      <c r="D14" s="15">
        <v>7960</v>
      </c>
      <c r="E14" s="15"/>
      <c r="F14" s="15"/>
      <c r="G14" s="15"/>
      <c r="H14" s="15"/>
      <c r="I14" s="15"/>
      <c r="J14" s="15">
        <v>7960</v>
      </c>
      <c r="K14" s="15"/>
      <c r="L14" s="15"/>
      <c r="M14" s="15"/>
      <c r="N14" s="15"/>
      <c r="O14" s="15"/>
      <c r="P14" s="15">
        <v>7960</v>
      </c>
      <c r="R14" s="105"/>
      <c r="S14" s="32" t="s">
        <v>211</v>
      </c>
      <c r="W14" s="107" t="s">
        <v>241</v>
      </c>
    </row>
    <row r="15" spans="1:23" ht="19.5" x14ac:dyDescent="0.4">
      <c r="A15" s="17" t="s">
        <v>100</v>
      </c>
      <c r="B15" s="15" t="s">
        <v>121</v>
      </c>
      <c r="C15" s="15"/>
      <c r="D15" s="15">
        <v>1560</v>
      </c>
      <c r="E15" s="15">
        <v>2</v>
      </c>
      <c r="F15" s="86">
        <v>1200</v>
      </c>
      <c r="G15" s="15"/>
      <c r="H15" s="15"/>
      <c r="I15" s="15"/>
      <c r="J15" s="15">
        <v>360</v>
      </c>
      <c r="K15" s="15"/>
      <c r="L15" s="15"/>
      <c r="M15" s="15"/>
      <c r="N15" s="15"/>
      <c r="O15" s="15"/>
      <c r="P15" s="15">
        <v>360</v>
      </c>
      <c r="W15" s="107" t="s">
        <v>242</v>
      </c>
    </row>
    <row r="16" spans="1:23" ht="19.5" x14ac:dyDescent="0.4">
      <c r="A16" s="17" t="s">
        <v>101</v>
      </c>
      <c r="B16" s="15"/>
      <c r="C16" s="15"/>
      <c r="D16" s="15">
        <v>2000</v>
      </c>
      <c r="E16" s="15"/>
      <c r="F16" s="15"/>
      <c r="G16" s="15"/>
      <c r="H16" s="15"/>
      <c r="I16" s="15"/>
      <c r="J16" s="15">
        <v>2000</v>
      </c>
      <c r="K16" s="15"/>
      <c r="L16" s="15"/>
      <c r="M16" s="15"/>
      <c r="N16" s="15"/>
      <c r="O16" s="15"/>
      <c r="P16" s="15">
        <v>2000</v>
      </c>
      <c r="R16" s="32" t="s">
        <v>208</v>
      </c>
      <c r="W16" s="107" t="s">
        <v>243</v>
      </c>
    </row>
    <row r="17" spans="1:23" ht="19.5" x14ac:dyDescent="0.4">
      <c r="A17" s="17" t="s">
        <v>102</v>
      </c>
      <c r="B17" s="15"/>
      <c r="C17" s="15"/>
      <c r="D17" s="15">
        <v>88600</v>
      </c>
      <c r="E17" s="15"/>
      <c r="F17" s="15"/>
      <c r="G17" s="15"/>
      <c r="H17" s="15"/>
      <c r="I17" s="15"/>
      <c r="J17" s="15">
        <v>88600</v>
      </c>
      <c r="K17" s="15"/>
      <c r="L17" s="15"/>
      <c r="M17" s="15"/>
      <c r="N17" s="15"/>
      <c r="O17" s="15"/>
      <c r="P17" s="15">
        <v>88600</v>
      </c>
      <c r="W17" s="107" t="s">
        <v>244</v>
      </c>
    </row>
    <row r="18" spans="1:23" ht="19.5" x14ac:dyDescent="0.4">
      <c r="A18" s="17" t="s">
        <v>103</v>
      </c>
      <c r="B18" s="15"/>
      <c r="C18" s="15"/>
      <c r="D18" s="15">
        <v>71490</v>
      </c>
      <c r="E18" s="15"/>
      <c r="F18" s="15"/>
      <c r="G18" s="15"/>
      <c r="H18" s="15"/>
      <c r="I18" s="15"/>
      <c r="J18" s="15">
        <v>71490</v>
      </c>
      <c r="K18" s="15"/>
      <c r="L18" s="15"/>
      <c r="M18" s="15"/>
      <c r="N18" s="15"/>
      <c r="O18" s="15"/>
      <c r="P18" s="15">
        <v>71490</v>
      </c>
      <c r="R18" s="32" t="s">
        <v>206</v>
      </c>
      <c r="W18" s="107" t="s">
        <v>245</v>
      </c>
    </row>
    <row r="19" spans="1:23" ht="19.5" x14ac:dyDescent="0.4">
      <c r="A19" s="17" t="s">
        <v>104</v>
      </c>
      <c r="B19" s="15"/>
      <c r="C19" s="15">
        <v>52780</v>
      </c>
      <c r="D19" s="15"/>
      <c r="E19" s="15"/>
      <c r="F19" s="15"/>
      <c r="G19" s="15"/>
      <c r="H19" s="15"/>
      <c r="I19" s="15">
        <v>52780</v>
      </c>
      <c r="J19" s="15"/>
      <c r="K19" s="15"/>
      <c r="L19" s="15"/>
      <c r="M19" s="15"/>
      <c r="N19" s="15"/>
      <c r="O19" s="87">
        <v>52780</v>
      </c>
      <c r="P19" s="15"/>
      <c r="R19" s="32" t="s">
        <v>207</v>
      </c>
    </row>
    <row r="20" spans="1:23" ht="19.5" x14ac:dyDescent="0.4">
      <c r="A20" s="17" t="s">
        <v>105</v>
      </c>
      <c r="B20" s="15" t="s">
        <v>118</v>
      </c>
      <c r="C20" s="15"/>
      <c r="D20" s="15">
        <v>156860</v>
      </c>
      <c r="E20" s="15">
        <v>2</v>
      </c>
      <c r="F20" s="86"/>
      <c r="G20" s="86">
        <v>1200</v>
      </c>
      <c r="H20" s="15"/>
      <c r="I20" s="15"/>
      <c r="J20" s="15">
        <v>158060</v>
      </c>
      <c r="K20" s="15"/>
      <c r="L20" s="15"/>
      <c r="M20" s="87">
        <v>158060</v>
      </c>
      <c r="N20" s="15"/>
      <c r="O20" s="15"/>
      <c r="P20" s="15"/>
    </row>
    <row r="21" spans="1:23" ht="19.5" x14ac:dyDescent="0.4">
      <c r="A21" s="17" t="s">
        <v>70</v>
      </c>
      <c r="B21" s="15"/>
      <c r="C21" s="15">
        <v>1660</v>
      </c>
      <c r="D21" s="15"/>
      <c r="E21" s="15">
        <v>4</v>
      </c>
      <c r="F21" s="86"/>
      <c r="G21" s="86">
        <v>585</v>
      </c>
      <c r="H21" s="15"/>
      <c r="I21" s="15">
        <v>1075</v>
      </c>
      <c r="J21" s="15"/>
      <c r="K21" s="15"/>
      <c r="L21" s="98">
        <v>1075</v>
      </c>
      <c r="M21" s="15"/>
      <c r="N21" s="15"/>
      <c r="O21" s="102"/>
      <c r="P21" s="15"/>
    </row>
    <row r="22" spans="1:23" ht="19.5" x14ac:dyDescent="0.4">
      <c r="A22" s="17" t="s">
        <v>84</v>
      </c>
      <c r="B22" s="15"/>
      <c r="C22" s="15">
        <v>87940</v>
      </c>
      <c r="D22" s="15"/>
      <c r="E22" s="15">
        <v>7</v>
      </c>
      <c r="F22" s="86">
        <v>980</v>
      </c>
      <c r="G22" s="15"/>
      <c r="H22" s="15"/>
      <c r="I22" s="15">
        <v>88920</v>
      </c>
      <c r="J22" s="15"/>
      <c r="K22" s="15"/>
      <c r="L22" s="98">
        <v>88920</v>
      </c>
      <c r="M22" s="15"/>
      <c r="N22" s="15"/>
      <c r="O22" s="102"/>
    </row>
    <row r="23" spans="1:23" ht="19.5" x14ac:dyDescent="0.4">
      <c r="A23" s="17" t="s">
        <v>88</v>
      </c>
      <c r="B23" s="15"/>
      <c r="C23" s="15">
        <v>760</v>
      </c>
      <c r="D23" s="15"/>
      <c r="E23" s="15"/>
      <c r="F23" s="15"/>
      <c r="G23" s="15"/>
      <c r="H23" s="15"/>
      <c r="I23" s="15">
        <v>760</v>
      </c>
      <c r="J23" s="15"/>
      <c r="K23" s="15"/>
      <c r="L23" s="98">
        <v>760</v>
      </c>
      <c r="M23" s="15"/>
      <c r="N23" s="15"/>
      <c r="O23" s="102"/>
      <c r="P23" s="15"/>
    </row>
    <row r="24" spans="1:23" ht="19.5" x14ac:dyDescent="0.4">
      <c r="A24" s="17" t="s">
        <v>90</v>
      </c>
      <c r="B24" s="15"/>
      <c r="C24" s="15">
        <v>2090</v>
      </c>
      <c r="D24" s="15"/>
      <c r="E24" s="15">
        <v>5</v>
      </c>
      <c r="F24" s="86">
        <v>220</v>
      </c>
      <c r="G24" s="15"/>
      <c r="H24" s="15"/>
      <c r="I24" s="15">
        <v>2310</v>
      </c>
      <c r="J24" s="15"/>
      <c r="K24" s="15"/>
      <c r="L24" s="98">
        <v>2310</v>
      </c>
      <c r="M24" s="15"/>
      <c r="N24" s="15"/>
      <c r="O24" s="102"/>
      <c r="P24" s="15"/>
      <c r="R24" s="106" t="s">
        <v>213</v>
      </c>
    </row>
    <row r="25" spans="1:23" ht="19.5" x14ac:dyDescent="0.4">
      <c r="A25" s="17" t="s">
        <v>106</v>
      </c>
      <c r="B25" s="15"/>
      <c r="C25" s="15">
        <v>1740</v>
      </c>
      <c r="D25" s="15" t="s">
        <v>62</v>
      </c>
      <c r="E25" s="15">
        <v>6</v>
      </c>
      <c r="F25" s="86">
        <v>320</v>
      </c>
      <c r="G25" s="15"/>
      <c r="H25" s="15"/>
      <c r="I25" s="90">
        <v>2060</v>
      </c>
      <c r="J25" s="15"/>
      <c r="K25" s="15"/>
      <c r="L25" s="100">
        <v>2060</v>
      </c>
      <c r="M25" s="15"/>
      <c r="N25" s="15"/>
      <c r="O25" s="103"/>
      <c r="P25" s="15"/>
      <c r="R25" s="108" t="s">
        <v>214</v>
      </c>
    </row>
    <row r="26" spans="1:23" ht="19.5" x14ac:dyDescent="0.4">
      <c r="A26" s="18" t="s">
        <v>108</v>
      </c>
      <c r="B26" s="16" t="s">
        <v>120</v>
      </c>
      <c r="C26" s="15"/>
      <c r="D26" s="15"/>
      <c r="E26" s="15">
        <v>1</v>
      </c>
      <c r="F26" s="86">
        <v>720</v>
      </c>
      <c r="G26" s="15"/>
      <c r="H26" s="15"/>
      <c r="I26" s="15">
        <v>720</v>
      </c>
      <c r="J26" s="15"/>
      <c r="K26" s="15"/>
      <c r="L26" s="98">
        <v>720</v>
      </c>
      <c r="M26" s="15"/>
      <c r="N26" s="15"/>
      <c r="O26" s="102"/>
      <c r="P26" s="15"/>
      <c r="R26" s="108" t="s">
        <v>215</v>
      </c>
    </row>
    <row r="27" spans="1:23" ht="19.5" x14ac:dyDescent="0.4">
      <c r="A27" s="18" t="s">
        <v>109</v>
      </c>
      <c r="B27" s="16"/>
      <c r="C27" s="15"/>
      <c r="D27" s="15"/>
      <c r="E27" s="15">
        <v>3</v>
      </c>
      <c r="F27" s="86">
        <v>8760</v>
      </c>
      <c r="G27" s="15"/>
      <c r="H27" s="15"/>
      <c r="I27" s="15">
        <v>8760</v>
      </c>
      <c r="J27" s="15"/>
      <c r="K27" s="15"/>
      <c r="L27" s="98">
        <v>8760</v>
      </c>
      <c r="M27" s="15"/>
      <c r="N27" s="15"/>
      <c r="O27" s="15"/>
      <c r="P27" s="15"/>
      <c r="R27" s="126" t="s">
        <v>216</v>
      </c>
    </row>
    <row r="28" spans="1:23" ht="19.5" x14ac:dyDescent="0.4">
      <c r="A28" s="18" t="s">
        <v>110</v>
      </c>
      <c r="B28" s="16"/>
      <c r="C28" s="15"/>
      <c r="D28" s="15"/>
      <c r="E28" s="15">
        <v>3</v>
      </c>
      <c r="F28" s="86">
        <v>2140</v>
      </c>
      <c r="G28" s="15"/>
      <c r="H28" s="15"/>
      <c r="I28" s="15">
        <v>2140</v>
      </c>
      <c r="J28" s="15"/>
      <c r="K28" s="15"/>
      <c r="L28" s="98">
        <v>2140</v>
      </c>
      <c r="M28" s="15"/>
      <c r="N28" s="15"/>
      <c r="O28" s="15"/>
      <c r="P28" s="15"/>
      <c r="R28" s="108" t="s">
        <v>217</v>
      </c>
    </row>
    <row r="29" spans="1:23" ht="19.5" x14ac:dyDescent="0.4">
      <c r="A29" s="18" t="s">
        <v>79</v>
      </c>
      <c r="B29" s="16"/>
      <c r="C29" s="15"/>
      <c r="D29" s="15"/>
      <c r="E29" s="15">
        <v>4</v>
      </c>
      <c r="F29" s="86">
        <v>585</v>
      </c>
      <c r="G29" s="86"/>
      <c r="H29" s="15"/>
      <c r="I29" s="15">
        <v>585</v>
      </c>
      <c r="J29" s="15"/>
      <c r="K29" s="15"/>
      <c r="L29" s="15"/>
      <c r="M29" s="15"/>
      <c r="N29" s="15"/>
      <c r="O29" s="15">
        <v>585</v>
      </c>
      <c r="P29" s="15"/>
    </row>
    <row r="30" spans="1:23" ht="20.25" thickBot="1" x14ac:dyDescent="0.45">
      <c r="A30" s="18" t="s">
        <v>75</v>
      </c>
      <c r="B30" s="16"/>
      <c r="C30" s="15"/>
      <c r="D30" s="15"/>
      <c r="E30" s="15">
        <v>5</v>
      </c>
      <c r="F30" s="15"/>
      <c r="G30" s="86">
        <v>220</v>
      </c>
      <c r="H30" s="15"/>
      <c r="I30" s="15"/>
      <c r="J30" s="15">
        <v>220</v>
      </c>
      <c r="K30" s="15"/>
      <c r="L30" s="15"/>
      <c r="M30" s="15"/>
      <c r="N30" s="15"/>
      <c r="O30" s="15"/>
      <c r="P30" s="15">
        <v>220</v>
      </c>
    </row>
    <row r="31" spans="1:23" ht="39" x14ac:dyDescent="0.4">
      <c r="A31" s="18" t="s">
        <v>111</v>
      </c>
      <c r="B31" s="16"/>
      <c r="C31" s="15"/>
      <c r="D31" s="15"/>
      <c r="E31" s="15">
        <v>6</v>
      </c>
      <c r="F31" s="15"/>
      <c r="G31" s="86">
        <v>320</v>
      </c>
      <c r="H31" s="15"/>
      <c r="I31" s="15"/>
      <c r="J31" s="15">
        <v>320</v>
      </c>
      <c r="K31" s="15"/>
      <c r="L31" s="15"/>
      <c r="M31" s="15"/>
      <c r="N31" s="15"/>
      <c r="O31" s="15"/>
      <c r="P31" s="15">
        <v>320</v>
      </c>
      <c r="R31" s="141" t="s">
        <v>219</v>
      </c>
      <c r="S31" s="142"/>
      <c r="T31" s="142"/>
      <c r="U31" s="142"/>
      <c r="V31" s="143"/>
    </row>
    <row r="32" spans="1:23" ht="19.5" x14ac:dyDescent="0.4">
      <c r="A32" s="18" t="s">
        <v>72</v>
      </c>
      <c r="B32" s="16"/>
      <c r="C32" s="15"/>
      <c r="D32" s="15"/>
      <c r="E32" s="15">
        <v>7</v>
      </c>
      <c r="F32" s="15"/>
      <c r="G32" s="86">
        <v>980</v>
      </c>
      <c r="H32" s="15"/>
      <c r="I32" s="15"/>
      <c r="J32" s="15">
        <v>980</v>
      </c>
      <c r="K32" s="15"/>
      <c r="L32" s="15"/>
      <c r="M32" s="15"/>
      <c r="N32" s="15"/>
      <c r="O32" s="15"/>
      <c r="P32" s="15">
        <v>980</v>
      </c>
      <c r="R32" s="138" t="s">
        <v>10</v>
      </c>
      <c r="S32" s="139"/>
      <c r="T32" s="139"/>
      <c r="U32" s="139"/>
      <c r="V32" s="140"/>
    </row>
    <row r="33" spans="1:22" ht="20.25" thickBot="1" x14ac:dyDescent="0.45">
      <c r="A33" s="18"/>
      <c r="B33" s="16"/>
      <c r="C33" s="15"/>
      <c r="D33" s="15"/>
      <c r="E33" s="15"/>
      <c r="F33" s="15"/>
      <c r="G33" s="86"/>
      <c r="H33" s="15"/>
      <c r="I33" s="15"/>
      <c r="J33" s="15"/>
      <c r="K33" s="15"/>
      <c r="L33" s="104">
        <f>SUM(L21:L28)</f>
        <v>106745</v>
      </c>
      <c r="M33" s="15"/>
      <c r="N33" s="15"/>
      <c r="O33" s="15"/>
      <c r="P33" s="15"/>
      <c r="R33" s="138" t="s">
        <v>127</v>
      </c>
      <c r="S33" s="139"/>
      <c r="T33" s="139"/>
      <c r="U33" s="114" t="s">
        <v>220</v>
      </c>
      <c r="V33" s="115" t="s">
        <v>221</v>
      </c>
    </row>
    <row r="34" spans="1:22" ht="20.25" thickTop="1" x14ac:dyDescent="0.4">
      <c r="A34" s="18" t="s">
        <v>112</v>
      </c>
      <c r="B34" s="16"/>
      <c r="C34" s="15"/>
      <c r="D34" s="15"/>
      <c r="E34" s="15"/>
      <c r="F34" s="15"/>
      <c r="G34" s="15"/>
      <c r="H34" s="15"/>
      <c r="I34" s="15"/>
      <c r="J34" s="15"/>
      <c r="K34" s="15"/>
      <c r="L34" s="15">
        <v>51315</v>
      </c>
      <c r="M34" s="15"/>
      <c r="N34" s="15"/>
      <c r="O34" s="15"/>
      <c r="P34" s="87">
        <v>51315</v>
      </c>
      <c r="R34" s="116" t="s">
        <v>105</v>
      </c>
      <c r="S34" s="108"/>
      <c r="T34" s="108"/>
      <c r="U34" s="118" t="s">
        <v>223</v>
      </c>
      <c r="V34" s="119"/>
    </row>
    <row r="35" spans="1:22" ht="19.5" x14ac:dyDescent="0.4">
      <c r="A35" s="17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R35" s="117" t="s">
        <v>222</v>
      </c>
      <c r="S35" s="108"/>
      <c r="T35" s="108"/>
      <c r="U35" s="118"/>
      <c r="V35" s="119" t="s">
        <v>223</v>
      </c>
    </row>
    <row r="36" spans="1:22" x14ac:dyDescent="0.4">
      <c r="A36" s="15"/>
      <c r="B36" s="15"/>
      <c r="C36" s="15">
        <f>SUM(C5:C35)</f>
        <v>398890</v>
      </c>
      <c r="D36" s="15">
        <f>SUM(D5:D35)</f>
        <v>398890</v>
      </c>
      <c r="E36" s="15"/>
      <c r="F36" s="15">
        <f>SUM(F5:F35)</f>
        <v>14925</v>
      </c>
      <c r="G36" s="15">
        <f>SUM(G5:G35)</f>
        <v>14925</v>
      </c>
      <c r="H36" s="15"/>
      <c r="I36" s="15">
        <f>SUM(I5:I35)</f>
        <v>411310</v>
      </c>
      <c r="J36" s="15">
        <f>SUM(J5:J35)</f>
        <v>411310</v>
      </c>
      <c r="K36" s="15"/>
      <c r="L36" s="102">
        <v>158060</v>
      </c>
      <c r="M36" s="102">
        <v>158060</v>
      </c>
      <c r="N36" s="15"/>
      <c r="O36" s="15">
        <f>SUM(O5:O35)</f>
        <v>304565</v>
      </c>
      <c r="P36" s="15">
        <f>SUM(P5:P35)</f>
        <v>304565</v>
      </c>
      <c r="R36" s="112" t="s">
        <v>224</v>
      </c>
      <c r="S36" s="108"/>
      <c r="T36" s="108"/>
      <c r="U36" s="118"/>
      <c r="V36" s="119"/>
    </row>
    <row r="37" spans="1:22" x14ac:dyDescent="0.4">
      <c r="R37" s="110"/>
      <c r="S37" s="108"/>
      <c r="T37" s="108"/>
      <c r="U37" s="118"/>
      <c r="V37" s="119"/>
    </row>
    <row r="38" spans="1:22" x14ac:dyDescent="0.4">
      <c r="R38" s="116" t="s">
        <v>222</v>
      </c>
      <c r="S38" s="108"/>
      <c r="T38" s="108"/>
      <c r="U38" s="118">
        <v>106745</v>
      </c>
      <c r="V38" s="119"/>
    </row>
    <row r="39" spans="1:22" x14ac:dyDescent="0.4">
      <c r="R39" s="122" t="s">
        <v>108</v>
      </c>
      <c r="S39" s="108"/>
      <c r="T39" s="108"/>
      <c r="U39" s="118"/>
      <c r="V39" s="123">
        <v>720</v>
      </c>
    </row>
    <row r="40" spans="1:22" x14ac:dyDescent="0.4">
      <c r="R40" s="122" t="s">
        <v>225</v>
      </c>
      <c r="S40" s="108"/>
      <c r="T40" s="108"/>
      <c r="U40" s="118"/>
      <c r="V40" s="123" t="s">
        <v>227</v>
      </c>
    </row>
    <row r="41" spans="1:22" x14ac:dyDescent="0.4">
      <c r="A41" s="88" t="s">
        <v>179</v>
      </c>
      <c r="R41" s="122" t="s">
        <v>226</v>
      </c>
      <c r="S41" s="108"/>
      <c r="T41" s="108"/>
      <c r="U41" s="118"/>
      <c r="V41" s="123" t="s">
        <v>228</v>
      </c>
    </row>
    <row r="42" spans="1:22" x14ac:dyDescent="0.4">
      <c r="A42" s="15" t="s">
        <v>107</v>
      </c>
      <c r="B42" s="15"/>
      <c r="C42" s="19" t="s">
        <v>27</v>
      </c>
      <c r="D42" s="19" t="s">
        <v>63</v>
      </c>
      <c r="E42" s="20"/>
      <c r="F42" s="19" t="s">
        <v>64</v>
      </c>
      <c r="G42" s="19"/>
      <c r="H42" s="19"/>
      <c r="I42" s="19" t="s">
        <v>28</v>
      </c>
      <c r="J42" s="19" t="s">
        <v>63</v>
      </c>
      <c r="K42" s="19"/>
      <c r="L42" s="21" t="s">
        <v>65</v>
      </c>
      <c r="M42" s="21" t="s">
        <v>66</v>
      </c>
      <c r="N42" s="21"/>
      <c r="O42" s="19" t="s">
        <v>67</v>
      </c>
      <c r="P42" s="21"/>
      <c r="R42" s="122" t="s">
        <v>70</v>
      </c>
      <c r="S42" s="108"/>
      <c r="T42" s="108"/>
      <c r="U42" s="118"/>
      <c r="V42" s="123">
        <v>1075</v>
      </c>
    </row>
    <row r="43" spans="1:22" x14ac:dyDescent="0.4">
      <c r="A43" s="15"/>
      <c r="B43" s="15"/>
      <c r="C43" s="15"/>
      <c r="D43" s="19"/>
      <c r="E43" s="20" t="s">
        <v>93</v>
      </c>
      <c r="F43" s="19"/>
      <c r="G43" s="19"/>
      <c r="H43" s="19"/>
      <c r="I43" s="15"/>
      <c r="J43" s="19"/>
      <c r="K43" s="19"/>
      <c r="L43" s="15"/>
      <c r="M43" s="21"/>
      <c r="N43" s="21"/>
      <c r="O43" s="21"/>
      <c r="P43" s="21"/>
      <c r="R43" s="122" t="s">
        <v>84</v>
      </c>
      <c r="S43" s="108"/>
      <c r="T43" s="108"/>
      <c r="U43" s="118"/>
      <c r="V43" s="123" t="s">
        <v>229</v>
      </c>
    </row>
    <row r="44" spans="1:22" ht="19.5" x14ac:dyDescent="0.4">
      <c r="A44" s="17" t="s">
        <v>94</v>
      </c>
      <c r="B44" s="15"/>
      <c r="C44" s="20" t="s">
        <v>45</v>
      </c>
      <c r="D44" s="20" t="s">
        <v>46</v>
      </c>
      <c r="E44" s="20"/>
      <c r="F44" s="20" t="s">
        <v>45</v>
      </c>
      <c r="G44" s="20" t="s">
        <v>46</v>
      </c>
      <c r="H44" s="20"/>
      <c r="I44" s="20" t="s">
        <v>45</v>
      </c>
      <c r="J44" s="21" t="s">
        <v>46</v>
      </c>
      <c r="K44" s="21"/>
      <c r="L44" s="20" t="s">
        <v>45</v>
      </c>
      <c r="M44" s="20" t="s">
        <v>46</v>
      </c>
      <c r="N44" s="20"/>
      <c r="O44" s="20" t="s">
        <v>45</v>
      </c>
      <c r="P44" s="20" t="s">
        <v>46</v>
      </c>
      <c r="R44" s="122" t="s">
        <v>88</v>
      </c>
      <c r="S44" s="108"/>
      <c r="T44" s="108"/>
      <c r="U44" s="118"/>
      <c r="V44" s="123">
        <v>760</v>
      </c>
    </row>
    <row r="45" spans="1:22" ht="19.5" x14ac:dyDescent="0.4">
      <c r="A45" s="17" t="s">
        <v>77</v>
      </c>
      <c r="B45" s="15"/>
      <c r="C45" s="15">
        <v>5200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R45" s="122" t="s">
        <v>90</v>
      </c>
      <c r="S45" s="108"/>
      <c r="T45" s="108"/>
      <c r="U45" s="118"/>
      <c r="V45" s="123" t="s">
        <v>230</v>
      </c>
    </row>
    <row r="46" spans="1:22" ht="19.5" x14ac:dyDescent="0.4">
      <c r="A46" s="17" t="s">
        <v>95</v>
      </c>
      <c r="B46" s="15"/>
      <c r="C46" s="15">
        <v>9260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R46" s="122" t="s">
        <v>106</v>
      </c>
      <c r="S46" s="108"/>
      <c r="T46" s="108"/>
      <c r="U46" s="118"/>
      <c r="V46" s="123" t="s">
        <v>113</v>
      </c>
    </row>
    <row r="47" spans="1:22" ht="19.5" x14ac:dyDescent="0.4">
      <c r="A47" s="17" t="s">
        <v>96</v>
      </c>
      <c r="B47" s="15"/>
      <c r="C47" s="15">
        <v>920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R47" s="112" t="s">
        <v>231</v>
      </c>
      <c r="S47" s="108"/>
      <c r="T47" s="108"/>
      <c r="U47" s="118"/>
      <c r="V47" s="119"/>
    </row>
    <row r="48" spans="1:22" ht="19.5" x14ac:dyDescent="0.4">
      <c r="A48" s="17" t="s">
        <v>78</v>
      </c>
      <c r="B48" s="15" t="s">
        <v>117</v>
      </c>
      <c r="C48" s="15">
        <v>1140</v>
      </c>
      <c r="D48" s="15"/>
      <c r="E48" s="15">
        <v>1</v>
      </c>
      <c r="F48" s="15"/>
      <c r="G48" s="86"/>
      <c r="H48" s="15"/>
      <c r="I48" s="15"/>
      <c r="J48" s="15"/>
      <c r="K48" s="15"/>
      <c r="L48" s="15"/>
      <c r="M48" s="15"/>
      <c r="N48" s="15"/>
      <c r="O48" s="15"/>
      <c r="P48" s="15"/>
      <c r="R48" s="110"/>
      <c r="S48" s="108"/>
      <c r="T48" s="108"/>
      <c r="U48" s="118"/>
      <c r="V48" s="119"/>
    </row>
    <row r="49" spans="1:23" ht="19.5" x14ac:dyDescent="0.4">
      <c r="A49" s="17" t="s">
        <v>97</v>
      </c>
      <c r="B49" s="15"/>
      <c r="C49" s="15">
        <v>60000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R49" s="116" t="s">
        <v>222</v>
      </c>
      <c r="S49" s="108"/>
      <c r="T49" s="108"/>
      <c r="U49" s="118">
        <v>51315</v>
      </c>
      <c r="V49" s="119"/>
      <c r="W49" s="109" t="s">
        <v>235</v>
      </c>
    </row>
    <row r="50" spans="1:23" ht="19.5" x14ac:dyDescent="0.4">
      <c r="A50" s="17" t="s">
        <v>98</v>
      </c>
      <c r="B50" s="15"/>
      <c r="C50" s="15">
        <v>152000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R50" s="122" t="s">
        <v>103</v>
      </c>
      <c r="S50" s="108"/>
      <c r="T50" s="108"/>
      <c r="U50" s="118"/>
      <c r="V50" s="119">
        <v>51315</v>
      </c>
    </row>
    <row r="51" spans="1:23" ht="19.5" x14ac:dyDescent="0.4">
      <c r="A51" s="17" t="s">
        <v>135</v>
      </c>
      <c r="B51" s="15"/>
      <c r="C51" s="15"/>
      <c r="D51" s="15">
        <v>64000</v>
      </c>
      <c r="E51" s="15">
        <v>3</v>
      </c>
      <c r="F51" s="86"/>
      <c r="G51" s="86"/>
      <c r="H51" s="15"/>
      <c r="I51" s="15"/>
      <c r="J51" s="15"/>
      <c r="K51" s="15"/>
      <c r="L51" s="15"/>
      <c r="M51" s="15"/>
      <c r="N51" s="15"/>
      <c r="O51" s="15"/>
      <c r="P51" s="15"/>
      <c r="R51" s="112" t="s">
        <v>232</v>
      </c>
      <c r="S51" s="108"/>
      <c r="T51" s="108"/>
      <c r="U51" s="118"/>
      <c r="V51" s="119"/>
    </row>
    <row r="52" spans="1:23" ht="19.5" x14ac:dyDescent="0.4">
      <c r="A52" s="17" t="s">
        <v>80</v>
      </c>
      <c r="B52" s="15"/>
      <c r="C52" s="15">
        <v>23400</v>
      </c>
      <c r="D52" s="15"/>
      <c r="E52" s="15"/>
      <c r="F52" s="15"/>
      <c r="G52" s="86"/>
      <c r="H52" s="15"/>
      <c r="I52" s="15"/>
      <c r="J52" s="15"/>
      <c r="K52" s="15"/>
      <c r="L52" s="15"/>
      <c r="M52" s="15"/>
      <c r="N52" s="15"/>
      <c r="O52" s="15"/>
      <c r="P52" s="15"/>
      <c r="R52" s="110"/>
      <c r="S52" s="108"/>
      <c r="T52" s="108"/>
      <c r="U52" s="118"/>
      <c r="V52" s="119"/>
    </row>
    <row r="53" spans="1:23" ht="19.5" x14ac:dyDescent="0.4">
      <c r="A53" s="17" t="s">
        <v>136</v>
      </c>
      <c r="B53" s="15"/>
      <c r="C53" s="15"/>
      <c r="D53" s="15">
        <v>6420</v>
      </c>
      <c r="E53" s="15">
        <v>3</v>
      </c>
      <c r="F53" s="86"/>
      <c r="G53" s="86"/>
      <c r="H53" s="15"/>
      <c r="I53" s="15"/>
      <c r="J53" s="15"/>
      <c r="K53" s="15"/>
      <c r="L53" s="15"/>
      <c r="M53" s="15"/>
      <c r="N53" s="15"/>
      <c r="O53" s="15"/>
      <c r="P53" s="15"/>
      <c r="R53" s="124" t="s">
        <v>103</v>
      </c>
      <c r="S53" s="108"/>
      <c r="T53" s="108"/>
      <c r="U53" s="125" t="s">
        <v>233</v>
      </c>
      <c r="V53" s="119"/>
    </row>
    <row r="54" spans="1:23" ht="19.5" x14ac:dyDescent="0.4">
      <c r="A54" s="17" t="s">
        <v>99</v>
      </c>
      <c r="B54" s="15"/>
      <c r="C54" s="15"/>
      <c r="D54" s="15">
        <v>7960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R54" s="122" t="s">
        <v>104</v>
      </c>
      <c r="S54" s="108"/>
      <c r="T54" s="108"/>
      <c r="U54" s="118"/>
      <c r="V54" s="119">
        <v>52780</v>
      </c>
    </row>
    <row r="55" spans="1:23" ht="20.25" thickBot="1" x14ac:dyDescent="0.45">
      <c r="A55" s="17" t="s">
        <v>100</v>
      </c>
      <c r="B55" s="15" t="s">
        <v>121</v>
      </c>
      <c r="C55" s="15"/>
      <c r="D55" s="15">
        <v>1560</v>
      </c>
      <c r="E55" s="15">
        <v>2</v>
      </c>
      <c r="F55" s="86"/>
      <c r="G55" s="15"/>
      <c r="H55" s="15"/>
      <c r="I55" s="15"/>
      <c r="J55" s="15"/>
      <c r="K55" s="15"/>
      <c r="L55" s="15"/>
      <c r="M55" s="15"/>
      <c r="N55" s="15"/>
      <c r="O55" s="15"/>
      <c r="P55" s="15"/>
      <c r="R55" s="113" t="s">
        <v>234</v>
      </c>
      <c r="S55" s="111"/>
      <c r="T55" s="111"/>
      <c r="U55" s="120"/>
      <c r="V55" s="121"/>
    </row>
    <row r="56" spans="1:23" ht="19.5" x14ac:dyDescent="0.4">
      <c r="A56" s="17" t="s">
        <v>101</v>
      </c>
      <c r="B56" s="15"/>
      <c r="C56" s="15"/>
      <c r="D56" s="15">
        <v>2000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</row>
    <row r="57" spans="1:23" ht="19.5" x14ac:dyDescent="0.4">
      <c r="A57" s="17" t="s">
        <v>102</v>
      </c>
      <c r="B57" s="15"/>
      <c r="C57" s="15"/>
      <c r="D57" s="15">
        <v>88600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R57" s="32" t="s">
        <v>218</v>
      </c>
    </row>
    <row r="58" spans="1:23" ht="19.5" x14ac:dyDescent="0.4">
      <c r="A58" s="17" t="s">
        <v>103</v>
      </c>
      <c r="B58" s="15"/>
      <c r="C58" s="15"/>
      <c r="D58" s="15">
        <v>71490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R58" s="108" t="s">
        <v>236</v>
      </c>
    </row>
    <row r="59" spans="1:23" ht="19.5" x14ac:dyDescent="0.4">
      <c r="A59" s="17" t="s">
        <v>104</v>
      </c>
      <c r="B59" s="15"/>
      <c r="C59" s="15">
        <v>52780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R59" s="108" t="s">
        <v>237</v>
      </c>
    </row>
    <row r="60" spans="1:23" ht="19.5" x14ac:dyDescent="0.4">
      <c r="A60" s="17" t="s">
        <v>105</v>
      </c>
      <c r="B60" s="15" t="s">
        <v>118</v>
      </c>
      <c r="C60" s="15"/>
      <c r="D60" s="15">
        <v>156860</v>
      </c>
      <c r="E60" s="15">
        <v>2</v>
      </c>
      <c r="F60" s="15"/>
      <c r="G60" s="86"/>
      <c r="H60" s="15"/>
      <c r="I60" s="15"/>
      <c r="J60" s="15"/>
      <c r="K60" s="15"/>
      <c r="L60" s="15"/>
      <c r="M60" s="15"/>
      <c r="N60" s="15"/>
      <c r="O60" s="15"/>
      <c r="P60" s="15"/>
      <c r="R60" s="108" t="s">
        <v>238</v>
      </c>
    </row>
    <row r="61" spans="1:23" ht="19.5" x14ac:dyDescent="0.4">
      <c r="A61" s="17" t="s">
        <v>70</v>
      </c>
      <c r="B61" s="15"/>
      <c r="C61" s="15">
        <v>1660</v>
      </c>
      <c r="D61" s="15"/>
      <c r="E61" s="15">
        <v>4</v>
      </c>
      <c r="F61" s="86"/>
      <c r="G61" s="15"/>
      <c r="H61" s="15"/>
      <c r="I61" s="15"/>
      <c r="J61" s="15"/>
      <c r="K61" s="15"/>
      <c r="L61" s="15"/>
      <c r="M61" s="15"/>
      <c r="N61" s="15"/>
      <c r="O61" s="15"/>
      <c r="P61" s="15"/>
      <c r="R61" s="108" t="s">
        <v>239</v>
      </c>
    </row>
    <row r="62" spans="1:23" ht="19.5" x14ac:dyDescent="0.4">
      <c r="A62" s="17" t="s">
        <v>84</v>
      </c>
      <c r="B62" s="15"/>
      <c r="C62" s="15">
        <v>87940</v>
      </c>
      <c r="D62" s="15"/>
      <c r="E62" s="15">
        <v>7</v>
      </c>
      <c r="F62" s="86"/>
      <c r="G62" s="15"/>
      <c r="H62" s="15"/>
      <c r="I62" s="15"/>
      <c r="J62" s="15"/>
      <c r="K62" s="15"/>
      <c r="L62" s="15"/>
      <c r="M62" s="15"/>
      <c r="N62" s="15"/>
      <c r="O62" s="15"/>
      <c r="P62" s="15"/>
    </row>
    <row r="63" spans="1:23" ht="19.5" x14ac:dyDescent="0.4">
      <c r="A63" s="17" t="s">
        <v>88</v>
      </c>
      <c r="B63" s="15"/>
      <c r="C63" s="15">
        <v>760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</row>
    <row r="64" spans="1:23" ht="19.5" x14ac:dyDescent="0.4">
      <c r="A64" s="17" t="s">
        <v>90</v>
      </c>
      <c r="B64" s="15"/>
      <c r="C64" s="15">
        <v>2090</v>
      </c>
      <c r="D64" s="15"/>
      <c r="E64" s="15">
        <v>5</v>
      </c>
      <c r="F64" s="86"/>
      <c r="G64" s="15"/>
      <c r="H64" s="15"/>
      <c r="I64" s="15"/>
      <c r="J64" s="15"/>
      <c r="K64" s="15"/>
      <c r="L64" s="15"/>
      <c r="M64" s="15"/>
      <c r="N64" s="15"/>
      <c r="O64" s="15"/>
      <c r="P64" s="15"/>
    </row>
    <row r="65" spans="1:16" ht="19.5" x14ac:dyDescent="0.4">
      <c r="A65" s="17" t="s">
        <v>106</v>
      </c>
      <c r="B65" s="15"/>
      <c r="C65" s="15">
        <v>1740</v>
      </c>
      <c r="D65" s="15" t="s">
        <v>62</v>
      </c>
      <c r="E65" s="15">
        <v>6</v>
      </c>
      <c r="F65" s="86"/>
      <c r="G65" s="15"/>
      <c r="H65" s="15"/>
      <c r="I65" s="15"/>
      <c r="J65" s="15"/>
      <c r="K65" s="15"/>
      <c r="L65" s="15"/>
      <c r="M65" s="15"/>
      <c r="N65" s="15"/>
      <c r="O65" s="15"/>
      <c r="P65" s="15"/>
    </row>
    <row r="66" spans="1:16" ht="19.5" x14ac:dyDescent="0.4">
      <c r="A66" s="18" t="s">
        <v>108</v>
      </c>
      <c r="B66" s="16" t="s">
        <v>120</v>
      </c>
      <c r="C66" s="15"/>
      <c r="D66" s="15"/>
      <c r="E66" s="15">
        <v>1</v>
      </c>
      <c r="F66" s="86"/>
      <c r="G66" s="15"/>
      <c r="H66" s="15"/>
      <c r="I66" s="15"/>
      <c r="J66" s="15"/>
      <c r="K66" s="15"/>
      <c r="L66" s="15"/>
      <c r="M66" s="15"/>
      <c r="N66" s="15"/>
      <c r="O66" s="15"/>
      <c r="P66" s="15"/>
    </row>
    <row r="67" spans="1:16" ht="19.5" x14ac:dyDescent="0.4">
      <c r="A67" s="18" t="s">
        <v>109</v>
      </c>
      <c r="B67" s="16"/>
      <c r="C67" s="15"/>
      <c r="D67" s="15"/>
      <c r="E67" s="15">
        <v>3</v>
      </c>
      <c r="F67" s="86"/>
      <c r="G67" s="15"/>
      <c r="H67" s="15"/>
      <c r="I67" s="15"/>
      <c r="J67" s="15"/>
      <c r="K67" s="15"/>
      <c r="L67" s="15"/>
      <c r="M67" s="15"/>
      <c r="N67" s="15"/>
      <c r="O67" s="15"/>
      <c r="P67" s="15"/>
    </row>
    <row r="68" spans="1:16" ht="19.5" x14ac:dyDescent="0.4">
      <c r="A68" s="18" t="s">
        <v>110</v>
      </c>
      <c r="B68" s="16"/>
      <c r="C68" s="15"/>
      <c r="D68" s="15"/>
      <c r="E68" s="15">
        <v>3</v>
      </c>
      <c r="F68" s="86"/>
      <c r="G68" s="15"/>
      <c r="H68" s="15"/>
      <c r="I68" s="15"/>
      <c r="J68" s="15"/>
      <c r="K68" s="15"/>
      <c r="L68" s="15"/>
      <c r="M68" s="15"/>
      <c r="N68" s="15"/>
      <c r="O68" s="15"/>
      <c r="P68" s="15"/>
    </row>
    <row r="69" spans="1:16" ht="19.5" x14ac:dyDescent="0.4">
      <c r="A69" s="18" t="s">
        <v>79</v>
      </c>
      <c r="B69" s="16"/>
      <c r="C69" s="15"/>
      <c r="D69" s="15"/>
      <c r="E69" s="15">
        <v>4</v>
      </c>
      <c r="F69" s="15"/>
      <c r="G69" s="86"/>
      <c r="H69" s="15"/>
      <c r="I69" s="15"/>
      <c r="J69" s="15"/>
      <c r="K69" s="15"/>
      <c r="L69" s="15"/>
      <c r="M69" s="15"/>
      <c r="N69" s="15"/>
      <c r="O69" s="15"/>
      <c r="P69" s="15"/>
    </row>
    <row r="70" spans="1:16" ht="19.5" x14ac:dyDescent="0.4">
      <c r="A70" s="18" t="s">
        <v>75</v>
      </c>
      <c r="B70" s="16"/>
      <c r="C70" s="15"/>
      <c r="D70" s="15"/>
      <c r="E70" s="15">
        <v>5</v>
      </c>
      <c r="F70" s="15"/>
      <c r="G70" s="86"/>
      <c r="H70" s="15"/>
      <c r="I70" s="15"/>
      <c r="J70" s="15"/>
      <c r="K70" s="15"/>
      <c r="L70" s="15"/>
      <c r="M70" s="15"/>
      <c r="N70" s="15"/>
      <c r="O70" s="15"/>
      <c r="P70" s="15"/>
    </row>
    <row r="71" spans="1:16" ht="39" x14ac:dyDescent="0.4">
      <c r="A71" s="18" t="s">
        <v>111</v>
      </c>
      <c r="B71" s="16"/>
      <c r="C71" s="15"/>
      <c r="D71" s="15"/>
      <c r="E71" s="15">
        <v>6</v>
      </c>
      <c r="F71" s="15"/>
      <c r="G71" s="86"/>
      <c r="H71" s="15"/>
      <c r="I71" s="15"/>
      <c r="J71" s="15"/>
      <c r="K71" s="15"/>
      <c r="L71" s="15"/>
      <c r="M71" s="15"/>
      <c r="N71" s="15"/>
      <c r="O71" s="15"/>
      <c r="P71" s="15"/>
    </row>
    <row r="72" spans="1:16" ht="19.5" x14ac:dyDescent="0.4">
      <c r="A72" s="18" t="s">
        <v>72</v>
      </c>
      <c r="B72" s="16"/>
      <c r="C72" s="15"/>
      <c r="D72" s="15"/>
      <c r="E72" s="15">
        <v>7</v>
      </c>
      <c r="F72" s="15"/>
      <c r="G72" s="86"/>
      <c r="H72" s="15"/>
      <c r="I72" s="15"/>
      <c r="J72" s="15"/>
      <c r="K72" s="15"/>
      <c r="L72" s="15"/>
      <c r="M72" s="15"/>
      <c r="N72" s="15"/>
      <c r="O72" s="15"/>
      <c r="P72" s="15"/>
    </row>
    <row r="73" spans="1:16" ht="19.5" x14ac:dyDescent="0.4">
      <c r="A73" s="18"/>
      <c r="B73" s="16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</row>
    <row r="74" spans="1:16" ht="19.5" x14ac:dyDescent="0.4">
      <c r="A74" s="18" t="s">
        <v>112</v>
      </c>
      <c r="B74" s="16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</row>
    <row r="75" spans="1:16" ht="19.5" x14ac:dyDescent="0.4">
      <c r="A75" s="17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</row>
    <row r="76" spans="1:16" x14ac:dyDescent="0.4">
      <c r="A76" s="15"/>
      <c r="B76" s="15"/>
      <c r="C76" s="15">
        <f>SUM(C45:C75)</f>
        <v>398890</v>
      </c>
      <c r="D76" s="15">
        <f>SUM(D45:D75)</f>
        <v>398890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</row>
  </sheetData>
  <mergeCells count="3">
    <mergeCell ref="R32:V32"/>
    <mergeCell ref="R33:T33"/>
    <mergeCell ref="R31:V31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70836-D79F-4864-89CC-B27D7E0A03DC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CDB96-6C4C-4200-8B12-486AAEF84CD0}">
  <dimension ref="A1:M35"/>
  <sheetViews>
    <sheetView zoomScale="138" workbookViewId="0">
      <pane ySplit="2" topLeftCell="A3" activePane="bottomLeft" state="frozen"/>
      <selection pane="bottomLeft" activeCell="D11" sqref="D11"/>
    </sheetView>
  </sheetViews>
  <sheetFormatPr defaultColWidth="8.85546875" defaultRowHeight="15" x14ac:dyDescent="0.25"/>
  <cols>
    <col min="3" max="3" width="18.140625" customWidth="1"/>
    <col min="11" max="11" width="12.7109375" customWidth="1"/>
  </cols>
  <sheetData>
    <row r="1" spans="1:9" x14ac:dyDescent="0.25">
      <c r="B1" s="3"/>
      <c r="C1" s="4" t="s">
        <v>15</v>
      </c>
      <c r="D1" s="4"/>
      <c r="E1" s="5"/>
      <c r="H1" t="s">
        <v>153</v>
      </c>
    </row>
    <row r="2" spans="1:9" ht="15.75" thickBot="1" x14ac:dyDescent="0.3">
      <c r="A2" t="s">
        <v>93</v>
      </c>
      <c r="B2" s="6" t="s">
        <v>126</v>
      </c>
      <c r="C2" t="s">
        <v>127</v>
      </c>
      <c r="D2" t="s">
        <v>137</v>
      </c>
      <c r="E2" s="7" t="s">
        <v>13</v>
      </c>
    </row>
    <row r="3" spans="1:9" x14ac:dyDescent="0.25">
      <c r="A3">
        <v>1</v>
      </c>
      <c r="B3" s="73">
        <v>46387</v>
      </c>
      <c r="C3" s="4" t="s">
        <v>151</v>
      </c>
      <c r="D3" s="4">
        <v>4940</v>
      </c>
      <c r="E3" s="5"/>
      <c r="G3">
        <v>1</v>
      </c>
      <c r="H3" t="s">
        <v>144</v>
      </c>
      <c r="I3" t="s">
        <v>145</v>
      </c>
    </row>
    <row r="4" spans="1:9" ht="16.5" customHeight="1" x14ac:dyDescent="0.25">
      <c r="B4" s="6"/>
      <c r="C4" t="s">
        <v>152</v>
      </c>
      <c r="E4" s="7">
        <f>D3</f>
        <v>4940</v>
      </c>
      <c r="G4" s="72" t="s">
        <v>143</v>
      </c>
      <c r="H4" t="s">
        <v>146</v>
      </c>
      <c r="I4" t="s">
        <v>147</v>
      </c>
    </row>
    <row r="5" spans="1:9" ht="15.75" thickBot="1" x14ac:dyDescent="0.3">
      <c r="B5" s="11"/>
      <c r="C5" s="12" t="s">
        <v>154</v>
      </c>
      <c r="D5" s="12"/>
      <c r="E5" s="13"/>
      <c r="G5">
        <v>4</v>
      </c>
      <c r="H5" t="s">
        <v>45</v>
      </c>
      <c r="I5" t="s">
        <v>46</v>
      </c>
    </row>
    <row r="6" spans="1:9" ht="15.75" thickBot="1" x14ac:dyDescent="0.3">
      <c r="B6" s="6"/>
      <c r="E6" s="7"/>
    </row>
    <row r="7" spans="1:9" x14ac:dyDescent="0.25">
      <c r="A7">
        <v>2</v>
      </c>
      <c r="B7" s="73">
        <v>46387</v>
      </c>
      <c r="C7" s="4" t="s">
        <v>157</v>
      </c>
      <c r="D7" s="4">
        <v>1185</v>
      </c>
      <c r="E7" s="5"/>
      <c r="G7" s="72">
        <v>1</v>
      </c>
      <c r="H7" t="s">
        <v>155</v>
      </c>
      <c r="I7" t="s">
        <v>156</v>
      </c>
    </row>
    <row r="8" spans="1:9" x14ac:dyDescent="0.25">
      <c r="B8" s="6"/>
      <c r="C8" t="s">
        <v>79</v>
      </c>
      <c r="E8" s="7">
        <v>1185</v>
      </c>
      <c r="G8" s="72" t="s">
        <v>143</v>
      </c>
      <c r="H8" t="s">
        <v>146</v>
      </c>
      <c r="I8" t="s">
        <v>147</v>
      </c>
    </row>
    <row r="9" spans="1:9" ht="15.75" thickBot="1" x14ac:dyDescent="0.3">
      <c r="B9" s="11"/>
      <c r="C9" s="12" t="s">
        <v>158</v>
      </c>
      <c r="D9" s="12"/>
      <c r="E9" s="13"/>
      <c r="G9" s="72">
        <v>4</v>
      </c>
      <c r="H9" t="s">
        <v>45</v>
      </c>
      <c r="I9" t="s">
        <v>46</v>
      </c>
    </row>
    <row r="10" spans="1:9" ht="15.75" thickBot="1" x14ac:dyDescent="0.3">
      <c r="B10" s="6"/>
      <c r="E10" s="7"/>
    </row>
    <row r="11" spans="1:9" x14ac:dyDescent="0.25">
      <c r="A11">
        <v>3</v>
      </c>
      <c r="B11" s="73">
        <v>46387</v>
      </c>
      <c r="C11" s="4" t="s">
        <v>160</v>
      </c>
      <c r="D11" s="4">
        <v>7400</v>
      </c>
      <c r="E11" s="5"/>
      <c r="G11" s="72">
        <v>1</v>
      </c>
      <c r="H11" t="s">
        <v>159</v>
      </c>
      <c r="I11" t="s">
        <v>160</v>
      </c>
    </row>
    <row r="12" spans="1:9" x14ac:dyDescent="0.25">
      <c r="B12" s="6"/>
      <c r="C12" t="s">
        <v>159</v>
      </c>
      <c r="E12" s="7">
        <v>7400</v>
      </c>
      <c r="G12" s="72" t="s">
        <v>143</v>
      </c>
      <c r="H12" s="71" t="s">
        <v>147</v>
      </c>
      <c r="I12" s="71" t="s">
        <v>146</v>
      </c>
    </row>
    <row r="13" spans="1:9" ht="15.75" thickBot="1" x14ac:dyDescent="0.3">
      <c r="B13" s="11"/>
      <c r="C13" s="12" t="s">
        <v>163</v>
      </c>
      <c r="D13" s="12"/>
      <c r="E13" s="13"/>
      <c r="G13" s="72">
        <v>4</v>
      </c>
      <c r="H13" t="s">
        <v>161</v>
      </c>
      <c r="I13" t="s">
        <v>162</v>
      </c>
    </row>
    <row r="14" spans="1:9" ht="15.75" thickBot="1" x14ac:dyDescent="0.3">
      <c r="B14" s="6"/>
      <c r="E14" s="7"/>
    </row>
    <row r="15" spans="1:9" x14ac:dyDescent="0.25">
      <c r="A15">
        <v>4</v>
      </c>
      <c r="B15" s="73">
        <v>46387</v>
      </c>
      <c r="C15" s="4" t="s">
        <v>164</v>
      </c>
      <c r="D15" s="4">
        <v>260</v>
      </c>
      <c r="E15" s="5"/>
      <c r="G15" s="72">
        <v>1</v>
      </c>
      <c r="H15" t="s">
        <v>164</v>
      </c>
      <c r="I15" t="s">
        <v>165</v>
      </c>
    </row>
    <row r="16" spans="1:9" x14ac:dyDescent="0.25">
      <c r="B16" s="6"/>
      <c r="C16" t="s">
        <v>165</v>
      </c>
      <c r="E16" s="7">
        <v>260</v>
      </c>
      <c r="G16" s="72" t="s">
        <v>143</v>
      </c>
      <c r="H16" s="71" t="s">
        <v>146</v>
      </c>
      <c r="I16" s="71" t="s">
        <v>166</v>
      </c>
    </row>
    <row r="17" spans="1:13" ht="15.75" thickBot="1" x14ac:dyDescent="0.3">
      <c r="B17" s="11"/>
      <c r="C17" s="12" t="s">
        <v>167</v>
      </c>
      <c r="D17" s="12"/>
      <c r="E17" s="13"/>
      <c r="G17" s="72">
        <v>4</v>
      </c>
      <c r="H17" t="s">
        <v>162</v>
      </c>
      <c r="I17" t="s">
        <v>161</v>
      </c>
    </row>
    <row r="18" spans="1:13" ht="15.75" thickBot="1" x14ac:dyDescent="0.3">
      <c r="B18" s="6"/>
      <c r="E18" s="7"/>
    </row>
    <row r="19" spans="1:13" x14ac:dyDescent="0.25">
      <c r="A19">
        <v>5</v>
      </c>
      <c r="B19" s="73">
        <v>46387</v>
      </c>
      <c r="C19" t="s">
        <v>170</v>
      </c>
      <c r="D19">
        <v>830</v>
      </c>
      <c r="E19" s="7"/>
      <c r="G19" s="72">
        <v>1</v>
      </c>
      <c r="H19" t="s">
        <v>168</v>
      </c>
      <c r="I19" t="s">
        <v>169</v>
      </c>
    </row>
    <row r="20" spans="1:13" x14ac:dyDescent="0.25">
      <c r="B20" s="6"/>
      <c r="C20" t="s">
        <v>171</v>
      </c>
      <c r="E20" s="7">
        <v>830</v>
      </c>
      <c r="G20" s="72" t="s">
        <v>143</v>
      </c>
      <c r="H20" s="71" t="s">
        <v>146</v>
      </c>
      <c r="I20" s="71" t="s">
        <v>166</v>
      </c>
    </row>
    <row r="21" spans="1:13" x14ac:dyDescent="0.25">
      <c r="B21" s="6"/>
      <c r="C21" t="s">
        <v>172</v>
      </c>
      <c r="E21" s="7"/>
      <c r="G21" s="72">
        <v>4</v>
      </c>
      <c r="H21" t="s">
        <v>162</v>
      </c>
      <c r="I21" t="s">
        <v>161</v>
      </c>
    </row>
    <row r="22" spans="1:13" ht="15.75" thickBot="1" x14ac:dyDescent="0.3">
      <c r="B22" s="11"/>
      <c r="C22" s="12"/>
      <c r="D22" s="12"/>
      <c r="E22" s="13"/>
    </row>
    <row r="23" spans="1:13" ht="15.75" thickBot="1" x14ac:dyDescent="0.3"/>
    <row r="24" spans="1:13" x14ac:dyDescent="0.25">
      <c r="A24">
        <v>6</v>
      </c>
      <c r="B24" s="73">
        <v>46387</v>
      </c>
      <c r="C24" s="4" t="s">
        <v>173</v>
      </c>
      <c r="D24" s="4">
        <v>425</v>
      </c>
      <c r="E24" s="5"/>
      <c r="G24" s="72">
        <v>1</v>
      </c>
      <c r="H24" t="s">
        <v>173</v>
      </c>
      <c r="I24" t="s">
        <v>174</v>
      </c>
    </row>
    <row r="25" spans="1:13" x14ac:dyDescent="0.25">
      <c r="B25" s="6"/>
      <c r="C25" t="s">
        <v>174</v>
      </c>
      <c r="E25" s="7">
        <v>425</v>
      </c>
      <c r="G25" s="72" t="s">
        <v>143</v>
      </c>
      <c r="H25" s="71" t="s">
        <v>146</v>
      </c>
      <c r="I25" s="71" t="s">
        <v>166</v>
      </c>
    </row>
    <row r="26" spans="1:13" ht="15.75" thickBot="1" x14ac:dyDescent="0.3">
      <c r="B26" s="11"/>
      <c r="C26" s="12" t="s">
        <v>175</v>
      </c>
      <c r="D26" s="12"/>
      <c r="E26" s="13"/>
      <c r="G26" s="72">
        <v>4</v>
      </c>
      <c r="H26" t="s">
        <v>162</v>
      </c>
      <c r="I26" t="s">
        <v>161</v>
      </c>
    </row>
    <row r="27" spans="1:13" ht="15.75" thickBot="1" x14ac:dyDescent="0.3"/>
    <row r="28" spans="1:13" ht="15.75" thickBot="1" x14ac:dyDescent="0.3">
      <c r="A28">
        <v>7</v>
      </c>
      <c r="B28" s="73">
        <v>46387</v>
      </c>
      <c r="C28" s="4" t="s">
        <v>176</v>
      </c>
      <c r="D28" s="4">
        <v>250</v>
      </c>
      <c r="E28" s="5"/>
      <c r="G28" s="72">
        <v>1</v>
      </c>
      <c r="H28" t="s">
        <v>176</v>
      </c>
      <c r="I28" t="s">
        <v>177</v>
      </c>
    </row>
    <row r="29" spans="1:13" x14ac:dyDescent="0.25">
      <c r="B29" s="6"/>
      <c r="C29" t="s">
        <v>177</v>
      </c>
      <c r="E29" s="4">
        <v>250</v>
      </c>
      <c r="G29" s="72" t="s">
        <v>143</v>
      </c>
      <c r="H29" s="71" t="s">
        <v>146</v>
      </c>
      <c r="I29" s="71" t="s">
        <v>166</v>
      </c>
    </row>
    <row r="30" spans="1:13" ht="15.75" thickBot="1" x14ac:dyDescent="0.3">
      <c r="B30" s="11"/>
      <c r="C30" s="12" t="s">
        <v>175</v>
      </c>
      <c r="D30" s="12"/>
      <c r="E30" s="13"/>
      <c r="G30" s="72">
        <v>4</v>
      </c>
      <c r="H30" t="s">
        <v>162</v>
      </c>
      <c r="I30" t="s">
        <v>161</v>
      </c>
    </row>
    <row r="31" spans="1:13" ht="15.75" thickBot="1" x14ac:dyDescent="0.3"/>
    <row r="32" spans="1:13" x14ac:dyDescent="0.25">
      <c r="G32">
        <v>1</v>
      </c>
      <c r="H32" t="s">
        <v>139</v>
      </c>
      <c r="I32" t="s">
        <v>138</v>
      </c>
      <c r="K32" s="74"/>
      <c r="L32" s="75" t="s">
        <v>45</v>
      </c>
      <c r="M32" s="76" t="s">
        <v>46</v>
      </c>
    </row>
    <row r="33" spans="7:13" x14ac:dyDescent="0.25">
      <c r="G33">
        <v>2</v>
      </c>
      <c r="H33" t="s">
        <v>140</v>
      </c>
      <c r="I33" t="s">
        <v>140</v>
      </c>
      <c r="K33" s="77" t="s">
        <v>148</v>
      </c>
      <c r="L33" s="78" t="s">
        <v>150</v>
      </c>
      <c r="M33" s="79" t="s">
        <v>11</v>
      </c>
    </row>
    <row r="34" spans="7:13" ht="15.75" thickBot="1" x14ac:dyDescent="0.3">
      <c r="G34">
        <v>3</v>
      </c>
      <c r="H34" s="71" t="s">
        <v>142</v>
      </c>
      <c r="I34" s="71" t="s">
        <v>142</v>
      </c>
      <c r="K34" s="80" t="s">
        <v>149</v>
      </c>
      <c r="L34" s="81" t="s">
        <v>11</v>
      </c>
      <c r="M34" s="82" t="s">
        <v>150</v>
      </c>
    </row>
    <row r="35" spans="7:13" x14ac:dyDescent="0.25">
      <c r="G35">
        <v>4</v>
      </c>
      <c r="H35" t="s">
        <v>141</v>
      </c>
      <c r="I35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B4DE-EA90-4F91-8180-6C1E6B7C8861}">
  <dimension ref="A2:L32"/>
  <sheetViews>
    <sheetView workbookViewId="0">
      <selection activeCell="F7" sqref="F7"/>
    </sheetView>
  </sheetViews>
  <sheetFormatPr defaultColWidth="8.85546875" defaultRowHeight="15" x14ac:dyDescent="0.25"/>
  <cols>
    <col min="1" max="1" width="21" bestFit="1" customWidth="1"/>
    <col min="2" max="2" width="11.85546875" customWidth="1"/>
    <col min="10" max="10" width="9.28515625" bestFit="1" customWidth="1"/>
  </cols>
  <sheetData>
    <row r="2" spans="1:12" x14ac:dyDescent="0.25">
      <c r="A2" s="14" t="s">
        <v>76</v>
      </c>
      <c r="B2" s="14" t="s">
        <v>27</v>
      </c>
      <c r="C2" s="14"/>
      <c r="D2" s="14"/>
      <c r="E2" s="14" t="s">
        <v>64</v>
      </c>
      <c r="F2" s="14"/>
      <c r="G2" s="14" t="s">
        <v>28</v>
      </c>
      <c r="H2" s="14"/>
      <c r="I2" s="14" t="s">
        <v>65</v>
      </c>
      <c r="J2" s="14" t="s">
        <v>66</v>
      </c>
      <c r="K2" s="14" t="s">
        <v>67</v>
      </c>
      <c r="L2" s="14"/>
    </row>
    <row r="3" spans="1:12" x14ac:dyDescent="0.25">
      <c r="A3" s="14"/>
      <c r="B3" s="14" t="s">
        <v>63</v>
      </c>
      <c r="C3" s="14"/>
      <c r="D3" s="14"/>
      <c r="E3" s="14"/>
      <c r="F3" s="14"/>
      <c r="G3" s="14" t="s">
        <v>63</v>
      </c>
      <c r="H3" s="14"/>
      <c r="J3" s="14"/>
      <c r="K3" s="14"/>
      <c r="L3" s="14"/>
    </row>
    <row r="4" spans="1:12" x14ac:dyDescent="0.25">
      <c r="A4" s="14"/>
      <c r="B4" s="14" t="s">
        <v>45</v>
      </c>
      <c r="C4" s="14" t="s">
        <v>46</v>
      </c>
      <c r="D4" s="14"/>
      <c r="E4" s="14" t="s">
        <v>45</v>
      </c>
      <c r="F4" s="14" t="s">
        <v>46</v>
      </c>
      <c r="G4" s="14" t="s">
        <v>45</v>
      </c>
      <c r="H4" s="14" t="s">
        <v>46</v>
      </c>
      <c r="I4" s="14" t="s">
        <v>45</v>
      </c>
      <c r="J4" s="14" t="s">
        <v>46</v>
      </c>
      <c r="K4" s="14" t="s">
        <v>45</v>
      </c>
      <c r="L4" s="14" t="s">
        <v>46</v>
      </c>
    </row>
    <row r="5" spans="1:12" x14ac:dyDescent="0.25">
      <c r="A5" s="14" t="s">
        <v>77</v>
      </c>
      <c r="B5" s="14">
        <v>6200</v>
      </c>
      <c r="C5" s="14"/>
      <c r="D5" s="14"/>
      <c r="E5" s="14"/>
      <c r="F5" s="14"/>
      <c r="G5" s="14">
        <v>6200</v>
      </c>
      <c r="H5" s="14"/>
      <c r="I5" s="14"/>
      <c r="J5" s="14"/>
      <c r="K5" s="14">
        <v>6200</v>
      </c>
      <c r="L5" s="14"/>
    </row>
    <row r="6" spans="1:12" x14ac:dyDescent="0.25">
      <c r="A6" s="14" t="s">
        <v>78</v>
      </c>
      <c r="B6" s="14">
        <v>7260</v>
      </c>
      <c r="C6" s="14"/>
      <c r="D6" s="14">
        <v>1</v>
      </c>
      <c r="E6" s="14"/>
      <c r="F6" s="14">
        <v>4940</v>
      </c>
      <c r="G6" s="14">
        <v>2320</v>
      </c>
      <c r="H6" s="14"/>
      <c r="I6" s="14"/>
      <c r="J6" s="14"/>
      <c r="K6" s="14">
        <v>2320</v>
      </c>
      <c r="L6" s="14"/>
    </row>
    <row r="7" spans="1:12" x14ac:dyDescent="0.25">
      <c r="A7" s="14" t="s">
        <v>79</v>
      </c>
      <c r="B7" s="14">
        <v>1725</v>
      </c>
      <c r="C7" s="14"/>
      <c r="D7" s="14">
        <v>2</v>
      </c>
      <c r="E7" s="14"/>
      <c r="F7" s="14">
        <v>1185</v>
      </c>
      <c r="G7" s="14">
        <v>540</v>
      </c>
      <c r="H7" s="14"/>
      <c r="I7" s="14"/>
      <c r="J7" s="14"/>
      <c r="K7" s="14">
        <v>540</v>
      </c>
      <c r="L7" s="14"/>
    </row>
    <row r="8" spans="1:12" x14ac:dyDescent="0.25">
      <c r="A8" s="14" t="s">
        <v>80</v>
      </c>
      <c r="B8" s="14">
        <v>82800</v>
      </c>
      <c r="C8" s="14"/>
      <c r="D8" s="14"/>
      <c r="E8" s="14"/>
      <c r="F8" s="14"/>
      <c r="G8" s="14">
        <v>82800</v>
      </c>
      <c r="H8" s="14"/>
      <c r="I8" s="14"/>
      <c r="J8" s="14"/>
      <c r="K8" s="14">
        <v>82800</v>
      </c>
      <c r="L8" s="14"/>
    </row>
    <row r="9" spans="1:12" x14ac:dyDescent="0.25">
      <c r="A9" s="14" t="s">
        <v>81</v>
      </c>
      <c r="B9" s="14"/>
      <c r="C9" s="14">
        <v>14600</v>
      </c>
      <c r="D9" s="14">
        <v>3</v>
      </c>
      <c r="E9" s="14"/>
      <c r="F9" s="14">
        <v>7400</v>
      </c>
      <c r="G9" s="14"/>
      <c r="H9" s="14">
        <v>22000</v>
      </c>
      <c r="I9" s="14"/>
      <c r="J9" s="14"/>
      <c r="K9" s="14"/>
      <c r="L9" s="14">
        <v>22000</v>
      </c>
    </row>
    <row r="10" spans="1:12" x14ac:dyDescent="0.25">
      <c r="A10" s="14" t="s">
        <v>82</v>
      </c>
      <c r="B10" s="14"/>
      <c r="C10" s="14">
        <v>50000</v>
      </c>
      <c r="D10" s="14"/>
      <c r="E10" s="14"/>
      <c r="F10" s="14"/>
      <c r="G10" s="14"/>
      <c r="H10" s="14">
        <v>50000</v>
      </c>
      <c r="I10" s="14"/>
      <c r="J10" s="14"/>
      <c r="K10" s="14"/>
      <c r="L10" s="14">
        <v>50000</v>
      </c>
    </row>
    <row r="11" spans="1:12" x14ac:dyDescent="0.25">
      <c r="A11" s="14" t="s">
        <v>52</v>
      </c>
      <c r="B11" s="14"/>
      <c r="C11" s="14">
        <v>15540</v>
      </c>
      <c r="D11" s="14"/>
      <c r="E11" s="14"/>
      <c r="F11" s="14"/>
      <c r="G11" s="14"/>
      <c r="H11" s="14">
        <v>15540</v>
      </c>
      <c r="I11" s="14"/>
      <c r="J11" s="14"/>
      <c r="K11" s="14"/>
      <c r="L11" s="14">
        <v>15540</v>
      </c>
    </row>
    <row r="12" spans="1:12" x14ac:dyDescent="0.25">
      <c r="A12" s="14" t="s">
        <v>53</v>
      </c>
      <c r="B12" s="14">
        <v>27000</v>
      </c>
      <c r="C12" s="14"/>
      <c r="D12" s="14"/>
      <c r="E12" s="14"/>
      <c r="F12" s="14"/>
      <c r="G12" s="14">
        <v>27000</v>
      </c>
      <c r="H12" s="14"/>
      <c r="I12" s="14"/>
      <c r="J12" s="14"/>
      <c r="K12" s="14">
        <v>27000</v>
      </c>
      <c r="L12" s="14"/>
    </row>
    <row r="13" spans="1:12" x14ac:dyDescent="0.25">
      <c r="A13" s="14" t="s">
        <v>83</v>
      </c>
      <c r="B13" s="14"/>
      <c r="C13" s="14">
        <v>126500</v>
      </c>
      <c r="D13" s="14"/>
      <c r="E13" s="14"/>
      <c r="F13" s="14"/>
      <c r="G13" s="14"/>
      <c r="H13" s="14">
        <v>126500</v>
      </c>
      <c r="I13" s="14"/>
      <c r="J13" s="14">
        <v>126500</v>
      </c>
      <c r="K13" s="14"/>
      <c r="L13" s="14"/>
    </row>
    <row r="14" spans="1:12" x14ac:dyDescent="0.25">
      <c r="A14" s="14" t="s">
        <v>84</v>
      </c>
      <c r="B14" s="14">
        <v>63250</v>
      </c>
      <c r="C14" s="14"/>
      <c r="D14" s="14">
        <v>4</v>
      </c>
      <c r="E14" s="14">
        <v>260</v>
      </c>
      <c r="F14" s="14"/>
      <c r="G14" s="14">
        <v>63510</v>
      </c>
      <c r="H14" s="14"/>
      <c r="I14" s="14">
        <v>63510</v>
      </c>
      <c r="J14" s="14"/>
      <c r="K14" s="14"/>
      <c r="L14" s="14"/>
    </row>
    <row r="15" spans="1:12" x14ac:dyDescent="0.25">
      <c r="A15" s="14" t="s">
        <v>85</v>
      </c>
      <c r="B15" s="14">
        <v>2250</v>
      </c>
      <c r="C15" s="14"/>
      <c r="D15" s="14"/>
      <c r="E15" s="14"/>
      <c r="F15" s="14"/>
      <c r="G15" s="14">
        <v>2250</v>
      </c>
      <c r="H15" s="14"/>
      <c r="I15" s="14">
        <v>2250</v>
      </c>
      <c r="J15" s="14"/>
      <c r="K15" s="14"/>
      <c r="L15" s="14"/>
    </row>
    <row r="16" spans="1:12" x14ac:dyDescent="0.25">
      <c r="A16" s="14" t="s">
        <v>86</v>
      </c>
      <c r="B16" s="14">
        <v>1260</v>
      </c>
      <c r="C16" s="14"/>
      <c r="D16" s="14"/>
      <c r="E16" s="14"/>
      <c r="F16" s="14"/>
      <c r="G16" s="14">
        <v>1260</v>
      </c>
      <c r="H16" s="14"/>
      <c r="I16" s="14">
        <v>1260</v>
      </c>
      <c r="J16" s="14"/>
      <c r="K16" s="14"/>
      <c r="L16" s="14"/>
    </row>
    <row r="17" spans="1:12" x14ac:dyDescent="0.25">
      <c r="A17" s="14" t="s">
        <v>87</v>
      </c>
      <c r="B17" s="14">
        <v>7520</v>
      </c>
      <c r="C17" s="14"/>
      <c r="D17" s="14"/>
      <c r="E17" s="14"/>
      <c r="F17" s="14"/>
      <c r="G17" s="14">
        <v>7520</v>
      </c>
      <c r="H17" s="14"/>
      <c r="I17" s="14">
        <v>7520</v>
      </c>
      <c r="J17" s="14"/>
      <c r="K17" s="14"/>
      <c r="L17" s="14"/>
    </row>
    <row r="18" spans="1:12" x14ac:dyDescent="0.25">
      <c r="A18" s="14" t="s">
        <v>88</v>
      </c>
      <c r="B18" s="14">
        <v>3405</v>
      </c>
      <c r="C18" s="14"/>
      <c r="D18" s="14">
        <v>5</v>
      </c>
      <c r="E18" s="14">
        <v>830</v>
      </c>
      <c r="F18" s="14"/>
      <c r="G18" s="14">
        <v>4235</v>
      </c>
      <c r="H18" s="14"/>
      <c r="I18" s="14">
        <v>4235</v>
      </c>
      <c r="J18" s="14"/>
      <c r="K18" s="14"/>
      <c r="L18" s="14"/>
    </row>
    <row r="19" spans="1:12" x14ac:dyDescent="0.25">
      <c r="A19" s="14" t="s">
        <v>89</v>
      </c>
      <c r="B19" s="14">
        <v>2620</v>
      </c>
      <c r="C19" s="14"/>
      <c r="D19" s="14">
        <v>6</v>
      </c>
      <c r="E19" s="14">
        <v>425</v>
      </c>
      <c r="F19" s="14"/>
      <c r="G19" s="14">
        <v>3045</v>
      </c>
      <c r="H19" s="14"/>
      <c r="I19" s="14">
        <v>3045</v>
      </c>
      <c r="J19" s="14"/>
      <c r="K19" s="14"/>
      <c r="L19" s="14"/>
    </row>
    <row r="20" spans="1:12" x14ac:dyDescent="0.25">
      <c r="A20" s="14" t="s">
        <v>90</v>
      </c>
      <c r="B20" s="14">
        <v>1350</v>
      </c>
      <c r="C20" s="14"/>
      <c r="D20" s="14">
        <v>7</v>
      </c>
      <c r="E20" s="14">
        <v>250</v>
      </c>
      <c r="F20" s="14"/>
      <c r="G20" s="14">
        <v>1600</v>
      </c>
      <c r="H20" s="14"/>
      <c r="I20" s="14">
        <v>1600</v>
      </c>
      <c r="J20" s="14"/>
      <c r="K20" s="14"/>
      <c r="L20" s="14"/>
    </row>
    <row r="21" spans="1:12" x14ac:dyDescent="0.25">
      <c r="A21" s="14"/>
      <c r="B21" s="14">
        <v>206640</v>
      </c>
      <c r="C21" s="14">
        <v>206640</v>
      </c>
      <c r="D21" s="14"/>
      <c r="E21" s="14"/>
      <c r="F21" s="14"/>
      <c r="G21" s="14"/>
      <c r="H21" s="14"/>
      <c r="I21" s="14"/>
      <c r="J21" s="14"/>
      <c r="K21" s="14"/>
      <c r="L21" s="14"/>
    </row>
    <row r="22" spans="1:12" x14ac:dyDescent="0.25">
      <c r="A22" s="14" t="s">
        <v>69</v>
      </c>
      <c r="B22" s="14"/>
      <c r="C22" s="14"/>
      <c r="D22" s="14">
        <v>1</v>
      </c>
      <c r="E22" s="14">
        <v>4940</v>
      </c>
      <c r="F22" s="14"/>
      <c r="G22" s="14">
        <v>4940</v>
      </c>
      <c r="H22" s="14"/>
      <c r="I22" s="14">
        <v>4940</v>
      </c>
      <c r="J22" s="14"/>
      <c r="K22" s="14"/>
      <c r="L22" s="14"/>
    </row>
    <row r="23" spans="1:12" x14ac:dyDescent="0.25">
      <c r="A23" s="14" t="s">
        <v>70</v>
      </c>
      <c r="B23" s="14"/>
      <c r="C23" s="14"/>
      <c r="D23" s="14">
        <v>2</v>
      </c>
      <c r="E23" s="14">
        <v>1185</v>
      </c>
      <c r="F23" s="14"/>
      <c r="G23" s="14">
        <v>1185</v>
      </c>
      <c r="H23" s="14"/>
      <c r="I23" s="14">
        <v>1185</v>
      </c>
      <c r="J23" s="14"/>
      <c r="K23" s="14"/>
      <c r="L23" s="14"/>
    </row>
    <row r="24" spans="1:12" x14ac:dyDescent="0.25">
      <c r="A24" s="14" t="s">
        <v>71</v>
      </c>
      <c r="B24" s="14"/>
      <c r="C24" s="14"/>
      <c r="D24" s="14">
        <v>3</v>
      </c>
      <c r="E24" s="14">
        <v>7400</v>
      </c>
      <c r="F24" s="14"/>
      <c r="G24" s="14">
        <v>7400</v>
      </c>
      <c r="H24" s="14"/>
      <c r="I24" s="14">
        <v>7400</v>
      </c>
      <c r="J24" s="14"/>
      <c r="K24" s="14"/>
      <c r="L24" s="14"/>
    </row>
    <row r="25" spans="1:12" x14ac:dyDescent="0.25">
      <c r="A25" s="14" t="s">
        <v>72</v>
      </c>
      <c r="B25" s="14"/>
      <c r="C25" s="14"/>
      <c r="D25" s="14">
        <v>4</v>
      </c>
      <c r="E25" s="14"/>
      <c r="F25" s="14">
        <v>260</v>
      </c>
      <c r="G25" s="14"/>
      <c r="H25" s="14">
        <v>260</v>
      </c>
      <c r="I25" s="14"/>
      <c r="J25" s="14"/>
      <c r="K25" s="14"/>
      <c r="L25" s="14">
        <v>260</v>
      </c>
    </row>
    <row r="26" spans="1:12" x14ac:dyDescent="0.25">
      <c r="A26" s="14" t="s">
        <v>73</v>
      </c>
      <c r="B26" s="14"/>
      <c r="C26" s="14"/>
      <c r="D26" s="14">
        <v>5</v>
      </c>
      <c r="E26" s="14"/>
      <c r="F26" s="14">
        <v>830</v>
      </c>
      <c r="G26" s="14"/>
      <c r="H26" s="14">
        <v>830</v>
      </c>
      <c r="I26" s="14"/>
      <c r="J26" s="14"/>
      <c r="K26" s="14"/>
      <c r="L26" s="14">
        <v>830</v>
      </c>
    </row>
    <row r="27" spans="1:12" x14ac:dyDescent="0.25">
      <c r="A27" s="14" t="s">
        <v>74</v>
      </c>
      <c r="B27" s="14"/>
      <c r="C27" s="14"/>
      <c r="D27" s="14">
        <v>6</v>
      </c>
      <c r="E27" s="14"/>
      <c r="F27" s="14">
        <v>425</v>
      </c>
      <c r="G27" s="14"/>
      <c r="H27" s="14">
        <v>425</v>
      </c>
      <c r="I27" s="14"/>
      <c r="J27" s="14"/>
      <c r="K27" s="14"/>
      <c r="L27" s="14">
        <v>425</v>
      </c>
    </row>
    <row r="28" spans="1:12" x14ac:dyDescent="0.25">
      <c r="A28" s="14" t="s">
        <v>75</v>
      </c>
      <c r="B28" s="14"/>
      <c r="C28" s="14"/>
      <c r="D28" s="14">
        <v>7</v>
      </c>
      <c r="E28" s="14"/>
      <c r="F28" s="14">
        <v>250</v>
      </c>
      <c r="G28" s="14"/>
      <c r="H28" s="14">
        <v>250</v>
      </c>
      <c r="I28" s="14"/>
      <c r="J28" s="14"/>
      <c r="K28" s="14"/>
      <c r="L28" s="14">
        <v>250</v>
      </c>
    </row>
    <row r="29" spans="1:12" x14ac:dyDescent="0.25">
      <c r="A29" s="14" t="s">
        <v>92</v>
      </c>
      <c r="B29" s="14"/>
      <c r="C29" s="14"/>
      <c r="D29" s="14"/>
      <c r="E29" s="14"/>
      <c r="F29" s="14"/>
      <c r="G29" s="14"/>
      <c r="H29" s="14"/>
      <c r="I29" s="14">
        <v>96945</v>
      </c>
      <c r="J29" s="14">
        <v>126500</v>
      </c>
      <c r="K29" s="14">
        <v>118860</v>
      </c>
      <c r="L29" s="14">
        <v>89305</v>
      </c>
    </row>
    <row r="30" spans="1:12" x14ac:dyDescent="0.25">
      <c r="A30" s="14" t="s">
        <v>91</v>
      </c>
      <c r="B30" s="14"/>
      <c r="C30" s="14"/>
      <c r="D30" s="14"/>
      <c r="E30" s="14"/>
      <c r="F30" s="14"/>
      <c r="G30" s="14"/>
      <c r="H30" s="14"/>
      <c r="I30" s="14">
        <v>29555</v>
      </c>
      <c r="J30" s="14"/>
      <c r="K30" s="14"/>
      <c r="L30" s="14">
        <v>29555</v>
      </c>
    </row>
    <row r="31" spans="1:12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12" x14ac:dyDescent="0.25">
      <c r="A32" s="14" t="s">
        <v>68</v>
      </c>
      <c r="B32" s="14"/>
      <c r="C32" s="14"/>
      <c r="D32" s="14"/>
      <c r="E32" s="14">
        <f>SUM(E5:E31)</f>
        <v>15290</v>
      </c>
      <c r="F32" s="14">
        <f t="shared" ref="F32:H32" si="0">SUM(F5:F31)</f>
        <v>15290</v>
      </c>
      <c r="G32" s="14">
        <f t="shared" si="0"/>
        <v>215805</v>
      </c>
      <c r="H32" s="14">
        <f t="shared" si="0"/>
        <v>215805</v>
      </c>
      <c r="I32" s="14">
        <f>SUM(I29:I30)</f>
        <v>126500</v>
      </c>
      <c r="J32" s="14">
        <f>SUM(J29:J30)</f>
        <v>126500</v>
      </c>
      <c r="K32" s="14">
        <f>SUM(K29:K30)</f>
        <v>118860</v>
      </c>
      <c r="L32" s="14">
        <f>SUM(L29:L30)</f>
        <v>118860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3036-475E-442E-9214-8F3E938FBBFF}">
  <dimension ref="A1:L45"/>
  <sheetViews>
    <sheetView topLeftCell="E3" zoomScale="116" workbookViewId="0">
      <selection activeCell="K16" sqref="K16"/>
    </sheetView>
  </sheetViews>
  <sheetFormatPr defaultColWidth="8.85546875" defaultRowHeight="15" x14ac:dyDescent="0.25"/>
  <cols>
    <col min="1" max="1" width="32.7109375" customWidth="1"/>
    <col min="2" max="2" width="19" customWidth="1"/>
    <col min="3" max="3" width="11.140625" customWidth="1"/>
    <col min="4" max="4" width="4.7109375" customWidth="1"/>
    <col min="5" max="5" width="19.28515625" customWidth="1"/>
    <col min="6" max="6" width="16.85546875" customWidth="1"/>
    <col min="7" max="7" width="17" customWidth="1"/>
    <col min="8" max="8" width="17.42578125" customWidth="1"/>
    <col min="9" max="9" width="16.85546875" customWidth="1"/>
    <col min="10" max="10" width="15.140625" customWidth="1"/>
    <col min="11" max="11" width="17.28515625" customWidth="1"/>
    <col min="12" max="12" width="18.42578125" customWidth="1"/>
  </cols>
  <sheetData>
    <row r="1" spans="1:12" x14ac:dyDescent="0.25">
      <c r="A1" s="144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5"/>
    </row>
    <row r="2" spans="1:12" x14ac:dyDescent="0.25">
      <c r="A2" s="14" t="s">
        <v>76</v>
      </c>
      <c r="B2" s="144" t="s">
        <v>27</v>
      </c>
      <c r="C2" s="145"/>
      <c r="D2" s="14"/>
      <c r="E2" s="144" t="s">
        <v>64</v>
      </c>
      <c r="F2" s="145"/>
      <c r="G2" s="144" t="s">
        <v>28</v>
      </c>
      <c r="H2" s="145"/>
      <c r="I2" s="144" t="s">
        <v>205</v>
      </c>
      <c r="J2" s="145"/>
      <c r="K2" s="144" t="s">
        <v>67</v>
      </c>
      <c r="L2" s="145"/>
    </row>
    <row r="3" spans="1:12" x14ac:dyDescent="0.25">
      <c r="A3" s="14"/>
      <c r="B3" s="144" t="s">
        <v>63</v>
      </c>
      <c r="C3" s="145"/>
      <c r="D3" s="14"/>
      <c r="E3" s="14"/>
      <c r="F3" s="14"/>
      <c r="G3" s="144" t="s">
        <v>63</v>
      </c>
      <c r="H3" s="145"/>
      <c r="I3" s="144"/>
      <c r="J3" s="145"/>
      <c r="K3" s="144"/>
      <c r="L3" s="145"/>
    </row>
    <row r="4" spans="1:12" x14ac:dyDescent="0.25">
      <c r="A4" s="14"/>
      <c r="B4" s="14" t="s">
        <v>45</v>
      </c>
      <c r="C4" s="14" t="s">
        <v>46</v>
      </c>
      <c r="D4" s="93" t="s">
        <v>196</v>
      </c>
      <c r="E4" s="14" t="s">
        <v>45</v>
      </c>
      <c r="F4" s="14" t="s">
        <v>46</v>
      </c>
      <c r="G4" s="14" t="s">
        <v>45</v>
      </c>
      <c r="H4" s="14" t="s">
        <v>46</v>
      </c>
      <c r="I4" s="14" t="s">
        <v>45</v>
      </c>
      <c r="J4" s="14" t="s">
        <v>46</v>
      </c>
      <c r="K4" s="14" t="s">
        <v>45</v>
      </c>
      <c r="L4" s="14" t="s">
        <v>46</v>
      </c>
    </row>
    <row r="5" spans="1:12" ht="18.75" x14ac:dyDescent="0.4">
      <c r="A5" s="14" t="s">
        <v>77</v>
      </c>
      <c r="B5" s="15">
        <v>12600</v>
      </c>
      <c r="C5" s="15"/>
      <c r="D5" s="86"/>
      <c r="E5" s="15"/>
      <c r="F5" s="15"/>
      <c r="G5" s="15">
        <v>12600</v>
      </c>
      <c r="H5" s="15"/>
      <c r="I5" s="15"/>
      <c r="J5" s="15"/>
      <c r="K5" s="15">
        <v>12600</v>
      </c>
      <c r="L5" s="14"/>
    </row>
    <row r="6" spans="1:12" ht="18.75" x14ac:dyDescent="0.4">
      <c r="A6" s="14" t="s">
        <v>95</v>
      </c>
      <c r="B6" s="15">
        <v>11800</v>
      </c>
      <c r="C6" s="15"/>
      <c r="D6" s="86"/>
      <c r="E6" s="15"/>
      <c r="F6" s="15"/>
      <c r="G6" s="15">
        <v>11800</v>
      </c>
      <c r="H6" s="15"/>
      <c r="I6" s="15"/>
      <c r="J6" s="15"/>
      <c r="K6" s="15">
        <v>11800</v>
      </c>
      <c r="L6" s="14"/>
    </row>
    <row r="7" spans="1:12" ht="18.75" x14ac:dyDescent="0.4">
      <c r="A7" s="14" t="s">
        <v>79</v>
      </c>
      <c r="B7" s="15">
        <v>1800</v>
      </c>
      <c r="C7" s="15"/>
      <c r="D7" s="86" t="s">
        <v>194</v>
      </c>
      <c r="E7" s="15"/>
      <c r="F7" s="86">
        <v>1340</v>
      </c>
      <c r="G7" s="15">
        <v>460</v>
      </c>
      <c r="H7" s="15"/>
      <c r="I7" s="15"/>
      <c r="J7" s="15"/>
      <c r="K7" s="15">
        <v>460</v>
      </c>
      <c r="L7" s="14"/>
    </row>
    <row r="8" spans="1:12" ht="18.75" x14ac:dyDescent="0.4">
      <c r="A8" s="14" t="s">
        <v>97</v>
      </c>
      <c r="B8" s="15">
        <v>180200</v>
      </c>
      <c r="C8" s="15"/>
      <c r="D8" s="86"/>
      <c r="E8" s="15"/>
      <c r="F8" s="15"/>
      <c r="G8" s="15">
        <v>180200</v>
      </c>
      <c r="H8" s="15"/>
      <c r="I8" s="15"/>
      <c r="J8" s="15"/>
      <c r="K8" s="15">
        <v>180200</v>
      </c>
      <c r="L8" s="14"/>
    </row>
    <row r="9" spans="1:12" ht="18.75" x14ac:dyDescent="0.4">
      <c r="A9" s="14" t="s">
        <v>98</v>
      </c>
      <c r="B9" s="15">
        <v>196000</v>
      </c>
      <c r="C9" s="15"/>
      <c r="D9" s="86"/>
      <c r="E9" s="15"/>
      <c r="F9" s="15"/>
      <c r="G9" s="15">
        <v>196000</v>
      </c>
      <c r="H9" s="15"/>
      <c r="I9" s="15"/>
      <c r="J9" s="15"/>
      <c r="K9" s="15">
        <v>196000</v>
      </c>
      <c r="L9" s="14"/>
    </row>
    <row r="10" spans="1:12" ht="18.75" x14ac:dyDescent="0.4">
      <c r="A10" s="14" t="s">
        <v>180</v>
      </c>
      <c r="B10" s="15"/>
      <c r="C10" s="15">
        <v>86900</v>
      </c>
      <c r="D10" s="86" t="s">
        <v>195</v>
      </c>
      <c r="E10" s="15"/>
      <c r="F10" s="86">
        <v>9600</v>
      </c>
      <c r="G10" s="15"/>
      <c r="H10" s="15">
        <v>96500</v>
      </c>
      <c r="I10" s="15"/>
      <c r="J10" s="15"/>
      <c r="K10" s="15"/>
      <c r="L10" s="15">
        <v>96500</v>
      </c>
    </row>
    <row r="11" spans="1:12" ht="18.75" x14ac:dyDescent="0.4">
      <c r="A11" s="14" t="s">
        <v>181</v>
      </c>
      <c r="B11" s="15">
        <v>32300</v>
      </c>
      <c r="C11" s="15"/>
      <c r="D11" s="86"/>
      <c r="E11" s="15"/>
      <c r="F11" s="15"/>
      <c r="G11" s="15">
        <v>32300</v>
      </c>
      <c r="H11" s="15"/>
      <c r="I11" s="15"/>
      <c r="J11" s="15"/>
      <c r="K11" s="15">
        <v>32300</v>
      </c>
      <c r="L11" s="14"/>
    </row>
    <row r="12" spans="1:12" ht="18.75" x14ac:dyDescent="0.4">
      <c r="A12" s="14" t="s">
        <v>182</v>
      </c>
      <c r="B12" s="15"/>
      <c r="C12" s="15">
        <v>8800</v>
      </c>
      <c r="D12" s="86" t="s">
        <v>195</v>
      </c>
      <c r="E12" s="15"/>
      <c r="F12" s="86">
        <v>3680</v>
      </c>
      <c r="G12" s="15"/>
      <c r="H12" s="15">
        <v>12480</v>
      </c>
      <c r="I12" s="15"/>
      <c r="J12" s="15"/>
      <c r="K12" s="15"/>
      <c r="L12" s="15">
        <v>12480</v>
      </c>
    </row>
    <row r="13" spans="1:12" ht="18.75" x14ac:dyDescent="0.4">
      <c r="A13" s="14" t="s">
        <v>99</v>
      </c>
      <c r="B13" s="15"/>
      <c r="C13" s="15">
        <v>16400</v>
      </c>
      <c r="D13" s="86"/>
      <c r="E13" s="15"/>
      <c r="F13" s="15"/>
      <c r="G13" s="15"/>
      <c r="H13" s="15">
        <v>16400</v>
      </c>
      <c r="I13" s="15"/>
      <c r="J13" s="15"/>
      <c r="K13" s="15"/>
      <c r="L13" s="15">
        <v>16400</v>
      </c>
    </row>
    <row r="14" spans="1:12" ht="18.75" x14ac:dyDescent="0.4">
      <c r="A14" s="14" t="s">
        <v>102</v>
      </c>
      <c r="B14" s="15"/>
      <c r="C14" s="15">
        <v>64000</v>
      </c>
      <c r="D14" s="86"/>
      <c r="E14" s="15"/>
      <c r="F14" s="15"/>
      <c r="G14" s="15"/>
      <c r="H14" s="15">
        <v>64000</v>
      </c>
      <c r="I14" s="15"/>
      <c r="J14" s="15"/>
      <c r="K14" s="15"/>
      <c r="L14" s="15">
        <v>64000</v>
      </c>
    </row>
    <row r="15" spans="1:12" ht="18.75" x14ac:dyDescent="0.4">
      <c r="A15" s="14" t="s">
        <v>183</v>
      </c>
      <c r="B15" s="15"/>
      <c r="C15" s="15">
        <v>236950</v>
      </c>
      <c r="D15" s="86"/>
      <c r="E15" s="15"/>
      <c r="F15" s="15"/>
      <c r="G15" s="15"/>
      <c r="H15" s="15">
        <v>236950</v>
      </c>
      <c r="I15" s="15"/>
      <c r="J15" s="15"/>
      <c r="K15" s="15"/>
      <c r="L15" s="15">
        <v>236950</v>
      </c>
    </row>
    <row r="16" spans="1:12" ht="18.75" x14ac:dyDescent="0.4">
      <c r="A16" s="14" t="s">
        <v>184</v>
      </c>
      <c r="B16" s="15">
        <v>86500</v>
      </c>
      <c r="C16" s="15"/>
      <c r="D16" s="86"/>
      <c r="E16" s="15"/>
      <c r="F16" s="15"/>
      <c r="G16" s="15">
        <v>86500</v>
      </c>
      <c r="H16" s="15"/>
      <c r="I16" s="15"/>
      <c r="J16" s="15"/>
      <c r="K16" s="15">
        <v>86500</v>
      </c>
      <c r="L16" s="14"/>
    </row>
    <row r="17" spans="1:12" ht="18.75" x14ac:dyDescent="0.4">
      <c r="A17" s="14" t="s">
        <v>185</v>
      </c>
      <c r="B17" s="15"/>
      <c r="C17" s="15">
        <v>262430</v>
      </c>
      <c r="D17" s="86" t="s">
        <v>197</v>
      </c>
      <c r="E17" s="86">
        <v>600</v>
      </c>
      <c r="F17" s="86"/>
      <c r="G17" s="15"/>
      <c r="H17" s="15">
        <v>261830</v>
      </c>
      <c r="I17" s="15"/>
      <c r="J17" s="99">
        <v>261830</v>
      </c>
      <c r="K17" s="15"/>
      <c r="L17" s="14"/>
    </row>
    <row r="18" spans="1:12" ht="18.75" x14ac:dyDescent="0.4">
      <c r="A18" s="14" t="s">
        <v>186</v>
      </c>
      <c r="B18" s="15"/>
      <c r="C18" s="15">
        <v>14400</v>
      </c>
      <c r="D18" s="86"/>
      <c r="E18" s="15"/>
      <c r="F18" s="15"/>
      <c r="G18" s="15"/>
      <c r="H18" s="15">
        <v>14400</v>
      </c>
      <c r="I18" s="15"/>
      <c r="J18" s="99">
        <v>14400</v>
      </c>
      <c r="K18" s="15"/>
      <c r="L18" s="14"/>
    </row>
    <row r="19" spans="1:12" ht="18.75" x14ac:dyDescent="0.4">
      <c r="A19" s="14" t="s">
        <v>84</v>
      </c>
      <c r="B19" s="15">
        <v>124600</v>
      </c>
      <c r="C19" s="15"/>
      <c r="D19" s="86" t="s">
        <v>193</v>
      </c>
      <c r="E19" s="86">
        <v>2360</v>
      </c>
      <c r="F19" s="15"/>
      <c r="G19" s="15">
        <v>126960</v>
      </c>
      <c r="H19" s="15"/>
      <c r="I19" s="98">
        <v>126960</v>
      </c>
      <c r="J19" s="15"/>
      <c r="K19" s="15"/>
      <c r="L19" s="14"/>
    </row>
    <row r="20" spans="1:12" ht="18.75" x14ac:dyDescent="0.4">
      <c r="A20" s="14" t="s">
        <v>89</v>
      </c>
      <c r="B20" s="15">
        <v>4520</v>
      </c>
      <c r="C20" s="15"/>
      <c r="D20" s="86"/>
      <c r="E20" s="15"/>
      <c r="F20" s="15"/>
      <c r="G20" s="15">
        <v>4520</v>
      </c>
      <c r="H20" s="15"/>
      <c r="I20" s="98">
        <v>4520</v>
      </c>
      <c r="J20" s="15"/>
      <c r="K20" s="15"/>
      <c r="L20" s="14"/>
    </row>
    <row r="21" spans="1:12" ht="18.75" x14ac:dyDescent="0.4">
      <c r="A21" s="14" t="s">
        <v>90</v>
      </c>
      <c r="B21" s="15">
        <v>3080</v>
      </c>
      <c r="C21" s="15"/>
      <c r="D21" s="86" t="s">
        <v>192</v>
      </c>
      <c r="E21" s="86">
        <v>260</v>
      </c>
      <c r="F21" s="15"/>
      <c r="G21" s="15">
        <v>3340</v>
      </c>
      <c r="H21" s="15"/>
      <c r="I21" s="98">
        <v>3340</v>
      </c>
      <c r="J21" s="15"/>
      <c r="K21" s="15"/>
      <c r="L21" s="14"/>
    </row>
    <row r="22" spans="1:12" ht="18.75" x14ac:dyDescent="0.4">
      <c r="A22" s="14" t="s">
        <v>70</v>
      </c>
      <c r="B22" s="15">
        <v>36480</v>
      </c>
      <c r="C22" s="15"/>
      <c r="D22" s="86" t="s">
        <v>194</v>
      </c>
      <c r="E22" s="86">
        <v>1340</v>
      </c>
      <c r="F22" s="15"/>
      <c r="G22" s="15">
        <v>37820</v>
      </c>
      <c r="H22" s="15"/>
      <c r="I22" s="98">
        <v>37820</v>
      </c>
      <c r="J22" s="15"/>
      <c r="K22" s="15"/>
      <c r="L22" s="14"/>
    </row>
    <row r="23" spans="1:12" ht="19.5" thickBot="1" x14ac:dyDescent="0.45">
      <c r="A23" s="15"/>
      <c r="B23" s="92">
        <f>SUM(B5:B22)</f>
        <v>689880</v>
      </c>
      <c r="C23" s="92">
        <f>SUM(C5:C22)</f>
        <v>689880</v>
      </c>
      <c r="D23" s="95"/>
      <c r="E23" s="15"/>
      <c r="F23" s="15"/>
      <c r="G23" s="15"/>
      <c r="H23" s="15"/>
      <c r="I23" s="15"/>
      <c r="J23" s="15"/>
      <c r="K23" s="15"/>
      <c r="L23" s="14"/>
    </row>
    <row r="24" spans="1:12" ht="19.5" thickTop="1" x14ac:dyDescent="0.4">
      <c r="A24" s="14" t="s">
        <v>187</v>
      </c>
      <c r="B24" s="91"/>
      <c r="C24" s="91"/>
      <c r="D24" s="96" t="s">
        <v>195</v>
      </c>
      <c r="E24" s="86">
        <v>9600</v>
      </c>
      <c r="F24" s="15"/>
      <c r="G24" s="15">
        <v>9600</v>
      </c>
      <c r="H24" s="15"/>
      <c r="I24" s="98">
        <v>9600</v>
      </c>
      <c r="J24" s="15"/>
      <c r="K24" s="15"/>
      <c r="L24" s="14"/>
    </row>
    <row r="25" spans="1:12" ht="18.75" x14ac:dyDescent="0.4">
      <c r="A25" s="14" t="s">
        <v>188</v>
      </c>
      <c r="B25" s="15"/>
      <c r="C25" s="15"/>
      <c r="D25" s="96" t="s">
        <v>195</v>
      </c>
      <c r="E25" s="86">
        <v>3680</v>
      </c>
      <c r="F25" s="15"/>
      <c r="G25" s="15">
        <v>3680</v>
      </c>
      <c r="H25" s="15"/>
      <c r="I25" s="98">
        <v>3680</v>
      </c>
      <c r="J25" s="15"/>
      <c r="K25" s="15"/>
      <c r="L25" s="14"/>
    </row>
    <row r="26" spans="1:12" ht="18.75" x14ac:dyDescent="0.4">
      <c r="A26" s="14" t="s">
        <v>75</v>
      </c>
      <c r="B26" s="14"/>
      <c r="C26" s="14"/>
      <c r="D26" s="97" t="s">
        <v>192</v>
      </c>
      <c r="E26" s="15"/>
      <c r="F26" s="86">
        <v>260</v>
      </c>
      <c r="G26" s="15"/>
      <c r="H26" s="15">
        <v>260</v>
      </c>
      <c r="I26" s="15"/>
      <c r="J26" s="15"/>
      <c r="K26" s="15"/>
      <c r="L26" s="15">
        <v>260</v>
      </c>
    </row>
    <row r="27" spans="1:12" ht="18.75" x14ac:dyDescent="0.4">
      <c r="A27" s="14" t="s">
        <v>72</v>
      </c>
      <c r="B27" s="15"/>
      <c r="C27" s="15"/>
      <c r="D27" s="86" t="s">
        <v>193</v>
      </c>
      <c r="E27" s="15"/>
      <c r="F27" s="86">
        <v>2360</v>
      </c>
      <c r="G27" s="15"/>
      <c r="H27" s="15">
        <v>2360</v>
      </c>
      <c r="I27" s="15"/>
      <c r="J27" s="15"/>
      <c r="K27" s="15"/>
      <c r="L27" s="15">
        <v>2360</v>
      </c>
    </row>
    <row r="28" spans="1:12" ht="18.75" x14ac:dyDescent="0.4">
      <c r="A28" s="14" t="s">
        <v>189</v>
      </c>
      <c r="B28" s="15"/>
      <c r="C28" s="15"/>
      <c r="D28" s="86" t="s">
        <v>198</v>
      </c>
      <c r="E28" s="15"/>
      <c r="F28" s="86">
        <v>4820</v>
      </c>
      <c r="G28" s="15"/>
      <c r="H28" s="15">
        <v>4820</v>
      </c>
      <c r="I28" s="15"/>
      <c r="J28" s="15"/>
      <c r="K28" s="15"/>
      <c r="L28" s="15">
        <v>4820</v>
      </c>
    </row>
    <row r="29" spans="1:12" ht="18.75" x14ac:dyDescent="0.4">
      <c r="A29" s="14" t="s">
        <v>190</v>
      </c>
      <c r="B29" s="15"/>
      <c r="C29" s="15"/>
      <c r="D29" s="86" t="s">
        <v>197</v>
      </c>
      <c r="E29" s="86"/>
      <c r="F29" s="86">
        <v>600</v>
      </c>
      <c r="G29" s="15"/>
      <c r="H29" s="15">
        <v>600</v>
      </c>
      <c r="I29" s="15"/>
      <c r="J29" s="15"/>
      <c r="K29" s="15"/>
      <c r="L29" s="15">
        <v>600</v>
      </c>
    </row>
    <row r="30" spans="1:12" ht="18.75" x14ac:dyDescent="0.4">
      <c r="A30" s="14" t="s">
        <v>191</v>
      </c>
      <c r="B30" s="15"/>
      <c r="C30" s="15"/>
      <c r="D30" s="86" t="s">
        <v>198</v>
      </c>
      <c r="E30" s="86">
        <v>4820</v>
      </c>
      <c r="F30" s="15"/>
      <c r="G30" s="15">
        <v>4820</v>
      </c>
      <c r="H30" s="15"/>
      <c r="I30" s="98">
        <v>4820</v>
      </c>
      <c r="J30" s="15"/>
      <c r="K30" s="15"/>
      <c r="L30" s="14"/>
    </row>
    <row r="31" spans="1:12" ht="19.5" thickBot="1" x14ac:dyDescent="0.45">
      <c r="A31" s="15"/>
      <c r="B31" s="15"/>
      <c r="C31" s="15"/>
      <c r="D31" s="86"/>
      <c r="E31" s="92">
        <f t="shared" ref="E31:L31" si="0">SUM(E5:E30)</f>
        <v>22660</v>
      </c>
      <c r="F31" s="92">
        <f t="shared" si="0"/>
        <v>22660</v>
      </c>
      <c r="G31" s="92">
        <f t="shared" si="0"/>
        <v>710600</v>
      </c>
      <c r="H31" s="92">
        <f t="shared" si="0"/>
        <v>710600</v>
      </c>
      <c r="I31" s="15">
        <f t="shared" si="0"/>
        <v>190740</v>
      </c>
      <c r="J31" s="15">
        <f t="shared" si="0"/>
        <v>276230</v>
      </c>
      <c r="K31" s="15">
        <f t="shared" si="0"/>
        <v>519860</v>
      </c>
      <c r="L31" s="94">
        <f t="shared" si="0"/>
        <v>434370</v>
      </c>
    </row>
    <row r="32" spans="1:12" ht="19.5" thickTop="1" x14ac:dyDescent="0.4">
      <c r="A32" s="14" t="s">
        <v>112</v>
      </c>
      <c r="B32" s="15"/>
      <c r="C32" s="15"/>
      <c r="D32" s="15"/>
      <c r="E32" s="91"/>
      <c r="F32" s="91"/>
      <c r="G32" s="91"/>
      <c r="H32" s="91"/>
      <c r="I32" s="15">
        <v>85490</v>
      </c>
      <c r="J32" s="15"/>
      <c r="K32" s="15"/>
      <c r="L32" s="15">
        <v>85490</v>
      </c>
    </row>
    <row r="33" spans="1:12" ht="19.5" thickBot="1" x14ac:dyDescent="0.45">
      <c r="A33" s="15"/>
      <c r="B33" s="15"/>
      <c r="C33" s="15"/>
      <c r="D33" s="15"/>
      <c r="E33" s="15"/>
      <c r="F33" s="15"/>
      <c r="G33" s="15"/>
      <c r="H33" s="15"/>
      <c r="I33" s="92">
        <f>SUM(I31:I32)</f>
        <v>276230</v>
      </c>
      <c r="J33" s="92">
        <f>SUM(J31)</f>
        <v>276230</v>
      </c>
      <c r="K33" s="92">
        <f>SUM(K31)</f>
        <v>519860</v>
      </c>
      <c r="L33" s="92">
        <f>SUM(L31:L32)</f>
        <v>519860</v>
      </c>
    </row>
    <row r="34" spans="1:12" ht="19.5" thickTop="1" x14ac:dyDescent="0.4">
      <c r="A34" s="15"/>
      <c r="B34" s="15"/>
      <c r="C34" s="15"/>
      <c r="D34" s="15"/>
      <c r="E34" s="15"/>
      <c r="F34" s="15"/>
      <c r="G34" s="15"/>
      <c r="H34" s="15"/>
      <c r="I34" s="91"/>
      <c r="J34" s="91"/>
      <c r="K34" s="91"/>
      <c r="L34" s="101"/>
    </row>
    <row r="35" spans="1:12" ht="18.75" x14ac:dyDescent="0.4">
      <c r="A35" s="15"/>
      <c r="B35" s="15"/>
      <c r="C35" s="15"/>
      <c r="D35" s="15"/>
      <c r="E35" s="14"/>
      <c r="F35" s="14"/>
      <c r="G35" s="14"/>
      <c r="H35" s="15"/>
      <c r="I35" s="15"/>
      <c r="J35" s="15"/>
      <c r="K35" s="15"/>
      <c r="L35" s="14"/>
    </row>
    <row r="36" spans="1:12" ht="18.75" x14ac:dyDescent="0.4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</row>
    <row r="37" spans="1:12" ht="18.75" x14ac:dyDescent="0.4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</row>
    <row r="38" spans="1:12" ht="18.75" x14ac:dyDescent="0.4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</row>
    <row r="39" spans="1:12" ht="18.75" x14ac:dyDescent="0.4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</row>
    <row r="40" spans="1:12" x14ac:dyDescent="0.25">
      <c r="H40" s="85" t="s">
        <v>199</v>
      </c>
    </row>
    <row r="41" spans="1:12" x14ac:dyDescent="0.25">
      <c r="H41" s="85" t="s">
        <v>200</v>
      </c>
    </row>
    <row r="42" spans="1:12" x14ac:dyDescent="0.25">
      <c r="H42" s="85" t="s">
        <v>201</v>
      </c>
    </row>
    <row r="43" spans="1:12" x14ac:dyDescent="0.25">
      <c r="H43" s="85" t="s">
        <v>204</v>
      </c>
    </row>
    <row r="44" spans="1:12" x14ac:dyDescent="0.25">
      <c r="H44" t="s">
        <v>202</v>
      </c>
    </row>
    <row r="45" spans="1:12" x14ac:dyDescent="0.25">
      <c r="H45" t="s">
        <v>203</v>
      </c>
    </row>
  </sheetData>
  <mergeCells count="10">
    <mergeCell ref="E2:F2"/>
    <mergeCell ref="B2:C2"/>
    <mergeCell ref="B3:C3"/>
    <mergeCell ref="A1:L1"/>
    <mergeCell ref="K2:L2"/>
    <mergeCell ref="I2:J2"/>
    <mergeCell ref="I3:J3"/>
    <mergeCell ref="K3:L3"/>
    <mergeCell ref="G3:H3"/>
    <mergeCell ref="G2:H2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57E1D-A610-4C37-9A13-03A35315D65F}">
  <dimension ref="B4:M25"/>
  <sheetViews>
    <sheetView zoomScale="145" zoomScaleNormal="145" workbookViewId="0">
      <selection activeCell="O15" sqref="O15"/>
    </sheetView>
  </sheetViews>
  <sheetFormatPr defaultRowHeight="15" x14ac:dyDescent="0.25"/>
  <cols>
    <col min="11" max="11" width="42" customWidth="1"/>
  </cols>
  <sheetData>
    <row r="4" spans="9:13" x14ac:dyDescent="0.25">
      <c r="I4" t="s">
        <v>93</v>
      </c>
      <c r="J4" t="s">
        <v>126</v>
      </c>
      <c r="K4" t="s">
        <v>127</v>
      </c>
      <c r="L4" t="s">
        <v>220</v>
      </c>
      <c r="M4" t="s">
        <v>221</v>
      </c>
    </row>
    <row r="5" spans="9:13" x14ac:dyDescent="0.25">
      <c r="I5">
        <v>1</v>
      </c>
      <c r="J5" s="127">
        <v>46203</v>
      </c>
      <c r="K5" t="s">
        <v>246</v>
      </c>
      <c r="L5">
        <v>1125</v>
      </c>
    </row>
    <row r="6" spans="9:13" x14ac:dyDescent="0.25">
      <c r="K6" s="128" t="s">
        <v>247</v>
      </c>
      <c r="M6">
        <v>1125</v>
      </c>
    </row>
    <row r="7" spans="9:13" x14ac:dyDescent="0.25">
      <c r="K7" s="129" t="s">
        <v>248</v>
      </c>
    </row>
    <row r="9" spans="9:13" x14ac:dyDescent="0.25">
      <c r="I9">
        <v>2</v>
      </c>
      <c r="J9" s="127">
        <v>46203</v>
      </c>
      <c r="K9" t="s">
        <v>249</v>
      </c>
      <c r="L9">
        <v>290</v>
      </c>
    </row>
    <row r="10" spans="9:13" x14ac:dyDescent="0.25">
      <c r="K10" s="128" t="s">
        <v>250</v>
      </c>
      <c r="M10">
        <v>290</v>
      </c>
    </row>
    <row r="11" spans="9:13" x14ac:dyDescent="0.25">
      <c r="K11" s="129" t="s">
        <v>251</v>
      </c>
    </row>
    <row r="13" spans="9:13" x14ac:dyDescent="0.25">
      <c r="I13">
        <v>3</v>
      </c>
      <c r="J13" s="127">
        <v>46203</v>
      </c>
      <c r="K13" t="s">
        <v>253</v>
      </c>
      <c r="L13">
        <v>1100</v>
      </c>
    </row>
    <row r="14" spans="9:13" x14ac:dyDescent="0.25">
      <c r="K14" s="128" t="s">
        <v>252</v>
      </c>
      <c r="M14">
        <v>1100</v>
      </c>
    </row>
    <row r="15" spans="9:13" x14ac:dyDescent="0.25">
      <c r="K15" s="129" t="s">
        <v>256</v>
      </c>
    </row>
    <row r="17" spans="2:13" x14ac:dyDescent="0.25">
      <c r="I17">
        <v>4</v>
      </c>
      <c r="J17" s="127">
        <v>46203</v>
      </c>
      <c r="K17" t="s">
        <v>259</v>
      </c>
      <c r="L17">
        <v>1200</v>
      </c>
    </row>
    <row r="18" spans="2:13" x14ac:dyDescent="0.25">
      <c r="K18" s="128" t="s">
        <v>260</v>
      </c>
      <c r="M18">
        <v>1200</v>
      </c>
    </row>
    <row r="19" spans="2:13" x14ac:dyDescent="0.25">
      <c r="K19" t="s">
        <v>258</v>
      </c>
    </row>
    <row r="21" spans="2:13" x14ac:dyDescent="0.25">
      <c r="I21">
        <v>5</v>
      </c>
      <c r="J21" s="127">
        <v>46203</v>
      </c>
      <c r="K21" t="s">
        <v>254</v>
      </c>
      <c r="L21">
        <v>2400</v>
      </c>
    </row>
    <row r="22" spans="2:13" x14ac:dyDescent="0.25">
      <c r="B22" s="85" t="s">
        <v>327</v>
      </c>
      <c r="K22" s="128" t="s">
        <v>257</v>
      </c>
      <c r="M22">
        <v>2400</v>
      </c>
    </row>
    <row r="23" spans="2:13" x14ac:dyDescent="0.25">
      <c r="B23" s="85" t="s">
        <v>328</v>
      </c>
      <c r="K23" s="129" t="s">
        <v>261</v>
      </c>
    </row>
    <row r="24" spans="2:13" ht="15.75" thickBot="1" x14ac:dyDescent="0.3">
      <c r="L24" s="131">
        <f>SUM(L5:L23)</f>
        <v>6115</v>
      </c>
      <c r="M24" s="131">
        <f>SUM(M5:M23)</f>
        <v>6115</v>
      </c>
    </row>
    <row r="25" spans="2:13" ht="15.75" thickTop="1" x14ac:dyDescent="0.25"/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6C69-AD84-443C-9977-C0C126AB0836}">
  <dimension ref="B2:AJ79"/>
  <sheetViews>
    <sheetView topLeftCell="A30" zoomScale="115" zoomScaleNormal="115" workbookViewId="0">
      <selection activeCell="J55" sqref="J55"/>
    </sheetView>
  </sheetViews>
  <sheetFormatPr defaultRowHeight="15" x14ac:dyDescent="0.25"/>
  <cols>
    <col min="4" max="4" width="22.85546875" customWidth="1"/>
    <col min="10" max="10" width="23.85546875" customWidth="1"/>
    <col min="13" max="13" width="22" customWidth="1"/>
    <col min="26" max="26" width="28.42578125" customWidth="1"/>
    <col min="30" max="30" width="37.7109375" customWidth="1"/>
    <col min="34" max="34" width="22.140625" customWidth="1"/>
  </cols>
  <sheetData>
    <row r="2" spans="12:36" x14ac:dyDescent="0.25">
      <c r="M2" s="85" t="s">
        <v>292</v>
      </c>
    </row>
    <row r="3" spans="12:36" x14ac:dyDescent="0.25">
      <c r="M3" s="85" t="s">
        <v>293</v>
      </c>
    </row>
    <row r="6" spans="12:36" x14ac:dyDescent="0.25">
      <c r="L6" s="133" t="s">
        <v>262</v>
      </c>
      <c r="M6" t="s">
        <v>263</v>
      </c>
      <c r="N6" s="136" t="s">
        <v>266</v>
      </c>
      <c r="O6" s="136"/>
      <c r="P6" s="136" t="s">
        <v>267</v>
      </c>
      <c r="Q6" s="136"/>
      <c r="R6" s="136" t="s">
        <v>268</v>
      </c>
      <c r="S6" s="136"/>
      <c r="T6" s="136" t="s">
        <v>269</v>
      </c>
      <c r="U6" s="136"/>
      <c r="V6" s="136" t="s">
        <v>270</v>
      </c>
      <c r="W6" s="136"/>
      <c r="Y6" s="133" t="s">
        <v>294</v>
      </c>
      <c r="Z6" s="136" t="s">
        <v>295</v>
      </c>
      <c r="AA6" s="136"/>
      <c r="AB6" s="136"/>
      <c r="AD6" s="136" t="s">
        <v>295</v>
      </c>
      <c r="AE6" s="136"/>
      <c r="AF6" s="136"/>
      <c r="AH6" s="136" t="s">
        <v>295</v>
      </c>
      <c r="AI6" s="136"/>
      <c r="AJ6" s="136"/>
    </row>
    <row r="7" spans="12:36" x14ac:dyDescent="0.25">
      <c r="N7" s="72" t="s">
        <v>264</v>
      </c>
      <c r="O7" s="72" t="s">
        <v>265</v>
      </c>
      <c r="P7" s="72" t="s">
        <v>264</v>
      </c>
      <c r="Q7" s="72" t="s">
        <v>265</v>
      </c>
      <c r="R7" s="72" t="s">
        <v>264</v>
      </c>
      <c r="S7" s="72" t="s">
        <v>265</v>
      </c>
      <c r="T7" s="72" t="s">
        <v>264</v>
      </c>
      <c r="U7" s="72" t="s">
        <v>265</v>
      </c>
      <c r="V7" s="72" t="s">
        <v>264</v>
      </c>
      <c r="W7" s="72" t="s">
        <v>265</v>
      </c>
      <c r="Z7" s="136" t="s">
        <v>269</v>
      </c>
      <c r="AA7" s="136"/>
      <c r="AB7" s="136"/>
      <c r="AD7" s="136" t="s">
        <v>299</v>
      </c>
      <c r="AE7" s="136"/>
      <c r="AF7" s="136"/>
      <c r="AH7" s="136" t="s">
        <v>299</v>
      </c>
      <c r="AI7" s="136"/>
      <c r="AJ7" s="136"/>
    </row>
    <row r="8" spans="12:36" x14ac:dyDescent="0.25">
      <c r="M8" t="s">
        <v>255</v>
      </c>
      <c r="N8">
        <v>80000</v>
      </c>
      <c r="R8">
        <v>80000</v>
      </c>
      <c r="V8">
        <v>80000</v>
      </c>
      <c r="Z8" s="136" t="s">
        <v>296</v>
      </c>
      <c r="AA8" s="136"/>
      <c r="AB8" s="136"/>
      <c r="AD8" s="136" t="s">
        <v>296</v>
      </c>
      <c r="AE8" s="136"/>
      <c r="AF8" s="136"/>
      <c r="AH8" s="136" t="s">
        <v>303</v>
      </c>
      <c r="AI8" s="136"/>
      <c r="AJ8" s="136"/>
    </row>
    <row r="9" spans="12:36" x14ac:dyDescent="0.25">
      <c r="M9" t="s">
        <v>271</v>
      </c>
      <c r="N9">
        <v>74000</v>
      </c>
      <c r="R9">
        <v>74000</v>
      </c>
      <c r="V9">
        <v>74000</v>
      </c>
      <c r="Z9" s="132"/>
      <c r="AA9" s="72" t="s">
        <v>264</v>
      </c>
      <c r="AB9" s="72" t="s">
        <v>265</v>
      </c>
    </row>
    <row r="10" spans="12:36" x14ac:dyDescent="0.25">
      <c r="M10" t="s">
        <v>247</v>
      </c>
      <c r="N10">
        <v>24000</v>
      </c>
      <c r="Q10">
        <v>16000</v>
      </c>
      <c r="R10">
        <v>8000</v>
      </c>
      <c r="V10">
        <v>8000</v>
      </c>
      <c r="Z10" s="134" t="s">
        <v>297</v>
      </c>
      <c r="AD10" t="s">
        <v>301</v>
      </c>
      <c r="AF10">
        <v>204000</v>
      </c>
      <c r="AH10" s="133" t="s">
        <v>304</v>
      </c>
    </row>
    <row r="11" spans="12:36" x14ac:dyDescent="0.25">
      <c r="M11" t="s">
        <v>272</v>
      </c>
      <c r="N11">
        <v>230000</v>
      </c>
      <c r="R11">
        <v>230000</v>
      </c>
      <c r="V11">
        <v>230000</v>
      </c>
      <c r="Z11" t="s">
        <v>276</v>
      </c>
      <c r="AB11">
        <v>340000</v>
      </c>
      <c r="AD11" t="s">
        <v>300</v>
      </c>
      <c r="AF11">
        <v>36000</v>
      </c>
      <c r="AH11" t="s">
        <v>255</v>
      </c>
      <c r="AI11">
        <v>80000</v>
      </c>
    </row>
    <row r="12" spans="12:36" ht="15.75" thickBot="1" x14ac:dyDescent="0.3">
      <c r="M12" t="s">
        <v>280</v>
      </c>
      <c r="O12">
        <v>60000</v>
      </c>
      <c r="Q12">
        <v>60000</v>
      </c>
      <c r="S12">
        <v>120000</v>
      </c>
      <c r="W12">
        <v>120000</v>
      </c>
      <c r="AF12" s="131">
        <f>SUM(AF10:AF11)</f>
        <v>240000</v>
      </c>
      <c r="AH12" t="s">
        <v>271</v>
      </c>
      <c r="AI12">
        <v>74000</v>
      </c>
    </row>
    <row r="13" spans="12:36" ht="15.75" thickTop="1" x14ac:dyDescent="0.25">
      <c r="M13" t="s">
        <v>273</v>
      </c>
      <c r="O13">
        <v>64000</v>
      </c>
      <c r="S13">
        <v>64000</v>
      </c>
      <c r="W13">
        <v>64000</v>
      </c>
      <c r="Z13" s="133" t="s">
        <v>298</v>
      </c>
      <c r="AD13" t="s">
        <v>306</v>
      </c>
      <c r="AF13">
        <v>50000</v>
      </c>
      <c r="AH13" t="s">
        <v>247</v>
      </c>
      <c r="AI13">
        <v>8000</v>
      </c>
      <c r="AJ13">
        <f>SUM(AI11:AI13)</f>
        <v>162000</v>
      </c>
    </row>
    <row r="14" spans="12:36" x14ac:dyDescent="0.25">
      <c r="M14" t="s">
        <v>274</v>
      </c>
      <c r="O14">
        <v>204000</v>
      </c>
      <c r="S14">
        <v>204000</v>
      </c>
      <c r="W14">
        <v>204000</v>
      </c>
      <c r="Z14" t="s">
        <v>277</v>
      </c>
      <c r="AA14">
        <v>148000</v>
      </c>
    </row>
    <row r="15" spans="12:36" x14ac:dyDescent="0.25">
      <c r="M15" t="s">
        <v>275</v>
      </c>
      <c r="N15">
        <v>50000</v>
      </c>
      <c r="R15">
        <v>50000</v>
      </c>
      <c r="V15">
        <v>50000</v>
      </c>
      <c r="Z15" t="s">
        <v>278</v>
      </c>
      <c r="AA15">
        <v>54000</v>
      </c>
      <c r="AD15" t="s">
        <v>302</v>
      </c>
      <c r="AF15">
        <v>190000</v>
      </c>
      <c r="AH15" s="133" t="s">
        <v>305</v>
      </c>
    </row>
    <row r="16" spans="12:36" x14ac:dyDescent="0.25">
      <c r="M16" t="s">
        <v>276</v>
      </c>
      <c r="O16">
        <v>340000</v>
      </c>
      <c r="S16">
        <v>340000</v>
      </c>
      <c r="U16">
        <v>340000</v>
      </c>
      <c r="Z16" t="s">
        <v>279</v>
      </c>
      <c r="AA16">
        <v>26000</v>
      </c>
      <c r="AH16" t="s">
        <v>272</v>
      </c>
      <c r="AI16">
        <v>230000</v>
      </c>
    </row>
    <row r="17" spans="10:36" x14ac:dyDescent="0.25">
      <c r="M17" t="s">
        <v>277</v>
      </c>
      <c r="N17">
        <v>130000</v>
      </c>
      <c r="P17">
        <v>18000</v>
      </c>
      <c r="R17">
        <v>148000</v>
      </c>
      <c r="T17">
        <v>148000</v>
      </c>
      <c r="Z17" t="s">
        <v>285</v>
      </c>
      <c r="AA17">
        <v>16000</v>
      </c>
      <c r="AH17" t="s">
        <v>307</v>
      </c>
      <c r="AI17">
        <v>120000</v>
      </c>
      <c r="AJ17">
        <v>110000</v>
      </c>
    </row>
    <row r="18" spans="10:36" x14ac:dyDescent="0.25">
      <c r="M18" t="s">
        <v>278</v>
      </c>
      <c r="N18">
        <v>54000</v>
      </c>
      <c r="R18">
        <v>54000</v>
      </c>
      <c r="T18">
        <v>54000</v>
      </c>
      <c r="Z18" t="s">
        <v>290</v>
      </c>
      <c r="AA18">
        <v>60000</v>
      </c>
    </row>
    <row r="19" spans="10:36" ht="15.75" thickBot="1" x14ac:dyDescent="0.3">
      <c r="M19" t="s">
        <v>279</v>
      </c>
      <c r="N19">
        <v>26000</v>
      </c>
      <c r="R19">
        <v>26000</v>
      </c>
      <c r="T19">
        <v>26000</v>
      </c>
      <c r="AH19" s="133" t="s">
        <v>308</v>
      </c>
      <c r="AJ19" s="131">
        <f>SUM(AJ9:AJ18)</f>
        <v>272000</v>
      </c>
    </row>
    <row r="20" spans="10:36" ht="16.5" thickTop="1" thickBot="1" x14ac:dyDescent="0.3">
      <c r="N20" s="131">
        <f>SUM(N8:N19)</f>
        <v>668000</v>
      </c>
      <c r="O20" s="131">
        <f>SUM(O8:O19)</f>
        <v>668000</v>
      </c>
      <c r="Z20" s="133" t="s">
        <v>291</v>
      </c>
      <c r="AA20">
        <v>36000</v>
      </c>
    </row>
    <row r="21" spans="10:36" ht="16.5" thickTop="1" thickBot="1" x14ac:dyDescent="0.3">
      <c r="M21" t="s">
        <v>289</v>
      </c>
      <c r="Q21">
        <v>18000</v>
      </c>
      <c r="S21">
        <v>18000</v>
      </c>
      <c r="W21">
        <v>18000</v>
      </c>
      <c r="AA21" s="131">
        <f>SUM(AA10:AA20)</f>
        <v>340000</v>
      </c>
      <c r="AB21" s="131">
        <f>SUM(AB10:AB20)</f>
        <v>340000</v>
      </c>
      <c r="AH21" s="133" t="s">
        <v>309</v>
      </c>
    </row>
    <row r="22" spans="10:36" ht="15.75" thickTop="1" x14ac:dyDescent="0.25">
      <c r="M22" t="s">
        <v>285</v>
      </c>
      <c r="P22">
        <v>16000</v>
      </c>
      <c r="R22">
        <v>16000</v>
      </c>
      <c r="T22">
        <v>16000</v>
      </c>
      <c r="AH22" t="s">
        <v>273</v>
      </c>
      <c r="AI22">
        <v>64000</v>
      </c>
    </row>
    <row r="23" spans="10:36" x14ac:dyDescent="0.25">
      <c r="M23" t="s">
        <v>290</v>
      </c>
      <c r="P23">
        <v>60000</v>
      </c>
      <c r="R23">
        <v>60000</v>
      </c>
      <c r="T23">
        <v>60000</v>
      </c>
      <c r="AH23" t="s">
        <v>289</v>
      </c>
      <c r="AI23">
        <v>18000</v>
      </c>
      <c r="AJ23">
        <f>SUM(AI22:AI23)</f>
        <v>82000</v>
      </c>
    </row>
    <row r="24" spans="10:36" ht="15.75" thickBot="1" x14ac:dyDescent="0.3">
      <c r="P24" s="131">
        <f t="shared" ref="P24:W24" si="0">SUM(P8:P23)</f>
        <v>94000</v>
      </c>
      <c r="Q24" s="131">
        <f t="shared" si="0"/>
        <v>94000</v>
      </c>
      <c r="R24" s="131">
        <f t="shared" si="0"/>
        <v>746000</v>
      </c>
      <c r="S24" s="131">
        <f t="shared" si="0"/>
        <v>746000</v>
      </c>
      <c r="T24" s="131">
        <f t="shared" si="0"/>
        <v>304000</v>
      </c>
      <c r="U24" s="131">
        <f t="shared" si="0"/>
        <v>340000</v>
      </c>
      <c r="V24" s="131">
        <f t="shared" si="0"/>
        <v>442000</v>
      </c>
      <c r="W24" s="131">
        <f t="shared" si="0"/>
        <v>406000</v>
      </c>
    </row>
    <row r="25" spans="10:36" ht="15.75" thickTop="1" x14ac:dyDescent="0.25">
      <c r="M25" t="s">
        <v>291</v>
      </c>
      <c r="T25">
        <v>36000</v>
      </c>
      <c r="W25">
        <v>36000</v>
      </c>
      <c r="AH25" s="133" t="s">
        <v>310</v>
      </c>
    </row>
    <row r="26" spans="10:36" ht="15.75" thickBot="1" x14ac:dyDescent="0.3">
      <c r="T26" s="131">
        <f>SUM(T24:T25)</f>
        <v>340000</v>
      </c>
      <c r="U26" s="131">
        <v>340000</v>
      </c>
      <c r="V26" s="131">
        <v>442000</v>
      </c>
      <c r="W26" s="131">
        <f>SUM(W24:W25)</f>
        <v>442000</v>
      </c>
    </row>
    <row r="27" spans="10:36" ht="16.5" thickTop="1" thickBot="1" x14ac:dyDescent="0.3">
      <c r="AH27" s="133" t="s">
        <v>311</v>
      </c>
      <c r="AJ27" s="131">
        <f>SUM(AJ21:AJ26)</f>
        <v>82000</v>
      </c>
    </row>
    <row r="28" spans="10:36" ht="15.75" thickTop="1" x14ac:dyDescent="0.25"/>
    <row r="29" spans="10:36" ht="15.75" thickBot="1" x14ac:dyDescent="0.3">
      <c r="J29" s="85" t="s">
        <v>315</v>
      </c>
      <c r="K29" s="85"/>
      <c r="AH29" s="133" t="s">
        <v>312</v>
      </c>
      <c r="AJ29" s="135">
        <f>AJ19-AJ27</f>
        <v>190000</v>
      </c>
    </row>
    <row r="30" spans="10:36" ht="15.75" thickTop="1" x14ac:dyDescent="0.25">
      <c r="J30" s="85" t="s">
        <v>316</v>
      </c>
      <c r="K30" s="85"/>
    </row>
    <row r="31" spans="10:36" x14ac:dyDescent="0.25">
      <c r="J31" s="85" t="s">
        <v>317</v>
      </c>
      <c r="K31" s="85"/>
      <c r="L31" s="133"/>
      <c r="AH31" s="133" t="s">
        <v>313</v>
      </c>
    </row>
    <row r="32" spans="10:36" x14ac:dyDescent="0.25">
      <c r="J32" s="85" t="s">
        <v>318</v>
      </c>
      <c r="K32" s="85"/>
      <c r="AH32" t="s">
        <v>302</v>
      </c>
      <c r="AJ32">
        <v>190000</v>
      </c>
    </row>
    <row r="33" spans="2:36" x14ac:dyDescent="0.25">
      <c r="J33" s="85" t="s">
        <v>319</v>
      </c>
      <c r="K33" s="85"/>
    </row>
    <row r="34" spans="2:36" ht="15.75" thickBot="1" x14ac:dyDescent="0.3">
      <c r="AH34" s="133" t="s">
        <v>314</v>
      </c>
      <c r="AJ34" s="135">
        <f>SUM(AJ31:AJ33)</f>
        <v>190000</v>
      </c>
    </row>
    <row r="35" spans="2:36" ht="15.75" thickTop="1" x14ac:dyDescent="0.25">
      <c r="M35" s="85" t="s">
        <v>322</v>
      </c>
    </row>
    <row r="36" spans="2:36" x14ac:dyDescent="0.25">
      <c r="B36" s="134" t="s">
        <v>281</v>
      </c>
      <c r="C36" s="132" t="s">
        <v>282</v>
      </c>
      <c r="D36" s="132" t="s">
        <v>283</v>
      </c>
      <c r="E36" s="132" t="s">
        <v>264</v>
      </c>
      <c r="F36" s="132" t="s">
        <v>265</v>
      </c>
      <c r="G36" s="132"/>
      <c r="I36" s="132" t="s">
        <v>282</v>
      </c>
      <c r="J36" s="132" t="s">
        <v>283</v>
      </c>
      <c r="K36" s="132" t="s">
        <v>264</v>
      </c>
      <c r="L36" s="132" t="s">
        <v>265</v>
      </c>
    </row>
    <row r="37" spans="2:36" x14ac:dyDescent="0.25">
      <c r="C37" s="127">
        <v>46203</v>
      </c>
      <c r="D37" t="s">
        <v>277</v>
      </c>
      <c r="E37">
        <v>18000</v>
      </c>
      <c r="I37" s="127">
        <v>46203</v>
      </c>
      <c r="J37" t="s">
        <v>276</v>
      </c>
      <c r="K37">
        <v>340000</v>
      </c>
    </row>
    <row r="38" spans="2:36" x14ac:dyDescent="0.25">
      <c r="D38" s="128" t="s">
        <v>336</v>
      </c>
      <c r="F38">
        <v>18000</v>
      </c>
      <c r="J38" s="128" t="s">
        <v>320</v>
      </c>
      <c r="L38">
        <v>340000</v>
      </c>
    </row>
    <row r="39" spans="2:36" x14ac:dyDescent="0.25">
      <c r="D39" s="129" t="s">
        <v>284</v>
      </c>
      <c r="J39" s="129" t="s">
        <v>321</v>
      </c>
    </row>
    <row r="41" spans="2:36" x14ac:dyDescent="0.25">
      <c r="C41" s="127">
        <v>46203</v>
      </c>
      <c r="D41" t="s">
        <v>285</v>
      </c>
      <c r="E41">
        <v>16000</v>
      </c>
      <c r="I41" s="127">
        <v>46203</v>
      </c>
      <c r="J41" t="s">
        <v>320</v>
      </c>
      <c r="K41">
        <f>SUM(L42:L46)</f>
        <v>304000</v>
      </c>
    </row>
    <row r="42" spans="2:36" x14ac:dyDescent="0.25">
      <c r="D42" s="128" t="s">
        <v>247</v>
      </c>
      <c r="F42">
        <v>16000</v>
      </c>
      <c r="J42" s="128" t="s">
        <v>277</v>
      </c>
      <c r="L42">
        <v>148000</v>
      </c>
    </row>
    <row r="43" spans="2:36" x14ac:dyDescent="0.25">
      <c r="D43" s="129" t="s">
        <v>286</v>
      </c>
      <c r="J43" s="128" t="s">
        <v>278</v>
      </c>
      <c r="L43">
        <v>54000</v>
      </c>
    </row>
    <row r="44" spans="2:36" x14ac:dyDescent="0.25">
      <c r="J44" s="128" t="s">
        <v>279</v>
      </c>
      <c r="L44">
        <v>26000</v>
      </c>
    </row>
    <row r="45" spans="2:36" x14ac:dyDescent="0.25">
      <c r="C45" s="127">
        <v>46203</v>
      </c>
      <c r="D45" t="s">
        <v>287</v>
      </c>
      <c r="E45">
        <v>60000</v>
      </c>
      <c r="J45" s="128" t="s">
        <v>285</v>
      </c>
      <c r="L45">
        <v>16000</v>
      </c>
    </row>
    <row r="46" spans="2:36" x14ac:dyDescent="0.25">
      <c r="D46" t="s">
        <v>280</v>
      </c>
      <c r="F46">
        <v>60000</v>
      </c>
      <c r="J46" s="128" t="s">
        <v>290</v>
      </c>
      <c r="L46">
        <v>60000</v>
      </c>
    </row>
    <row r="47" spans="2:36" x14ac:dyDescent="0.25">
      <c r="D47" s="129" t="s">
        <v>288</v>
      </c>
      <c r="J47" s="129" t="s">
        <v>323</v>
      </c>
    </row>
    <row r="48" spans="2:36" ht="15.75" thickBot="1" x14ac:dyDescent="0.3">
      <c r="E48" s="131">
        <f>SUM(E37:E47)</f>
        <v>94000</v>
      </c>
      <c r="F48" s="131">
        <f>SUM(F37:F47)</f>
        <v>94000</v>
      </c>
    </row>
    <row r="49" spans="9:13" ht="15.75" thickTop="1" x14ac:dyDescent="0.25">
      <c r="I49" s="127">
        <v>46203</v>
      </c>
      <c r="J49" t="s">
        <v>320</v>
      </c>
      <c r="K49">
        <v>36000</v>
      </c>
    </row>
    <row r="50" spans="9:13" x14ac:dyDescent="0.25">
      <c r="J50" s="128" t="s">
        <v>274</v>
      </c>
      <c r="L50">
        <v>36000</v>
      </c>
    </row>
    <row r="51" spans="9:13" x14ac:dyDescent="0.25">
      <c r="J51" s="129" t="s">
        <v>324</v>
      </c>
    </row>
    <row r="53" spans="9:13" x14ac:dyDescent="0.25">
      <c r="I53" s="127">
        <v>46203</v>
      </c>
      <c r="J53" t="s">
        <v>274</v>
      </c>
      <c r="K53">
        <v>50000</v>
      </c>
      <c r="M53" s="85" t="s">
        <v>325</v>
      </c>
    </row>
    <row r="54" spans="9:13" x14ac:dyDescent="0.25">
      <c r="J54" s="128" t="s">
        <v>275</v>
      </c>
      <c r="L54">
        <v>50000</v>
      </c>
    </row>
    <row r="55" spans="9:13" x14ac:dyDescent="0.25">
      <c r="J55" s="129" t="s">
        <v>326</v>
      </c>
    </row>
    <row r="61" spans="9:13" x14ac:dyDescent="0.25">
      <c r="I61" s="127"/>
    </row>
    <row r="62" spans="9:13" x14ac:dyDescent="0.25">
      <c r="J62" s="128"/>
    </row>
    <row r="63" spans="9:13" x14ac:dyDescent="0.25">
      <c r="J63" s="129"/>
    </row>
    <row r="65" spans="9:10" x14ac:dyDescent="0.25">
      <c r="I65" s="127"/>
    </row>
    <row r="66" spans="9:10" x14ac:dyDescent="0.25">
      <c r="J66" s="128"/>
    </row>
    <row r="67" spans="9:10" x14ac:dyDescent="0.25">
      <c r="J67" s="128"/>
    </row>
    <row r="68" spans="9:10" x14ac:dyDescent="0.25">
      <c r="J68" s="128"/>
    </row>
    <row r="69" spans="9:10" x14ac:dyDescent="0.25">
      <c r="J69" s="128"/>
    </row>
    <row r="70" spans="9:10" x14ac:dyDescent="0.25">
      <c r="J70" s="128"/>
    </row>
    <row r="71" spans="9:10" x14ac:dyDescent="0.25">
      <c r="J71" s="129"/>
    </row>
    <row r="73" spans="9:10" x14ac:dyDescent="0.25">
      <c r="I73" s="127"/>
    </row>
    <row r="74" spans="9:10" x14ac:dyDescent="0.25">
      <c r="J74" s="128"/>
    </row>
    <row r="75" spans="9:10" x14ac:dyDescent="0.25">
      <c r="J75" s="129"/>
    </row>
    <row r="77" spans="9:10" x14ac:dyDescent="0.25">
      <c r="I77" s="127"/>
    </row>
    <row r="78" spans="9:10" x14ac:dyDescent="0.25">
      <c r="J78" s="128"/>
    </row>
    <row r="79" spans="9:10" x14ac:dyDescent="0.25">
      <c r="J79" s="129"/>
    </row>
  </sheetData>
  <mergeCells count="14">
    <mergeCell ref="AH6:AJ6"/>
    <mergeCell ref="AH7:AJ7"/>
    <mergeCell ref="AH8:AJ8"/>
    <mergeCell ref="N6:O6"/>
    <mergeCell ref="P6:Q6"/>
    <mergeCell ref="R6:S6"/>
    <mergeCell ref="T6:U6"/>
    <mergeCell ref="V6:W6"/>
    <mergeCell ref="Z6:AB6"/>
    <mergeCell ref="Z7:AB7"/>
    <mergeCell ref="Z8:AB8"/>
    <mergeCell ref="AD6:AF6"/>
    <mergeCell ref="AD7:AF7"/>
    <mergeCell ref="AD8:AF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139AE-9094-4A8A-A768-34D7B4B5E1A7}">
  <dimension ref="B3:Z60"/>
  <sheetViews>
    <sheetView tabSelected="1" zoomScale="130" zoomScaleNormal="130" workbookViewId="0">
      <selection activeCell="H48" sqref="H48"/>
    </sheetView>
  </sheetViews>
  <sheetFormatPr defaultRowHeight="15" x14ac:dyDescent="0.25"/>
  <cols>
    <col min="4" max="4" width="21.28515625" customWidth="1"/>
    <col min="11" max="11" width="21.7109375" customWidth="1"/>
    <col min="18" max="18" width="11.7109375" customWidth="1"/>
    <col min="19" max="19" width="9.140625" customWidth="1"/>
    <col min="23" max="23" width="31" customWidth="1"/>
  </cols>
  <sheetData>
    <row r="3" spans="10:26" x14ac:dyDescent="0.25">
      <c r="J3" t="s">
        <v>262</v>
      </c>
      <c r="K3" t="s">
        <v>263</v>
      </c>
      <c r="L3" s="136" t="s">
        <v>332</v>
      </c>
      <c r="M3" s="136"/>
      <c r="N3" s="136" t="s">
        <v>333</v>
      </c>
      <c r="O3" s="136"/>
      <c r="P3" s="136" t="s">
        <v>268</v>
      </c>
      <c r="Q3" s="136"/>
      <c r="R3" s="136" t="s">
        <v>269</v>
      </c>
      <c r="S3" s="136"/>
      <c r="T3" s="136" t="s">
        <v>270</v>
      </c>
      <c r="U3" s="136"/>
      <c r="W3" s="136" t="s">
        <v>295</v>
      </c>
      <c r="X3" s="136"/>
      <c r="Y3" s="136"/>
      <c r="Z3" s="130"/>
    </row>
    <row r="4" spans="10:26" x14ac:dyDescent="0.25">
      <c r="L4" t="s">
        <v>329</v>
      </c>
      <c r="M4" t="s">
        <v>330</v>
      </c>
      <c r="N4" t="s">
        <v>329</v>
      </c>
      <c r="O4" t="s">
        <v>330</v>
      </c>
      <c r="P4" t="s">
        <v>329</v>
      </c>
      <c r="Q4" t="s">
        <v>330</v>
      </c>
      <c r="R4" t="s">
        <v>329</v>
      </c>
      <c r="S4" t="s">
        <v>330</v>
      </c>
      <c r="T4" t="s">
        <v>329</v>
      </c>
      <c r="U4" t="s">
        <v>330</v>
      </c>
      <c r="W4" s="136" t="s">
        <v>205</v>
      </c>
      <c r="X4" s="136"/>
      <c r="Y4" s="136"/>
      <c r="Z4" s="130"/>
    </row>
    <row r="5" spans="10:26" x14ac:dyDescent="0.25">
      <c r="K5" t="s">
        <v>255</v>
      </c>
      <c r="L5">
        <v>80</v>
      </c>
      <c r="P5">
        <v>80</v>
      </c>
      <c r="T5">
        <v>80</v>
      </c>
      <c r="W5" s="136" t="s">
        <v>296</v>
      </c>
      <c r="X5" s="136"/>
      <c r="Y5" s="136"/>
      <c r="Z5" s="130"/>
    </row>
    <row r="6" spans="10:26" x14ac:dyDescent="0.25">
      <c r="K6" t="s">
        <v>271</v>
      </c>
      <c r="L6">
        <v>74</v>
      </c>
      <c r="P6">
        <v>74</v>
      </c>
      <c r="T6">
        <v>74</v>
      </c>
      <c r="X6" s="147" t="s">
        <v>329</v>
      </c>
      <c r="Y6" s="147" t="s">
        <v>330</v>
      </c>
    </row>
    <row r="7" spans="10:26" x14ac:dyDescent="0.25">
      <c r="K7" t="s">
        <v>247</v>
      </c>
      <c r="L7">
        <v>24</v>
      </c>
      <c r="O7">
        <v>16</v>
      </c>
      <c r="P7">
        <v>8</v>
      </c>
      <c r="T7">
        <v>8</v>
      </c>
      <c r="W7" s="133" t="s">
        <v>338</v>
      </c>
    </row>
    <row r="8" spans="10:26" x14ac:dyDescent="0.25">
      <c r="K8" t="s">
        <v>272</v>
      </c>
      <c r="L8">
        <v>230</v>
      </c>
      <c r="P8">
        <v>230</v>
      </c>
      <c r="T8">
        <v>230</v>
      </c>
      <c r="W8" t="s">
        <v>276</v>
      </c>
      <c r="Y8">
        <v>340</v>
      </c>
    </row>
    <row r="9" spans="10:26" x14ac:dyDescent="0.25">
      <c r="K9" t="s">
        <v>280</v>
      </c>
      <c r="M9">
        <v>60</v>
      </c>
      <c r="O9">
        <v>60</v>
      </c>
      <c r="Q9">
        <v>120</v>
      </c>
      <c r="U9">
        <v>120</v>
      </c>
    </row>
    <row r="10" spans="10:26" x14ac:dyDescent="0.25">
      <c r="K10" t="s">
        <v>273</v>
      </c>
      <c r="M10">
        <v>64</v>
      </c>
      <c r="Q10">
        <v>64</v>
      </c>
      <c r="U10">
        <v>64</v>
      </c>
      <c r="W10" s="133" t="s">
        <v>298</v>
      </c>
    </row>
    <row r="11" spans="10:26" x14ac:dyDescent="0.25">
      <c r="K11" t="s">
        <v>274</v>
      </c>
      <c r="M11">
        <v>204</v>
      </c>
      <c r="Q11">
        <v>204</v>
      </c>
      <c r="U11">
        <v>204</v>
      </c>
      <c r="W11" t="s">
        <v>277</v>
      </c>
      <c r="X11">
        <v>148</v>
      </c>
    </row>
    <row r="12" spans="10:26" x14ac:dyDescent="0.25">
      <c r="K12" t="s">
        <v>275</v>
      </c>
      <c r="L12">
        <v>50</v>
      </c>
      <c r="P12">
        <v>50</v>
      </c>
      <c r="T12">
        <v>50</v>
      </c>
      <c r="W12" t="s">
        <v>278</v>
      </c>
      <c r="X12">
        <v>54</v>
      </c>
    </row>
    <row r="13" spans="10:26" x14ac:dyDescent="0.25">
      <c r="K13" t="s">
        <v>276</v>
      </c>
      <c r="M13">
        <v>340</v>
      </c>
      <c r="Q13">
        <v>340</v>
      </c>
      <c r="S13">
        <v>340</v>
      </c>
      <c r="W13" t="s">
        <v>279</v>
      </c>
      <c r="X13">
        <v>26</v>
      </c>
    </row>
    <row r="14" spans="10:26" x14ac:dyDescent="0.25">
      <c r="K14" t="s">
        <v>277</v>
      </c>
      <c r="L14">
        <v>130</v>
      </c>
      <c r="N14">
        <v>18</v>
      </c>
      <c r="P14">
        <v>148</v>
      </c>
      <c r="R14">
        <v>148</v>
      </c>
      <c r="W14" t="s">
        <v>285</v>
      </c>
      <c r="X14">
        <v>16</v>
      </c>
    </row>
    <row r="15" spans="10:26" x14ac:dyDescent="0.25">
      <c r="K15" t="s">
        <v>278</v>
      </c>
      <c r="L15">
        <v>54</v>
      </c>
      <c r="P15">
        <v>54</v>
      </c>
      <c r="R15">
        <v>54</v>
      </c>
      <c r="W15" t="s">
        <v>287</v>
      </c>
      <c r="X15">
        <v>60</v>
      </c>
    </row>
    <row r="16" spans="10:26" x14ac:dyDescent="0.25">
      <c r="K16" t="s">
        <v>279</v>
      </c>
      <c r="L16">
        <v>26</v>
      </c>
      <c r="P16">
        <v>26</v>
      </c>
      <c r="R16">
        <v>26</v>
      </c>
    </row>
    <row r="17" spans="11:25" ht="15.75" thickBot="1" x14ac:dyDescent="0.3">
      <c r="L17" s="131">
        <f>SUM(L5:L16)</f>
        <v>668</v>
      </c>
      <c r="M17" s="131">
        <f>SUM(M5:M16)</f>
        <v>668</v>
      </c>
      <c r="W17" t="s">
        <v>337</v>
      </c>
      <c r="X17">
        <v>36</v>
      </c>
    </row>
    <row r="18" spans="11:25" ht="16.5" thickTop="1" thickBot="1" x14ac:dyDescent="0.3">
      <c r="K18" t="s">
        <v>289</v>
      </c>
      <c r="O18">
        <v>18</v>
      </c>
      <c r="Q18">
        <v>18</v>
      </c>
      <c r="U18">
        <v>18</v>
      </c>
      <c r="X18" s="131">
        <f>SUM(X7:X17)</f>
        <v>340</v>
      </c>
      <c r="Y18" s="131">
        <f>SUM(Y8:Y17)</f>
        <v>340</v>
      </c>
    </row>
    <row r="19" spans="11:25" ht="15.75" thickTop="1" x14ac:dyDescent="0.25">
      <c r="K19" t="s">
        <v>285</v>
      </c>
      <c r="N19">
        <v>16</v>
      </c>
      <c r="P19">
        <v>16</v>
      </c>
      <c r="R19">
        <v>16</v>
      </c>
    </row>
    <row r="20" spans="11:25" x14ac:dyDescent="0.25">
      <c r="K20" t="s">
        <v>287</v>
      </c>
      <c r="N20">
        <v>60</v>
      </c>
      <c r="P20">
        <v>60</v>
      </c>
      <c r="R20">
        <v>60</v>
      </c>
    </row>
    <row r="21" spans="11:25" ht="15.75" thickBot="1" x14ac:dyDescent="0.3">
      <c r="N21" s="131">
        <f>SUM(N5:N20)</f>
        <v>94</v>
      </c>
      <c r="O21" s="131">
        <f>SUM(O5:O20)</f>
        <v>94</v>
      </c>
      <c r="P21" s="131">
        <f>SUM(P5:P20)</f>
        <v>746</v>
      </c>
      <c r="Q21" s="131">
        <f>SUM(Q5:Q20)</f>
        <v>746</v>
      </c>
      <c r="W21" s="136" t="s">
        <v>295</v>
      </c>
      <c r="X21" s="136"/>
      <c r="Y21" s="136"/>
    </row>
    <row r="22" spans="11:25" ht="15.75" thickTop="1" x14ac:dyDescent="0.25">
      <c r="K22" t="s">
        <v>337</v>
      </c>
      <c r="R22">
        <v>36</v>
      </c>
      <c r="U22">
        <v>36</v>
      </c>
      <c r="W22" s="136" t="s">
        <v>339</v>
      </c>
      <c r="X22" s="136"/>
      <c r="Y22" s="136"/>
    </row>
    <row r="23" spans="11:25" ht="15.75" thickBot="1" x14ac:dyDescent="0.3">
      <c r="R23" s="131">
        <v>340</v>
      </c>
      <c r="S23" s="131">
        <f>SUM(S5:S22)</f>
        <v>340</v>
      </c>
      <c r="T23" s="131">
        <f>SUM(T5:T22)</f>
        <v>442</v>
      </c>
      <c r="U23" s="131">
        <f>SUM(U5:U22)</f>
        <v>442</v>
      </c>
      <c r="W23" s="136" t="s">
        <v>296</v>
      </c>
      <c r="X23" s="136"/>
      <c r="Y23" s="136"/>
    </row>
    <row r="24" spans="11:25" ht="15.75" thickTop="1" x14ac:dyDescent="0.25"/>
    <row r="25" spans="11:25" x14ac:dyDescent="0.25">
      <c r="W25" t="s">
        <v>340</v>
      </c>
      <c r="Y25">
        <v>204</v>
      </c>
    </row>
    <row r="26" spans="11:25" x14ac:dyDescent="0.25">
      <c r="W26" t="s">
        <v>300</v>
      </c>
      <c r="Y26">
        <v>36</v>
      </c>
    </row>
    <row r="27" spans="11:25" ht="15.75" thickBot="1" x14ac:dyDescent="0.3">
      <c r="Y27" s="131">
        <f>SUM(Y25:Y26)</f>
        <v>240</v>
      </c>
    </row>
    <row r="28" spans="11:25" ht="15.75" thickTop="1" x14ac:dyDescent="0.25">
      <c r="K28" t="s">
        <v>315</v>
      </c>
    </row>
    <row r="29" spans="11:25" x14ac:dyDescent="0.25">
      <c r="K29" t="s">
        <v>345</v>
      </c>
      <c r="W29" t="s">
        <v>341</v>
      </c>
      <c r="Y29">
        <v>50</v>
      </c>
    </row>
    <row r="30" spans="11:25" x14ac:dyDescent="0.25">
      <c r="K30" t="s">
        <v>346</v>
      </c>
    </row>
    <row r="31" spans="11:25" x14ac:dyDescent="0.25">
      <c r="K31" t="s">
        <v>347</v>
      </c>
      <c r="W31" t="s">
        <v>342</v>
      </c>
      <c r="Y31">
        <v>190</v>
      </c>
    </row>
    <row r="32" spans="11:25" x14ac:dyDescent="0.25">
      <c r="K32" t="s">
        <v>348</v>
      </c>
    </row>
    <row r="33" spans="2:25" x14ac:dyDescent="0.25">
      <c r="B33" t="s">
        <v>281</v>
      </c>
      <c r="C33" t="s">
        <v>282</v>
      </c>
      <c r="D33" t="s">
        <v>283</v>
      </c>
      <c r="E33" t="s">
        <v>329</v>
      </c>
      <c r="F33" t="s">
        <v>330</v>
      </c>
    </row>
    <row r="34" spans="2:25" x14ac:dyDescent="0.25">
      <c r="C34" s="127">
        <v>46203</v>
      </c>
      <c r="D34" t="s">
        <v>277</v>
      </c>
      <c r="E34">
        <v>18</v>
      </c>
      <c r="J34" t="s">
        <v>282</v>
      </c>
      <c r="K34" t="s">
        <v>283</v>
      </c>
      <c r="L34" t="s">
        <v>329</v>
      </c>
      <c r="M34" t="s">
        <v>330</v>
      </c>
      <c r="W34" s="136" t="s">
        <v>295</v>
      </c>
      <c r="X34" s="136"/>
      <c r="Y34" s="136"/>
    </row>
    <row r="35" spans="2:25" x14ac:dyDescent="0.25">
      <c r="D35" s="128" t="s">
        <v>289</v>
      </c>
      <c r="F35">
        <v>18</v>
      </c>
      <c r="J35" s="127">
        <v>46203</v>
      </c>
      <c r="K35" t="s">
        <v>276</v>
      </c>
      <c r="L35">
        <v>340</v>
      </c>
      <c r="W35" s="136" t="s">
        <v>67</v>
      </c>
      <c r="X35" s="136"/>
      <c r="Y35" s="136"/>
    </row>
    <row r="36" spans="2:25" x14ac:dyDescent="0.25">
      <c r="D36" s="129" t="s">
        <v>331</v>
      </c>
      <c r="K36" s="128" t="s">
        <v>349</v>
      </c>
      <c r="M36">
        <v>340</v>
      </c>
      <c r="W36" s="136" t="s">
        <v>303</v>
      </c>
      <c r="X36" s="136"/>
      <c r="Y36" s="136"/>
    </row>
    <row r="37" spans="2:25" x14ac:dyDescent="0.25">
      <c r="K37" s="129" t="s">
        <v>321</v>
      </c>
      <c r="W37" s="133" t="s">
        <v>304</v>
      </c>
    </row>
    <row r="38" spans="2:25" x14ac:dyDescent="0.25">
      <c r="C38" s="127">
        <v>46203</v>
      </c>
      <c r="D38" t="s">
        <v>285</v>
      </c>
      <c r="E38">
        <v>16</v>
      </c>
      <c r="W38" t="s">
        <v>255</v>
      </c>
      <c r="X38">
        <v>80</v>
      </c>
    </row>
    <row r="39" spans="2:25" x14ac:dyDescent="0.25">
      <c r="D39" s="128" t="s">
        <v>247</v>
      </c>
      <c r="F39">
        <v>16</v>
      </c>
      <c r="J39" s="127">
        <v>46203</v>
      </c>
      <c r="K39" t="s">
        <v>349</v>
      </c>
      <c r="L39">
        <v>304</v>
      </c>
      <c r="W39" t="s">
        <v>271</v>
      </c>
      <c r="X39">
        <v>74</v>
      </c>
    </row>
    <row r="40" spans="2:25" x14ac:dyDescent="0.25">
      <c r="D40" s="129" t="s">
        <v>334</v>
      </c>
      <c r="K40" s="128" t="s">
        <v>277</v>
      </c>
      <c r="M40">
        <v>148</v>
      </c>
      <c r="W40" t="s">
        <v>247</v>
      </c>
      <c r="X40">
        <v>8</v>
      </c>
      <c r="Y40">
        <v>162</v>
      </c>
    </row>
    <row r="41" spans="2:25" x14ac:dyDescent="0.25">
      <c r="K41" s="128" t="s">
        <v>278</v>
      </c>
      <c r="M41">
        <v>54</v>
      </c>
    </row>
    <row r="42" spans="2:25" x14ac:dyDescent="0.25">
      <c r="C42" s="127">
        <v>46203</v>
      </c>
      <c r="D42" t="s">
        <v>287</v>
      </c>
      <c r="E42">
        <v>60</v>
      </c>
      <c r="K42" s="128" t="s">
        <v>279</v>
      </c>
      <c r="M42">
        <v>26</v>
      </c>
      <c r="W42" s="133" t="s">
        <v>343</v>
      </c>
    </row>
    <row r="43" spans="2:25" x14ac:dyDescent="0.25">
      <c r="D43" s="128" t="s">
        <v>280</v>
      </c>
      <c r="F43">
        <v>60</v>
      </c>
      <c r="K43" s="128" t="s">
        <v>285</v>
      </c>
      <c r="M43">
        <v>16</v>
      </c>
      <c r="W43" t="s">
        <v>272</v>
      </c>
      <c r="X43">
        <v>230</v>
      </c>
    </row>
    <row r="44" spans="2:25" x14ac:dyDescent="0.25">
      <c r="D44" s="129" t="s">
        <v>335</v>
      </c>
      <c r="K44" s="128" t="s">
        <v>287</v>
      </c>
      <c r="M44">
        <v>60</v>
      </c>
      <c r="W44" t="s">
        <v>307</v>
      </c>
      <c r="X44">
        <v>120</v>
      </c>
      <c r="Y44">
        <v>110</v>
      </c>
    </row>
    <row r="45" spans="2:25" x14ac:dyDescent="0.25">
      <c r="K45" s="129" t="s">
        <v>323</v>
      </c>
      <c r="W45" s="133" t="s">
        <v>308</v>
      </c>
      <c r="Y45">
        <v>272</v>
      </c>
    </row>
    <row r="46" spans="2:25" x14ac:dyDescent="0.25">
      <c r="J46" s="127"/>
    </row>
    <row r="47" spans="2:25" x14ac:dyDescent="0.25">
      <c r="J47" s="127">
        <v>46203</v>
      </c>
      <c r="K47" t="s">
        <v>349</v>
      </c>
      <c r="L47">
        <v>36</v>
      </c>
      <c r="W47" s="133" t="s">
        <v>309</v>
      </c>
    </row>
    <row r="48" spans="2:25" x14ac:dyDescent="0.25">
      <c r="K48" s="128" t="s">
        <v>274</v>
      </c>
      <c r="M48">
        <v>36</v>
      </c>
      <c r="W48" t="s">
        <v>273</v>
      </c>
      <c r="X48">
        <v>64</v>
      </c>
    </row>
    <row r="49" spans="10:25" x14ac:dyDescent="0.25">
      <c r="K49" s="129" t="s">
        <v>350</v>
      </c>
      <c r="W49" t="s">
        <v>289</v>
      </c>
      <c r="X49">
        <v>18</v>
      </c>
      <c r="Y49">
        <f>SUM(X48:X49)</f>
        <v>82</v>
      </c>
    </row>
    <row r="51" spans="10:25" x14ac:dyDescent="0.25">
      <c r="J51" s="127">
        <v>46203</v>
      </c>
      <c r="K51" s="132" t="s">
        <v>274</v>
      </c>
      <c r="L51">
        <v>50</v>
      </c>
      <c r="W51" s="133" t="s">
        <v>344</v>
      </c>
    </row>
    <row r="52" spans="10:25" x14ac:dyDescent="0.25">
      <c r="K52" s="128" t="s">
        <v>351</v>
      </c>
      <c r="M52">
        <v>50</v>
      </c>
      <c r="W52" s="133" t="s">
        <v>311</v>
      </c>
      <c r="Y52">
        <v>82</v>
      </c>
    </row>
    <row r="53" spans="10:25" x14ac:dyDescent="0.25">
      <c r="K53" s="129" t="s">
        <v>326</v>
      </c>
    </row>
    <row r="54" spans="10:25" ht="15.75" thickBot="1" x14ac:dyDescent="0.3">
      <c r="W54" s="133" t="s">
        <v>312</v>
      </c>
      <c r="Y54" s="131">
        <f>Y45-Y52</f>
        <v>190</v>
      </c>
    </row>
    <row r="55" spans="10:25" ht="15.75" thickTop="1" x14ac:dyDescent="0.25"/>
    <row r="56" spans="10:25" x14ac:dyDescent="0.25">
      <c r="W56" s="133" t="s">
        <v>313</v>
      </c>
    </row>
    <row r="57" spans="10:25" x14ac:dyDescent="0.25">
      <c r="W57" t="s">
        <v>342</v>
      </c>
      <c r="Y57" s="148">
        <v>190</v>
      </c>
    </row>
    <row r="59" spans="10:25" ht="15.75" thickBot="1" x14ac:dyDescent="0.3">
      <c r="W59" s="133" t="s">
        <v>314</v>
      </c>
      <c r="Y59" s="131">
        <v>190</v>
      </c>
    </row>
    <row r="60" spans="10:25" ht="15.75" thickTop="1" x14ac:dyDescent="0.25"/>
  </sheetData>
  <mergeCells count="14">
    <mergeCell ref="W35:Y35"/>
    <mergeCell ref="W36:Y36"/>
    <mergeCell ref="W4:Y4"/>
    <mergeCell ref="W5:Y5"/>
    <mergeCell ref="W21:Y21"/>
    <mergeCell ref="W22:Y22"/>
    <mergeCell ref="W23:Y23"/>
    <mergeCell ref="W34:Y34"/>
    <mergeCell ref="L3:M3"/>
    <mergeCell ref="N3:O3"/>
    <mergeCell ref="P3:Q3"/>
    <mergeCell ref="R3:S3"/>
    <mergeCell ref="T3:U3"/>
    <mergeCell ref="W3:Y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System</vt:lpstr>
      <vt:lpstr>System (2)</vt:lpstr>
      <vt:lpstr>5.1Q</vt:lpstr>
      <vt:lpstr>P5.1Q</vt:lpstr>
      <vt:lpstr>P5.4Q</vt:lpstr>
      <vt:lpstr>ANSWER</vt:lpstr>
      <vt:lpstr>5.1A</vt:lpstr>
      <vt:lpstr>P5.1 Answer</vt:lpstr>
      <vt:lpstr>P5.5</vt:lpstr>
      <vt:lpstr>4.12 A</vt:lpstr>
      <vt:lpstr>5.3 A</vt:lpstr>
      <vt:lpstr>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Manek Mukesh</dc:creator>
  <cp:lastModifiedBy>Joseph Koh</cp:lastModifiedBy>
  <dcterms:created xsi:type="dcterms:W3CDTF">2025-04-09T22:11:37Z</dcterms:created>
  <dcterms:modified xsi:type="dcterms:W3CDTF">2026-05-17T09:27:10Z</dcterms:modified>
</cp:coreProperties>
</file>