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nlym\Desktop\Manek\Notes\SIM\UOW\2025 UOW\Learning Material\In Session Explanation\2025\L4\"/>
    </mc:Choice>
  </mc:AlternateContent>
  <xr:revisionPtr revIDLastSave="0" documentId="13_ncr:1_{3DBA7020-6E0E-47A0-A154-9A0E05ED0EA1}" xr6:coauthVersionLast="47" xr6:coauthVersionMax="47" xr10:uidLastSave="{00000000-0000-0000-0000-000000000000}"/>
  <bookViews>
    <workbookView xWindow="19110" yWindow="0" windowWidth="19380" windowHeight="20970" activeTab="3" xr2:uid="{49300C88-9C68-40D1-BFDB-69B44FEEA068}"/>
  </bookViews>
  <sheets>
    <sheet name="System" sheetId="1" r:id="rId1"/>
    <sheet name="System (2)" sheetId="2" r:id="rId2"/>
    <sheet name="P5.1Q" sheetId="3" r:id="rId3"/>
    <sheet name="P5.4Q" sheetId="6" r:id="rId4"/>
    <sheet name="ANSWER" sheetId="4" r:id="rId5"/>
    <sheet name="P5.1 Answer" sheetId="5" r:id="rId6"/>
    <sheet name="Sheet2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" i="6" l="1"/>
  <c r="C36" i="6"/>
  <c r="L32" i="5"/>
  <c r="K32" i="5"/>
  <c r="J32" i="5"/>
  <c r="I32" i="5"/>
  <c r="F32" i="5"/>
  <c r="G32" i="5"/>
  <c r="H32" i="5"/>
  <c r="E32" i="5"/>
  <c r="D31" i="3"/>
  <c r="C31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tc={BB583F4E-C610-4749-8F69-7BBCCF1CC978}</author>
    <author>tc={D5A623B3-D662-4FAD-B7DC-B39312AD72BF}</author>
  </authors>
  <commentList>
    <comment ref="G4" authorId="0" shapeId="0" xr:uid="{BB583F4E-C610-4749-8F69-7BBCCF1CC978}">
      <text>
        <t>[Threaded comment]
Your version of Excel allows you to read this threaded comment; however, any edits to it will get removed if the file is opened in a newer version of Excel. Learn more: https://go.microsoft.com/fwlink/?linkid=870924
Comment:
    BDA = Balanced Day Adjustments 
Accrual, prepayment, depreciation, bad debt exp etc.</t>
      </text>
    </comment>
    <comment ref="H4" authorId="1" shapeId="0" xr:uid="{D5A623B3-D662-4FAD-B7DC-B39312AD72BF}">
      <text>
        <t>[Threaded comment]
Your version of Excel allows you to read this threaded comment; however, any edits to it will get removed if the file is opened in a newer version of Excel. Learn more: https://go.microsoft.com/fwlink/?linkid=870924
Comment:
    At end of accounting year; Close books for current year and prepare for next year.</t>
      </text>
    </comment>
  </commentList>
</comments>
</file>

<file path=xl/sharedStrings.xml><?xml version="1.0" encoding="utf-8"?>
<sst xmlns="http://schemas.openxmlformats.org/spreadsheetml/2006/main" count="332" uniqueCount="171">
  <si>
    <t>Balanced Day Adjustments</t>
  </si>
  <si>
    <t>Chapter 5</t>
  </si>
  <si>
    <t>Frequency</t>
  </si>
  <si>
    <t>Chapter 4</t>
  </si>
  <si>
    <t>Objective</t>
  </si>
  <si>
    <t>CLOSING ENTRIES</t>
  </si>
  <si>
    <t>INPUT</t>
  </si>
  <si>
    <t>Transactions</t>
  </si>
  <si>
    <t>Daily</t>
  </si>
  <si>
    <t>BDA</t>
  </si>
  <si>
    <t>Closing Entries</t>
  </si>
  <si>
    <t>↓</t>
  </si>
  <si>
    <t>$ Debit</t>
  </si>
  <si>
    <t>Credit $</t>
  </si>
  <si>
    <t>PROCESS</t>
  </si>
  <si>
    <t>JOURNAL</t>
  </si>
  <si>
    <t>1,2,3,4</t>
  </si>
  <si>
    <t>Reset revenue to 0</t>
  </si>
  <si>
    <t>Revenue</t>
  </si>
  <si>
    <t>$</t>
  </si>
  <si>
    <t>Income Summary</t>
  </si>
  <si>
    <t>LEDGER</t>
  </si>
  <si>
    <t>To reset revenue to 0</t>
  </si>
  <si>
    <t>TRIAL BALANCE</t>
  </si>
  <si>
    <t>Month end</t>
  </si>
  <si>
    <t>Year end</t>
  </si>
  <si>
    <t>Reset expense to 0</t>
  </si>
  <si>
    <t>Unadjusted</t>
  </si>
  <si>
    <t>Adjusted</t>
  </si>
  <si>
    <t>Post closing</t>
  </si>
  <si>
    <t xml:space="preserve">Expense </t>
  </si>
  <si>
    <t>To reset expense to 0</t>
  </si>
  <si>
    <t>OUTPUT</t>
  </si>
  <si>
    <t>Financial Statements</t>
  </si>
  <si>
    <t>Open accounts for next year</t>
  </si>
  <si>
    <t>Transfer Profit to retained earning or capital</t>
  </si>
  <si>
    <t>Capital / Retained Earning</t>
  </si>
  <si>
    <t>(Transfer profit)</t>
  </si>
  <si>
    <t>Transfer drawings to capital</t>
  </si>
  <si>
    <t>Capital</t>
  </si>
  <si>
    <t>Drawings</t>
  </si>
  <si>
    <t>To reset drawing to 0</t>
  </si>
  <si>
    <t>SECRETARIAL SERVICES</t>
  </si>
  <si>
    <t>Unadjusted Trial Balance</t>
  </si>
  <si>
    <t>as at 31 December 2017</t>
  </si>
  <si>
    <t>Debit</t>
  </si>
  <si>
    <t>Credit</t>
  </si>
  <si>
    <t>Cash at bank</t>
  </si>
  <si>
    <t>Office supplies</t>
  </si>
  <si>
    <t>Prepaid insurance</t>
  </si>
  <si>
    <t>Office equipment</t>
  </si>
  <si>
    <t>Accumulated depreciation – office equipment</t>
  </si>
  <si>
    <t>Bank loan payable (non-current)</t>
  </si>
  <si>
    <t>V. Prim, Capital</t>
  </si>
  <si>
    <t>V. Prim, Drawings</t>
  </si>
  <si>
    <t>Secretarial services revenue</t>
  </si>
  <si>
    <t>Salaries expense</t>
  </si>
  <si>
    <t>Advertising expense</t>
  </si>
  <si>
    <t>Repairs expense</t>
  </si>
  <si>
    <t>Sundry expense</t>
  </si>
  <si>
    <t>Electricity expense</t>
  </si>
  <si>
    <t>Telephone expense</t>
  </si>
  <si>
    <t>Interest on bank loan expense</t>
  </si>
  <si>
    <t>            </t>
  </si>
  <si>
    <t>Trial Balance</t>
  </si>
  <si>
    <t>Adjustments</t>
  </si>
  <si>
    <t>Income</t>
  </si>
  <si>
    <t>Statement</t>
  </si>
  <si>
    <t>Balance sheet</t>
  </si>
  <si>
    <t>Total</t>
  </si>
  <si>
    <t>Office Supp. Expense</t>
  </si>
  <si>
    <t>Insurance Expense</t>
  </si>
  <si>
    <t>Depr. Exp. – Office equip.</t>
  </si>
  <si>
    <t>Salaries Payable</t>
  </si>
  <si>
    <t>Electricity Payable</t>
  </si>
  <si>
    <t>Telephone Payable</t>
  </si>
  <si>
    <t>Interest Payable</t>
  </si>
  <si>
    <t>Account title</t>
  </si>
  <si>
    <t>Cash at Bank</t>
  </si>
  <si>
    <t>Office Supplies</t>
  </si>
  <si>
    <t>Prepaid Insurance</t>
  </si>
  <si>
    <t>Office Equipment</t>
  </si>
  <si>
    <t>Acc. Depr.– Office Equip.</t>
  </si>
  <si>
    <t>Bank Loan Payable</t>
  </si>
  <si>
    <t>Secretarial Services Rev.</t>
  </si>
  <si>
    <t>Salaries Expense</t>
  </si>
  <si>
    <t>Advertising Expense</t>
  </si>
  <si>
    <t>Repairs Expense</t>
  </si>
  <si>
    <t>Sundry Expense</t>
  </si>
  <si>
    <t>Electricity Expense</t>
  </si>
  <si>
    <t>Telephone Expense</t>
  </si>
  <si>
    <t>Interest Expense</t>
  </si>
  <si>
    <t>Profit for the period</t>
  </si>
  <si>
    <t>Sub total</t>
  </si>
  <si>
    <t>Ref</t>
  </si>
  <si>
    <t>Account</t>
  </si>
  <si>
    <t>Accounts Receivable</t>
  </si>
  <si>
    <t>GST Receivable</t>
  </si>
  <si>
    <t>Land</t>
  </si>
  <si>
    <t>Building</t>
  </si>
  <si>
    <t>Accumulated Depreciation – Building</t>
  </si>
  <si>
    <t>Accounts Payable</t>
  </si>
  <si>
    <t>Unearned Consulting Fees</t>
  </si>
  <si>
    <t>GST Payable</t>
  </si>
  <si>
    <t>Mortgage Payable</t>
  </si>
  <si>
    <t>C. Delaney, Capital</t>
  </si>
  <si>
    <t>C. Delaney, Drawings</t>
  </si>
  <si>
    <t>Consulting Fees Revenue</t>
  </si>
  <si>
    <t>Telecommunications Expense</t>
  </si>
  <si>
    <t>9 260</t>
  </si>
  <si>
    <t>1 140</t>
  </si>
  <si>
    <t>60 000</t>
  </si>
  <si>
    <t>152 000</t>
  </si>
  <si>
    <t>23 400</t>
  </si>
  <si>
    <t>52 780</t>
  </si>
  <si>
    <t>1 660</t>
  </si>
  <si>
    <t>87 940</t>
  </si>
  <si>
    <t>2 090</t>
  </si>
  <si>
    <t>6 420</t>
  </si>
  <si>
    <t>7 960</t>
  </si>
  <si>
    <t>1 560</t>
  </si>
  <si>
    <t>2 000</t>
  </si>
  <si>
    <t>88 600</t>
  </si>
  <si>
    <t>71 490</t>
  </si>
  <si>
    <t>156 860</t>
  </si>
  <si>
    <t>$398 890</t>
  </si>
  <si>
    <t>Problem 5.4</t>
  </si>
  <si>
    <t>Office Supplies Expense</t>
  </si>
  <si>
    <t>Depr. Exp. Building</t>
  </si>
  <si>
    <t>Depr. Exp. – Office Equip.</t>
  </si>
  <si>
    <t>Telecomm. Expense Payable</t>
  </si>
  <si>
    <t>Profit for the year</t>
  </si>
  <si>
    <t>Accumulated Depreciation – Office Equip</t>
  </si>
  <si>
    <t>Unadjusted trial balance</t>
  </si>
  <si>
    <t>Adjusted trial balance</t>
  </si>
  <si>
    <t>Income statement</t>
  </si>
  <si>
    <t xml:space="preserve">Debit </t>
  </si>
  <si>
    <t>5 200</t>
  </si>
  <si>
    <t>(1)     720</t>
  </si>
  <si>
    <t>Acc. Depr. Building</t>
  </si>
  <si>
    <t>64 000</t>
  </si>
  <si>
    <t xml:space="preserve">(3)  8 760 </t>
  </si>
  <si>
    <t>72 760</t>
  </si>
  <si>
    <t>Acc. Depr. Office Equip.</t>
  </si>
  <si>
    <t xml:space="preserve">(3)  2 140 </t>
  </si>
  <si>
    <t>8 560</t>
  </si>
  <si>
    <t>(2)  1 200</t>
  </si>
  <si>
    <t xml:space="preserve">(2)  1 200 </t>
  </si>
  <si>
    <t>158 060</t>
  </si>
  <si>
    <t xml:space="preserve">(4)    585  </t>
  </si>
  <si>
    <t>(7)    980</t>
  </si>
  <si>
    <t>88 920</t>
  </si>
  <si>
    <t>(5)   220</t>
  </si>
  <si>
    <t>2 310</t>
  </si>
  <si>
    <t>1 740</t>
  </si>
  <si>
    <t>(6)    320</t>
  </si>
  <si>
    <t>2 060</t>
  </si>
  <si>
    <t xml:space="preserve">(1)     720 </t>
  </si>
  <si>
    <t>(3)  8 760</t>
  </si>
  <si>
    <t>8 760</t>
  </si>
  <si>
    <t>(3)  2 140</t>
  </si>
  <si>
    <t>2 140</t>
  </si>
  <si>
    <t>(4)585    195</t>
  </si>
  <si>
    <t xml:space="preserve">(5)   220 </t>
  </si>
  <si>
    <t xml:space="preserve">(6)    320 </t>
  </si>
  <si>
    <t xml:space="preserve">(7)    980 </t>
  </si>
  <si>
    <t>14 925</t>
  </si>
  <si>
    <t>411 310</t>
  </si>
  <si>
    <t>304 565</t>
  </si>
  <si>
    <t>253 250</t>
  </si>
  <si>
    <t>Totals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</si>
</sst>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rial Black"/>
      <family val="2"/>
    </font>
    <font>
      <sz val="8"/>
      <color theme="1"/>
      <name val="Arial Black"/>
      <family val="2"/>
    </font>
    <font>
      <sz val="12"/>
      <color theme="1"/>
      <name val="Arial Black"/>
      <family val="2"/>
    </font>
    <font>
      <sz val="9"/>
      <color theme="1"/>
      <name val="Arial Black"/>
      <family val="2"/>
    </font>
    <font>
      <b/>
      <sz val="10"/>
      <color theme="1"/>
      <name val="Arial Black"/>
      <family val="2"/>
    </font>
    <font>
      <sz val="10"/>
      <color theme="1"/>
      <name val="Arial Black"/>
      <family val="2"/>
    </font>
    <font>
      <u/>
      <sz val="10"/>
      <color theme="1"/>
      <name val="Arial Black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2" borderId="0" xfId="0" applyFill="1"/>
    <xf numFmtId="0" fontId="1" fillId="2" borderId="0" xfId="0" applyFont="1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3" borderId="6" xfId="0" applyFill="1" applyBorder="1"/>
    <xf numFmtId="0" fontId="0" fillId="4" borderId="0" xfId="0" applyFill="1"/>
    <xf numFmtId="0" fontId="0" fillId="5" borderId="0" xfId="0" applyFill="1"/>
    <xf numFmtId="0" fontId="1" fillId="0" borderId="0" xfId="0" applyFon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2" borderId="0" xfId="0" applyFill="1" applyAlignment="1">
      <alignment horizontal="center" vertical="center" wrapText="1"/>
    </xf>
    <xf numFmtId="0" fontId="2" fillId="0" borderId="10" xfId="0" applyFont="1" applyBorder="1"/>
    <xf numFmtId="0" fontId="3" fillId="0" borderId="10" xfId="0" applyFont="1" applyBorder="1" applyAlignment="1">
      <alignment vertical="center" wrapText="1"/>
    </xf>
    <xf numFmtId="0" fontId="4" fillId="0" borderId="10" xfId="0" applyFont="1" applyBorder="1"/>
    <xf numFmtId="0" fontId="4" fillId="0" borderId="10" xfId="0" applyFont="1" applyBorder="1" applyAlignment="1">
      <alignment vertical="center" wrapText="1"/>
    </xf>
    <xf numFmtId="0" fontId="5" fillId="0" borderId="10" xfId="0" applyFont="1" applyBorder="1" applyAlignment="1">
      <alignment vertical="center"/>
    </xf>
    <xf numFmtId="0" fontId="5" fillId="0" borderId="10" xfId="0" applyFont="1" applyBorder="1" applyAlignment="1">
      <alignment horizontal="center" vertical="center" wrapText="1"/>
    </xf>
    <xf numFmtId="0" fontId="5" fillId="0" borderId="10" xfId="0" applyFont="1" applyBorder="1" applyAlignment="1">
      <alignment vertical="center" wrapText="1"/>
    </xf>
    <xf numFmtId="0" fontId="6" fillId="0" borderId="10" xfId="0" applyFont="1" applyBorder="1" applyAlignment="1">
      <alignment vertical="center" wrapText="1"/>
    </xf>
    <xf numFmtId="0" fontId="6" fillId="0" borderId="11" xfId="0" applyFont="1" applyBorder="1" applyAlignment="1">
      <alignment vertical="center" wrapText="1"/>
    </xf>
    <xf numFmtId="0" fontId="5" fillId="0" borderId="12" xfId="0" applyFont="1" applyBorder="1" applyAlignment="1">
      <alignment horizontal="center" vertical="center" wrapText="1"/>
    </xf>
    <xf numFmtId="0" fontId="5" fillId="0" borderId="13" xfId="0" applyFont="1" applyBorder="1" applyAlignment="1">
      <alignment vertical="center"/>
    </xf>
    <xf numFmtId="0" fontId="5" fillId="0" borderId="14" xfId="0" applyFont="1" applyBorder="1" applyAlignment="1">
      <alignment vertical="center"/>
    </xf>
    <xf numFmtId="0" fontId="5" fillId="0" borderId="19" xfId="0" applyFont="1" applyBorder="1" applyAlignment="1">
      <alignment vertical="center"/>
    </xf>
    <xf numFmtId="0" fontId="5" fillId="0" borderId="13" xfId="0" applyFont="1" applyBorder="1" applyAlignment="1">
      <alignment vertical="center" wrapText="1"/>
    </xf>
    <xf numFmtId="0" fontId="5" fillId="0" borderId="14" xfId="0" applyFont="1" applyBorder="1" applyAlignment="1">
      <alignment vertical="center" wrapText="1"/>
    </xf>
    <xf numFmtId="0" fontId="5" fillId="0" borderId="19" xfId="0" applyFont="1" applyBorder="1" applyAlignment="1">
      <alignment vertical="center" wrapText="1"/>
    </xf>
    <xf numFmtId="0" fontId="5" fillId="0" borderId="15" xfId="0" applyFont="1" applyBorder="1" applyAlignment="1">
      <alignment vertical="center"/>
    </xf>
    <xf numFmtId="0" fontId="5" fillId="0" borderId="16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2" fillId="0" borderId="4" xfId="0" applyFont="1" applyBorder="1"/>
    <xf numFmtId="0" fontId="5" fillId="0" borderId="16" xfId="0" applyFont="1" applyBorder="1" applyAlignment="1">
      <alignment vertical="center" wrapText="1"/>
    </xf>
    <xf numFmtId="0" fontId="5" fillId="0" borderId="12" xfId="0" applyFont="1" applyBorder="1" applyAlignment="1">
      <alignment vertical="center" wrapText="1"/>
    </xf>
    <xf numFmtId="0" fontId="5" fillId="0" borderId="15" xfId="0" applyFont="1" applyBorder="1" applyAlignment="1">
      <alignment vertical="center" wrapText="1"/>
    </xf>
    <xf numFmtId="0" fontId="7" fillId="0" borderId="10" xfId="0" applyFont="1" applyBorder="1" applyAlignment="1">
      <alignment vertical="center" wrapText="1"/>
    </xf>
    <xf numFmtId="0" fontId="7" fillId="0" borderId="11" xfId="0" applyFont="1" applyBorder="1" applyAlignment="1">
      <alignment vertical="center" wrapText="1"/>
    </xf>
    <xf numFmtId="0" fontId="5" fillId="0" borderId="15" xfId="0" applyFont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justify" vertical="center" wrapText="1"/>
    </xf>
    <xf numFmtId="0" fontId="7" fillId="0" borderId="12" xfId="0" applyFont="1" applyBorder="1" applyAlignment="1">
      <alignment horizontal="justify" vertical="center" wrapText="1"/>
    </xf>
    <xf numFmtId="0" fontId="7" fillId="0" borderId="10" xfId="0" applyFont="1" applyBorder="1" applyAlignment="1">
      <alignment horizontal="right" vertical="center" wrapText="1"/>
    </xf>
    <xf numFmtId="0" fontId="7" fillId="0" borderId="12" xfId="0" applyFont="1" applyBorder="1" applyAlignment="1">
      <alignment horizontal="right" vertical="center" wrapText="1"/>
    </xf>
    <xf numFmtId="0" fontId="2" fillId="0" borderId="15" xfId="0" applyFont="1" applyBorder="1"/>
    <xf numFmtId="0" fontId="2" fillId="0" borderId="16" xfId="0" applyFont="1" applyBorder="1"/>
    <xf numFmtId="0" fontId="2" fillId="0" borderId="12" xfId="0" applyFont="1" applyBorder="1"/>
    <xf numFmtId="0" fontId="8" fillId="0" borderId="10" xfId="0" applyFont="1" applyBorder="1" applyAlignment="1">
      <alignment horizontal="right" vertical="center" wrapText="1"/>
    </xf>
    <xf numFmtId="0" fontId="8" fillId="0" borderId="12" xfId="0" applyFont="1" applyBorder="1" applyAlignment="1">
      <alignment horizontal="right" vertical="center" wrapText="1"/>
    </xf>
    <xf numFmtId="0" fontId="5" fillId="0" borderId="10" xfId="0" applyFont="1" applyBorder="1" applyAlignment="1">
      <alignment horizontal="justify" vertical="center" wrapText="1"/>
    </xf>
    <xf numFmtId="0" fontId="5" fillId="0" borderId="12" xfId="0" applyFont="1" applyBorder="1" applyAlignment="1">
      <alignment horizontal="justify" vertical="center" wrapText="1"/>
    </xf>
    <xf numFmtId="0" fontId="2" fillId="0" borderId="0" xfId="0" applyFont="1"/>
    <xf numFmtId="0" fontId="2" fillId="0" borderId="17" xfId="0" applyFont="1" applyBorder="1"/>
    <xf numFmtId="0" fontId="2" fillId="0" borderId="18" xfId="0" applyFont="1" applyBorder="1"/>
    <xf numFmtId="0" fontId="2" fillId="0" borderId="20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416298</xdr:colOff>
      <xdr:row>3</xdr:row>
      <xdr:rowOff>85194</xdr:rowOff>
    </xdr:from>
    <xdr:to>
      <xdr:col>10</xdr:col>
      <xdr:colOff>313283</xdr:colOff>
      <xdr:row>34</xdr:row>
      <xdr:rowOff>64098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6DF4DDFF-C62F-4ED7-92A4-26C803DE3C80}"/>
            </a:ext>
          </a:extLst>
        </xdr:cNvPr>
        <xdr:cNvGrpSpPr/>
      </xdr:nvGrpSpPr>
      <xdr:grpSpPr bwMode="auto">
        <a:xfrm>
          <a:off x="1027604" y="639634"/>
          <a:ext cx="5398739" cy="5708121"/>
          <a:chOff x="0" y="78429"/>
          <a:chExt cx="6059328" cy="3928254"/>
        </a:xfrm>
      </xdr:grpSpPr>
      <xdr:cxnSp macro="">
        <xdr:nvCxnSpPr>
          <xdr:cNvPr id="3" name="Straight Arrow Connector 2">
            <a:extLst>
              <a:ext uri="{FF2B5EF4-FFF2-40B4-BE49-F238E27FC236}">
                <a16:creationId xmlns:a16="http://schemas.microsoft.com/office/drawing/2014/main" id="{2662FD6C-2C5B-AE6D-0DC2-14862539F005}"/>
              </a:ext>
            </a:extLst>
          </xdr:cNvPr>
          <xdr:cNvCxnSpPr>
            <a:cxnSpLocks/>
          </xdr:cNvCxnSpPr>
        </xdr:nvCxnSpPr>
        <xdr:spPr bwMode="auto">
          <a:xfrm flipH="1">
            <a:off x="0" y="417106"/>
            <a:ext cx="5477" cy="2779586"/>
          </a:xfrm>
          <a:prstGeom prst="straightConnector1">
            <a:avLst/>
          </a:prstGeom>
          <a:noFill/>
          <a:ln w="6350" algn="ctr">
            <a:solidFill>
              <a:srgbClr val="4472C4"/>
            </a:solidFill>
            <a:miter lim="800000"/>
            <a:headEnd/>
            <a:tailEnd type="triangle" w="med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66AAA784-E93E-4009-7295-F4FC616C3430}"/>
              </a:ext>
            </a:extLst>
          </xdr:cNvPr>
          <xdr:cNvGrpSpPr>
            <a:grpSpLocks/>
          </xdr:cNvGrpSpPr>
        </xdr:nvGrpSpPr>
        <xdr:grpSpPr bwMode="auto">
          <a:xfrm>
            <a:off x="7778" y="78429"/>
            <a:ext cx="6051550" cy="3928254"/>
            <a:chOff x="7778" y="78429"/>
            <a:chExt cx="6051550" cy="3928254"/>
          </a:xfrm>
        </xdr:grpSpPr>
        <xdr:sp macro="" textlink="">
          <xdr:nvSpPr>
            <xdr:cNvPr id="5" name="Flowchart: Alternate Process 4">
              <a:extLst>
                <a:ext uri="{FF2B5EF4-FFF2-40B4-BE49-F238E27FC236}">
                  <a16:creationId xmlns:a16="http://schemas.microsoft.com/office/drawing/2014/main" id="{0205F8C2-08CA-2120-4267-CE15DA12C0AE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12989" y="78429"/>
              <a:ext cx="6045200" cy="641350"/>
            </a:xfrm>
            <a:prstGeom prst="flowChartAlternateProcess">
              <a:avLst/>
            </a:prstGeom>
            <a:solidFill>
              <a:srgbClr val="FFFFFF"/>
            </a:solidFill>
            <a:ln w="12700">
              <a:solidFill>
                <a:srgbClr val="70AD47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8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Transactions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6" name="Flowchart: Alternate Process 5">
              <a:extLst>
                <a:ext uri="{FF2B5EF4-FFF2-40B4-BE49-F238E27FC236}">
                  <a16:creationId xmlns:a16="http://schemas.microsoft.com/office/drawing/2014/main" id="{DF6FD0F6-C626-D429-2B20-E066DED3B736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778" y="3119542"/>
              <a:ext cx="6048374" cy="887141"/>
            </a:xfrm>
            <a:prstGeom prst="flowChartAlternateProcess">
              <a:avLst/>
            </a:prstGeom>
            <a:solidFill>
              <a:srgbClr val="FFFFFF"/>
            </a:solidFill>
            <a:ln w="25400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8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Financial Statements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Balance Sheet (Asset = Liability + Owners Equity)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Income Statement (Revenue – Expenses = Profit)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Statement of Cashflows ($ Receipts and $ Payments)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Statement of Changes in Owners Equity (OE at start + changes = OE at end) – sometimes viewed as a note.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7" name="Flowchart: Predefined Process 6">
              <a:extLst>
                <a:ext uri="{FF2B5EF4-FFF2-40B4-BE49-F238E27FC236}">
                  <a16:creationId xmlns:a16="http://schemas.microsoft.com/office/drawing/2014/main" id="{AF25F097-D301-041E-7F35-C863DB4EBFE9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778" y="1550757"/>
              <a:ext cx="6051550" cy="736600"/>
            </a:xfrm>
            <a:prstGeom prst="flowChartPredefinedProcess">
              <a:avLst/>
            </a:prstGeom>
            <a:solidFill>
              <a:srgbClr val="FFFFFF"/>
            </a:solidFill>
            <a:ln w="25400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4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Asset = Liability + Owners Equity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8" name="Arrow: Down 7">
              <a:extLst>
                <a:ext uri="{FF2B5EF4-FFF2-40B4-BE49-F238E27FC236}">
                  <a16:creationId xmlns:a16="http://schemas.microsoft.com/office/drawing/2014/main" id="{EFD7BD5B-6195-5928-CA64-546FB0A878C8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2930292" y="2382941"/>
              <a:ext cx="201045" cy="736601"/>
            </a:xfrm>
            <a:prstGeom prst="downArrow">
              <a:avLst>
                <a:gd name="adj1" fmla="val 50000"/>
                <a:gd name="adj2" fmla="val 50005"/>
              </a:avLst>
            </a:prstGeom>
            <a:solidFill>
              <a:srgbClr val="FFFFFF"/>
            </a:solidFill>
            <a:ln w="25400" algn="ctr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endParaRPr lang="en-SG"/>
            </a:p>
          </xdr:txBody>
        </xdr:sp>
        <xdr:sp macro="" textlink="">
          <xdr:nvSpPr>
            <xdr:cNvPr id="9" name="Arrow: Down 8">
              <a:extLst>
                <a:ext uri="{FF2B5EF4-FFF2-40B4-BE49-F238E27FC236}">
                  <a16:creationId xmlns:a16="http://schemas.microsoft.com/office/drawing/2014/main" id="{F4ECA4F8-2628-BAD5-B248-20209603917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2930292" y="729956"/>
              <a:ext cx="206522" cy="736600"/>
            </a:xfrm>
            <a:prstGeom prst="downArrow">
              <a:avLst>
                <a:gd name="adj1" fmla="val 50000"/>
                <a:gd name="adj2" fmla="val 50000"/>
              </a:avLst>
            </a:prstGeom>
            <a:solidFill>
              <a:srgbClr val="FFFFFF"/>
            </a:solidFill>
            <a:ln w="25400" algn="ctr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endParaRPr lang="en-SG"/>
            </a:p>
          </xdr:txBody>
        </xdr:sp>
      </xdr:grpSp>
    </xdr:grpSp>
    <xdr:clientData/>
  </xdr:twoCellAnchor>
  <xdr:twoCellAnchor editAs="oneCell">
    <xdr:from>
      <xdr:col>10</xdr:col>
      <xdr:colOff>603658</xdr:colOff>
      <xdr:row>2</xdr:row>
      <xdr:rowOff>38661</xdr:rowOff>
    </xdr:from>
    <xdr:to>
      <xdr:col>25</xdr:col>
      <xdr:colOff>101853</xdr:colOff>
      <xdr:row>34</xdr:row>
      <xdr:rowOff>19611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6528DF4-DBF7-4A30-B99A-84E2949B0B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99658" y="406961"/>
          <a:ext cx="8642195" cy="5873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290486</xdr:colOff>
      <xdr:row>17</xdr:row>
      <xdr:rowOff>142943</xdr:rowOff>
    </xdr:from>
    <xdr:to>
      <xdr:col>6</xdr:col>
      <xdr:colOff>135223</xdr:colOff>
      <xdr:row>37</xdr:row>
      <xdr:rowOff>6026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F65ED4-E7E3-472C-A106-5812FB200C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1167" y="3290922"/>
          <a:ext cx="3719588" cy="35460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109681</xdr:colOff>
      <xdr:row>32</xdr:row>
      <xdr:rowOff>132772</xdr:rowOff>
    </xdr:from>
    <xdr:to>
      <xdr:col>8</xdr:col>
      <xdr:colOff>101022</xdr:colOff>
      <xdr:row>39</xdr:row>
      <xdr:rowOff>132772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5E5104-87CA-950D-541D-34B590E55A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681" y="6055590"/>
          <a:ext cx="5752523" cy="12930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628650</xdr:colOff>
      <xdr:row>37</xdr:row>
      <xdr:rowOff>0</xdr:rowOff>
    </xdr:from>
    <xdr:to>
      <xdr:col>6</xdr:col>
      <xdr:colOff>120650</xdr:colOff>
      <xdr:row>45</xdr:row>
      <xdr:rowOff>133350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DFACB0-0F5D-E299-816B-F62546973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8650" y="8528050"/>
          <a:ext cx="5727700" cy="1606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nek Mukesh" id="{D1B72572-4EE9-4B5D-AA50-003122841091}" userId="7baad15b6bef9919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" dT="2022-04-27T08:01:01.46" personId="{D1B72572-4EE9-4B5D-AA50-003122841091}" id="{BB583F4E-C610-4749-8F69-7BBCCF1CC978}">
    <text>BDA = Balanced Day Adjustments 
Accrual, prepayment, depreciation, bad debt exp etc.</text>
  </threadedComment>
  <threadedComment ref="H4" dT="2022-04-27T08:03:56.12" personId="{D1B72572-4EE9-4B5D-AA50-003122841091}" id="{D5A623B3-D662-4FAD-B7DC-B39312AD72BF}">
    <text>At end of accounting year; Close books for current year and prepare for next year.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54719-4B7A-4BD1-A273-F4DC249F84D4}">
  <dimension ref="A1"/>
  <sheetViews>
    <sheetView topLeftCell="C1" zoomScale="134" zoomScaleNormal="85" workbookViewId="0">
      <selection activeCell="I12" sqref="I12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3618A-53E6-4AA0-84BA-AB41705F9398}">
  <dimension ref="B1:O20"/>
  <sheetViews>
    <sheetView zoomScale="235" zoomScaleNormal="130" workbookViewId="0">
      <selection activeCell="I21" sqref="I21"/>
    </sheetView>
  </sheetViews>
  <sheetFormatPr defaultRowHeight="14.5" x14ac:dyDescent="0.35"/>
  <cols>
    <col min="5" max="5" width="18.81640625" bestFit="1" customWidth="1"/>
    <col min="6" max="6" width="10.453125" customWidth="1"/>
    <col min="7" max="7" width="10.453125" bestFit="1" customWidth="1"/>
    <col min="11" max="11" width="2.08984375" bestFit="1" customWidth="1"/>
    <col min="12" max="12" width="37.453125" bestFit="1" customWidth="1"/>
    <col min="13" max="13" width="22.6328125" bestFit="1" customWidth="1"/>
  </cols>
  <sheetData>
    <row r="1" spans="2:15" x14ac:dyDescent="0.35">
      <c r="G1" t="s">
        <v>0</v>
      </c>
    </row>
    <row r="2" spans="2:15" x14ac:dyDescent="0.35">
      <c r="B2" s="1" t="s">
        <v>1</v>
      </c>
    </row>
    <row r="3" spans="2:15" x14ac:dyDescent="0.35">
      <c r="F3" t="s">
        <v>2</v>
      </c>
      <c r="G3" t="s">
        <v>3</v>
      </c>
      <c r="H3" t="s">
        <v>1</v>
      </c>
      <c r="L3" t="s">
        <v>4</v>
      </c>
      <c r="M3" t="s">
        <v>5</v>
      </c>
    </row>
    <row r="4" spans="2:15" ht="15" thickBot="1" x14ac:dyDescent="0.4">
      <c r="C4" s="1" t="s">
        <v>6</v>
      </c>
      <c r="D4" s="1"/>
      <c r="E4" s="1" t="s">
        <v>7</v>
      </c>
      <c r="F4" t="s">
        <v>8</v>
      </c>
      <c r="G4" t="s">
        <v>9</v>
      </c>
      <c r="H4" t="s">
        <v>10</v>
      </c>
    </row>
    <row r="5" spans="2:15" x14ac:dyDescent="0.35">
      <c r="C5" s="1"/>
      <c r="D5" s="1"/>
      <c r="E5" s="2" t="s">
        <v>11</v>
      </c>
      <c r="M5" s="3"/>
      <c r="N5" s="4" t="s">
        <v>12</v>
      </c>
      <c r="O5" s="5" t="s">
        <v>13</v>
      </c>
    </row>
    <row r="6" spans="2:15" x14ac:dyDescent="0.35">
      <c r="C6" s="16" t="s">
        <v>14</v>
      </c>
      <c r="D6" s="1"/>
      <c r="E6" s="1" t="s">
        <v>15</v>
      </c>
      <c r="F6" t="s">
        <v>8</v>
      </c>
      <c r="H6" s="1" t="s">
        <v>16</v>
      </c>
      <c r="K6">
        <v>1</v>
      </c>
      <c r="L6" t="s">
        <v>17</v>
      </c>
      <c r="M6" s="6" t="s">
        <v>18</v>
      </c>
      <c r="N6" t="s">
        <v>19</v>
      </c>
      <c r="O6" s="7"/>
    </row>
    <row r="7" spans="2:15" x14ac:dyDescent="0.35">
      <c r="C7" s="16"/>
      <c r="D7" s="1"/>
      <c r="E7" s="2" t="s">
        <v>11</v>
      </c>
      <c r="M7" s="6" t="s">
        <v>20</v>
      </c>
      <c r="O7" s="7" t="s">
        <v>19</v>
      </c>
    </row>
    <row r="8" spans="2:15" x14ac:dyDescent="0.35">
      <c r="C8" s="16"/>
      <c r="D8" s="1"/>
      <c r="E8" s="1" t="s">
        <v>21</v>
      </c>
      <c r="F8" t="s">
        <v>8</v>
      </c>
      <c r="M8" s="6" t="s">
        <v>22</v>
      </c>
      <c r="O8" s="7"/>
    </row>
    <row r="9" spans="2:15" x14ac:dyDescent="0.35">
      <c r="C9" s="16"/>
      <c r="D9" s="1"/>
      <c r="E9" s="2" t="s">
        <v>11</v>
      </c>
      <c r="M9" s="6"/>
      <c r="O9" s="7"/>
    </row>
    <row r="10" spans="2:15" x14ac:dyDescent="0.35">
      <c r="C10" s="16"/>
      <c r="D10" s="1"/>
      <c r="E10" s="1" t="s">
        <v>23</v>
      </c>
      <c r="F10" t="s">
        <v>8</v>
      </c>
      <c r="G10" t="s">
        <v>24</v>
      </c>
      <c r="H10" t="s">
        <v>25</v>
      </c>
      <c r="K10">
        <v>2</v>
      </c>
      <c r="L10" t="s">
        <v>26</v>
      </c>
      <c r="M10" s="6" t="s">
        <v>20</v>
      </c>
      <c r="N10" t="s">
        <v>19</v>
      </c>
      <c r="O10" s="7"/>
    </row>
    <row r="11" spans="2:15" ht="15" thickBot="1" x14ac:dyDescent="0.4">
      <c r="C11" s="1"/>
      <c r="D11" s="1"/>
      <c r="E11" s="1"/>
      <c r="F11" s="8" t="s">
        <v>27</v>
      </c>
      <c r="G11" s="9" t="s">
        <v>28</v>
      </c>
      <c r="H11" s="10" t="s">
        <v>29</v>
      </c>
      <c r="M11" s="6" t="s">
        <v>30</v>
      </c>
      <c r="O11" s="7" t="s">
        <v>19</v>
      </c>
    </row>
    <row r="12" spans="2:15" ht="15" thickTop="1" x14ac:dyDescent="0.35">
      <c r="C12" s="1"/>
      <c r="D12" s="1"/>
      <c r="E12" s="2" t="s">
        <v>11</v>
      </c>
      <c r="G12" s="11" t="s">
        <v>11</v>
      </c>
      <c r="M12" s="6" t="s">
        <v>31</v>
      </c>
      <c r="O12" s="7"/>
    </row>
    <row r="13" spans="2:15" x14ac:dyDescent="0.35">
      <c r="C13" s="1" t="s">
        <v>32</v>
      </c>
      <c r="D13" s="1"/>
      <c r="E13" s="1" t="s">
        <v>33</v>
      </c>
      <c r="F13" t="s">
        <v>33</v>
      </c>
      <c r="H13" t="s">
        <v>34</v>
      </c>
      <c r="M13" s="6"/>
      <c r="O13" s="7"/>
    </row>
    <row r="14" spans="2:15" x14ac:dyDescent="0.35">
      <c r="K14">
        <v>3</v>
      </c>
      <c r="L14" t="s">
        <v>35</v>
      </c>
      <c r="M14" s="6" t="s">
        <v>20</v>
      </c>
      <c r="N14" t="s">
        <v>19</v>
      </c>
      <c r="O14" s="7"/>
    </row>
    <row r="15" spans="2:15" x14ac:dyDescent="0.35">
      <c r="M15" s="6" t="s">
        <v>36</v>
      </c>
      <c r="O15" s="7" t="s">
        <v>19</v>
      </c>
    </row>
    <row r="16" spans="2:15" x14ac:dyDescent="0.35">
      <c r="M16" s="6" t="s">
        <v>37</v>
      </c>
      <c r="O16" s="7"/>
    </row>
    <row r="17" spans="11:15" x14ac:dyDescent="0.35">
      <c r="M17" s="6"/>
      <c r="O17" s="7"/>
    </row>
    <row r="18" spans="11:15" x14ac:dyDescent="0.35">
      <c r="K18">
        <v>4</v>
      </c>
      <c r="L18" t="s">
        <v>38</v>
      </c>
      <c r="M18" s="6" t="s">
        <v>39</v>
      </c>
      <c r="N18" t="s">
        <v>19</v>
      </c>
      <c r="O18" s="7"/>
    </row>
    <row r="19" spans="11:15" x14ac:dyDescent="0.35">
      <c r="M19" s="6" t="s">
        <v>40</v>
      </c>
      <c r="O19" s="7" t="s">
        <v>19</v>
      </c>
    </row>
    <row r="20" spans="11:15" ht="15" thickBot="1" x14ac:dyDescent="0.4">
      <c r="M20" s="12" t="s">
        <v>41</v>
      </c>
      <c r="N20" s="13"/>
      <c r="O20" s="14"/>
    </row>
  </sheetData>
  <mergeCells count="1">
    <mergeCell ref="C6:C10"/>
  </mergeCells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369FE-F92F-4C37-9408-0538561CEBA7}">
  <dimension ref="A1:P31"/>
  <sheetViews>
    <sheetView zoomScale="110" zoomScaleNormal="110" workbookViewId="0">
      <selection activeCell="F26" sqref="F26"/>
    </sheetView>
  </sheetViews>
  <sheetFormatPr defaultRowHeight="14.5" x14ac:dyDescent="0.35"/>
  <cols>
    <col min="1" max="1" width="33.6328125" bestFit="1" customWidth="1"/>
    <col min="2" max="2" width="6.7265625" customWidth="1"/>
    <col min="5" max="5" width="4.36328125" customWidth="1"/>
    <col min="8" max="8" width="2.7265625" customWidth="1"/>
    <col min="10" max="10" width="9.7265625" bestFit="1" customWidth="1"/>
    <col min="11" max="11" width="2.6328125" customWidth="1"/>
    <col min="14" max="14" width="2.36328125" customWidth="1"/>
  </cols>
  <sheetData>
    <row r="1" spans="1:16" ht="15" thickBot="1" x14ac:dyDescent="0.4">
      <c r="A1" s="15"/>
      <c r="B1" s="15"/>
    </row>
    <row r="2" spans="1:16" ht="14.5" customHeight="1" x14ac:dyDescent="0.35">
      <c r="A2" s="24" t="s">
        <v>42</v>
      </c>
      <c r="B2" s="25"/>
      <c r="C2" s="21" t="s">
        <v>27</v>
      </c>
      <c r="D2" s="21" t="s">
        <v>64</v>
      </c>
      <c r="E2" s="26"/>
      <c r="F2" s="27" t="s">
        <v>65</v>
      </c>
      <c r="G2" s="28"/>
      <c r="H2" s="29"/>
      <c r="I2" s="21" t="s">
        <v>28</v>
      </c>
      <c r="J2" s="21" t="s">
        <v>64</v>
      </c>
      <c r="K2" s="29"/>
      <c r="L2" s="30" t="s">
        <v>66</v>
      </c>
      <c r="M2" s="31" t="s">
        <v>67</v>
      </c>
      <c r="N2" s="32"/>
      <c r="O2" s="27" t="s">
        <v>68</v>
      </c>
      <c r="P2" s="31"/>
    </row>
    <row r="3" spans="1:16" ht="15" customHeight="1" x14ac:dyDescent="0.5">
      <c r="A3" s="24" t="s">
        <v>43</v>
      </c>
      <c r="B3" s="25"/>
      <c r="C3" s="17"/>
      <c r="D3" s="21"/>
      <c r="E3" s="26" t="s">
        <v>94</v>
      </c>
      <c r="F3" s="33"/>
      <c r="G3" s="34"/>
      <c r="H3" s="35"/>
      <c r="I3" s="17"/>
      <c r="J3" s="21"/>
      <c r="K3" s="35"/>
      <c r="L3" s="36"/>
      <c r="M3" s="37"/>
      <c r="N3" s="38"/>
      <c r="O3" s="39"/>
      <c r="P3" s="37"/>
    </row>
    <row r="4" spans="1:16" ht="15.5" x14ac:dyDescent="0.35">
      <c r="A4" s="40" t="s">
        <v>44</v>
      </c>
      <c r="B4" s="41"/>
      <c r="C4" s="22" t="s">
        <v>45</v>
      </c>
      <c r="D4" s="22" t="s">
        <v>46</v>
      </c>
      <c r="E4" s="26"/>
      <c r="F4" s="42" t="s">
        <v>45</v>
      </c>
      <c r="G4" s="43" t="s">
        <v>46</v>
      </c>
      <c r="H4" s="26"/>
      <c r="I4" s="22" t="s">
        <v>45</v>
      </c>
      <c r="J4" s="23" t="s">
        <v>46</v>
      </c>
      <c r="K4" s="38"/>
      <c r="L4" s="42" t="s">
        <v>45</v>
      </c>
      <c r="M4" s="43" t="s">
        <v>46</v>
      </c>
      <c r="N4" s="26"/>
      <c r="O4" s="42" t="s">
        <v>45</v>
      </c>
      <c r="P4" s="43" t="s">
        <v>46</v>
      </c>
    </row>
    <row r="5" spans="1:16" ht="17" x14ac:dyDescent="0.5">
      <c r="A5" s="44" t="s">
        <v>47</v>
      </c>
      <c r="B5" s="45"/>
      <c r="C5" s="46">
        <v>6200</v>
      </c>
      <c r="D5" s="46"/>
      <c r="E5" s="47"/>
      <c r="F5" s="48"/>
      <c r="G5" s="49"/>
      <c r="H5" s="50"/>
      <c r="I5" s="17"/>
      <c r="J5" s="17"/>
      <c r="K5" s="50"/>
      <c r="L5" s="48"/>
      <c r="M5" s="49"/>
      <c r="N5" s="50"/>
      <c r="O5" s="48"/>
      <c r="P5" s="49"/>
    </row>
    <row r="6" spans="1:16" ht="17" x14ac:dyDescent="0.5">
      <c r="A6" s="44" t="s">
        <v>48</v>
      </c>
      <c r="B6" s="45"/>
      <c r="C6" s="46">
        <v>7260</v>
      </c>
      <c r="D6" s="46"/>
      <c r="E6" s="47"/>
      <c r="F6" s="48"/>
      <c r="G6" s="49"/>
      <c r="H6" s="50"/>
      <c r="I6" s="17"/>
      <c r="J6" s="17"/>
      <c r="K6" s="50"/>
      <c r="L6" s="48"/>
      <c r="M6" s="49"/>
      <c r="N6" s="50"/>
      <c r="O6" s="48"/>
      <c r="P6" s="49"/>
    </row>
    <row r="7" spans="1:16" ht="17" x14ac:dyDescent="0.5">
      <c r="A7" s="44" t="s">
        <v>49</v>
      </c>
      <c r="B7" s="45"/>
      <c r="C7" s="46">
        <v>1725</v>
      </c>
      <c r="D7" s="46"/>
      <c r="E7" s="47"/>
      <c r="F7" s="48"/>
      <c r="G7" s="49"/>
      <c r="H7" s="50"/>
      <c r="I7" s="17"/>
      <c r="J7" s="17"/>
      <c r="K7" s="50"/>
      <c r="L7" s="48"/>
      <c r="M7" s="49"/>
      <c r="N7" s="50"/>
      <c r="O7" s="48"/>
      <c r="P7" s="49"/>
    </row>
    <row r="8" spans="1:16" ht="17" x14ac:dyDescent="0.5">
      <c r="A8" s="44" t="s">
        <v>50</v>
      </c>
      <c r="B8" s="45"/>
      <c r="C8" s="46">
        <v>82800</v>
      </c>
      <c r="D8" s="46"/>
      <c r="E8" s="47"/>
      <c r="F8" s="48"/>
      <c r="G8" s="49"/>
      <c r="H8" s="50"/>
      <c r="I8" s="17"/>
      <c r="J8" s="17"/>
      <c r="K8" s="50"/>
      <c r="L8" s="48"/>
      <c r="M8" s="49"/>
      <c r="N8" s="50"/>
      <c r="O8" s="48"/>
      <c r="P8" s="49"/>
    </row>
    <row r="9" spans="1:16" ht="31" x14ac:dyDescent="0.5">
      <c r="A9" s="44" t="s">
        <v>51</v>
      </c>
      <c r="B9" s="45"/>
      <c r="C9" s="46"/>
      <c r="D9" s="46">
        <v>14600</v>
      </c>
      <c r="E9" s="47"/>
      <c r="F9" s="48"/>
      <c r="G9" s="49"/>
      <c r="H9" s="50"/>
      <c r="I9" s="17"/>
      <c r="J9" s="17"/>
      <c r="K9" s="50"/>
      <c r="L9" s="48"/>
      <c r="M9" s="49"/>
      <c r="N9" s="50"/>
      <c r="O9" s="48"/>
      <c r="P9" s="49"/>
    </row>
    <row r="10" spans="1:16" ht="17" x14ac:dyDescent="0.5">
      <c r="A10" s="44" t="s">
        <v>52</v>
      </c>
      <c r="B10" s="45"/>
      <c r="C10" s="46"/>
      <c r="D10" s="46">
        <v>50000</v>
      </c>
      <c r="E10" s="47"/>
      <c r="F10" s="48"/>
      <c r="G10" s="49"/>
      <c r="H10" s="50"/>
      <c r="I10" s="17"/>
      <c r="J10" s="17"/>
      <c r="K10" s="50"/>
      <c r="L10" s="48"/>
      <c r="M10" s="49"/>
      <c r="N10" s="50"/>
      <c r="O10" s="48"/>
      <c r="P10" s="49"/>
    </row>
    <row r="11" spans="1:16" ht="17" x14ac:dyDescent="0.5">
      <c r="A11" s="44" t="s">
        <v>53</v>
      </c>
      <c r="B11" s="45"/>
      <c r="C11" s="46"/>
      <c r="D11" s="46">
        <v>15540</v>
      </c>
      <c r="E11" s="47"/>
      <c r="F11" s="48"/>
      <c r="G11" s="49"/>
      <c r="H11" s="50"/>
      <c r="I11" s="17"/>
      <c r="J11" s="17"/>
      <c r="K11" s="50"/>
      <c r="L11" s="48"/>
      <c r="M11" s="49"/>
      <c r="N11" s="50"/>
      <c r="O11" s="48"/>
      <c r="P11" s="49"/>
    </row>
    <row r="12" spans="1:16" ht="17" x14ac:dyDescent="0.5">
      <c r="A12" s="44" t="s">
        <v>54</v>
      </c>
      <c r="B12" s="45"/>
      <c r="C12" s="46">
        <v>27000</v>
      </c>
      <c r="D12" s="46"/>
      <c r="E12" s="47"/>
      <c r="F12" s="48"/>
      <c r="G12" s="49"/>
      <c r="H12" s="50"/>
      <c r="I12" s="17"/>
      <c r="J12" s="17"/>
      <c r="K12" s="50"/>
      <c r="L12" s="48"/>
      <c r="M12" s="49"/>
      <c r="N12" s="50"/>
      <c r="O12" s="48"/>
      <c r="P12" s="49"/>
    </row>
    <row r="13" spans="1:16" ht="17" x14ac:dyDescent="0.5">
      <c r="A13" s="44" t="s">
        <v>55</v>
      </c>
      <c r="B13" s="45"/>
      <c r="C13" s="46"/>
      <c r="D13" s="46">
        <v>126500</v>
      </c>
      <c r="E13" s="47"/>
      <c r="F13" s="48"/>
      <c r="G13" s="49"/>
      <c r="H13" s="50"/>
      <c r="I13" s="17"/>
      <c r="J13" s="17"/>
      <c r="K13" s="50"/>
      <c r="L13" s="48"/>
      <c r="M13" s="49"/>
      <c r="N13" s="50"/>
      <c r="O13" s="48"/>
      <c r="P13" s="49"/>
    </row>
    <row r="14" spans="1:16" ht="17" x14ac:dyDescent="0.5">
      <c r="A14" s="44" t="s">
        <v>56</v>
      </c>
      <c r="B14" s="45"/>
      <c r="C14" s="46">
        <v>63250</v>
      </c>
      <c r="D14" s="46"/>
      <c r="E14" s="47"/>
      <c r="F14" s="48"/>
      <c r="G14" s="49"/>
      <c r="H14" s="50"/>
      <c r="I14" s="17"/>
      <c r="J14" s="17"/>
      <c r="K14" s="50"/>
      <c r="L14" s="48"/>
      <c r="M14" s="49"/>
      <c r="N14" s="50"/>
      <c r="O14" s="48"/>
      <c r="P14" s="49"/>
    </row>
    <row r="15" spans="1:16" ht="17" x14ac:dyDescent="0.5">
      <c r="A15" s="44" t="s">
        <v>57</v>
      </c>
      <c r="B15" s="45"/>
      <c r="C15" s="46">
        <v>2250</v>
      </c>
      <c r="D15" s="46"/>
      <c r="E15" s="47"/>
      <c r="F15" s="48"/>
      <c r="G15" s="49"/>
      <c r="H15" s="50"/>
      <c r="I15" s="17"/>
      <c r="J15" s="17"/>
      <c r="K15" s="50"/>
      <c r="L15" s="48"/>
      <c r="M15" s="49"/>
      <c r="N15" s="50"/>
      <c r="O15" s="48"/>
      <c r="P15" s="49"/>
    </row>
    <row r="16" spans="1:16" ht="17" x14ac:dyDescent="0.5">
      <c r="A16" s="44" t="s">
        <v>58</v>
      </c>
      <c r="B16" s="45"/>
      <c r="C16" s="46">
        <v>1260</v>
      </c>
      <c r="D16" s="46"/>
      <c r="E16" s="47"/>
      <c r="F16" s="48"/>
      <c r="G16" s="49"/>
      <c r="H16" s="50"/>
      <c r="I16" s="17"/>
      <c r="J16" s="17"/>
      <c r="K16" s="50"/>
      <c r="L16" s="48"/>
      <c r="M16" s="49"/>
      <c r="N16" s="50"/>
      <c r="O16" s="48"/>
      <c r="P16" s="49"/>
    </row>
    <row r="17" spans="1:16" ht="17" x14ac:dyDescent="0.5">
      <c r="A17" s="44" t="s">
        <v>59</v>
      </c>
      <c r="B17" s="45"/>
      <c r="C17" s="46">
        <v>7520</v>
      </c>
      <c r="D17" s="46"/>
      <c r="E17" s="47"/>
      <c r="F17" s="48"/>
      <c r="G17" s="49"/>
      <c r="H17" s="50"/>
      <c r="I17" s="17"/>
      <c r="J17" s="17"/>
      <c r="K17" s="50"/>
      <c r="L17" s="48"/>
      <c r="M17" s="49"/>
      <c r="N17" s="50"/>
      <c r="O17" s="48"/>
      <c r="P17" s="49"/>
    </row>
    <row r="18" spans="1:16" ht="17" x14ac:dyDescent="0.5">
      <c r="A18" s="44" t="s">
        <v>60</v>
      </c>
      <c r="B18" s="45"/>
      <c r="C18" s="46">
        <v>3405</v>
      </c>
      <c r="D18" s="46"/>
      <c r="E18" s="47"/>
      <c r="F18" s="48"/>
      <c r="G18" s="49"/>
      <c r="H18" s="50"/>
      <c r="I18" s="17"/>
      <c r="J18" s="17"/>
      <c r="K18" s="50"/>
      <c r="L18" s="48"/>
      <c r="M18" s="49"/>
      <c r="N18" s="50"/>
      <c r="O18" s="48"/>
      <c r="P18" s="49"/>
    </row>
    <row r="19" spans="1:16" ht="17" x14ac:dyDescent="0.5">
      <c r="A19" s="44" t="s">
        <v>61</v>
      </c>
      <c r="B19" s="45"/>
      <c r="C19" s="46">
        <v>2620</v>
      </c>
      <c r="D19" s="46"/>
      <c r="E19" s="47"/>
      <c r="F19" s="48"/>
      <c r="G19" s="49"/>
      <c r="H19" s="50"/>
      <c r="I19" s="17"/>
      <c r="J19" s="17"/>
      <c r="K19" s="50"/>
      <c r="L19" s="48"/>
      <c r="M19" s="49"/>
      <c r="N19" s="50"/>
      <c r="O19" s="48"/>
      <c r="P19" s="49"/>
    </row>
    <row r="20" spans="1:16" ht="17" x14ac:dyDescent="0.5">
      <c r="A20" s="44" t="s">
        <v>62</v>
      </c>
      <c r="B20" s="45"/>
      <c r="C20" s="46">
        <v>1350</v>
      </c>
      <c r="D20" s="51" t="s">
        <v>63</v>
      </c>
      <c r="E20" s="52"/>
      <c r="F20" s="48"/>
      <c r="G20" s="49"/>
      <c r="H20" s="50"/>
      <c r="I20" s="17"/>
      <c r="J20" s="17"/>
      <c r="K20" s="50"/>
      <c r="L20" s="48"/>
      <c r="M20" s="49"/>
      <c r="N20" s="50"/>
      <c r="O20" s="48"/>
      <c r="P20" s="49"/>
    </row>
    <row r="21" spans="1:16" ht="17" x14ac:dyDescent="0.5">
      <c r="A21" s="44"/>
      <c r="B21" s="45"/>
      <c r="C21" s="17"/>
      <c r="D21" s="17"/>
      <c r="E21" s="50"/>
      <c r="F21" s="48"/>
      <c r="G21" s="49"/>
      <c r="H21" s="50"/>
      <c r="I21" s="17"/>
      <c r="J21" s="17"/>
      <c r="K21" s="50"/>
      <c r="L21" s="48"/>
      <c r="M21" s="49"/>
      <c r="N21" s="50"/>
      <c r="O21" s="48"/>
      <c r="P21" s="49"/>
    </row>
    <row r="22" spans="1:16" ht="17" x14ac:dyDescent="0.5">
      <c r="A22" s="53" t="s">
        <v>70</v>
      </c>
      <c r="B22" s="54"/>
      <c r="C22" s="17"/>
      <c r="D22" s="17"/>
      <c r="E22" s="50"/>
      <c r="F22" s="48"/>
      <c r="G22" s="49"/>
      <c r="H22" s="50"/>
      <c r="I22" s="17"/>
      <c r="J22" s="17"/>
      <c r="K22" s="50"/>
      <c r="L22" s="48"/>
      <c r="M22" s="49"/>
      <c r="N22" s="50"/>
      <c r="O22" s="48"/>
      <c r="P22" s="49"/>
    </row>
    <row r="23" spans="1:16" ht="17" x14ac:dyDescent="0.5">
      <c r="A23" s="53" t="s">
        <v>71</v>
      </c>
      <c r="B23" s="54"/>
      <c r="C23" s="17"/>
      <c r="D23" s="17"/>
      <c r="E23" s="50"/>
      <c r="F23" s="48"/>
      <c r="G23" s="49"/>
      <c r="H23" s="50"/>
      <c r="I23" s="17"/>
      <c r="J23" s="17"/>
      <c r="K23" s="50"/>
      <c r="L23" s="48"/>
      <c r="M23" s="49"/>
      <c r="N23" s="50"/>
      <c r="O23" s="48"/>
      <c r="P23" s="49"/>
    </row>
    <row r="24" spans="1:16" ht="17" x14ac:dyDescent="0.5">
      <c r="A24" s="53" t="s">
        <v>72</v>
      </c>
      <c r="B24" s="54"/>
      <c r="C24" s="17"/>
      <c r="D24" s="17"/>
      <c r="E24" s="50"/>
      <c r="F24" s="48"/>
      <c r="G24" s="49"/>
      <c r="H24" s="50"/>
      <c r="I24" s="17"/>
      <c r="J24" s="17"/>
      <c r="K24" s="50"/>
      <c r="L24" s="48"/>
      <c r="M24" s="49"/>
      <c r="N24" s="50"/>
      <c r="O24" s="48"/>
      <c r="P24" s="49"/>
    </row>
    <row r="25" spans="1:16" ht="17" x14ac:dyDescent="0.5">
      <c r="A25" s="53" t="s">
        <v>73</v>
      </c>
      <c r="B25" s="54"/>
      <c r="C25" s="17"/>
      <c r="D25" s="17"/>
      <c r="E25" s="50"/>
      <c r="F25" s="48"/>
      <c r="G25" s="49"/>
      <c r="H25" s="50"/>
      <c r="I25" s="17"/>
      <c r="J25" s="17"/>
      <c r="K25" s="50"/>
      <c r="L25" s="48"/>
      <c r="M25" s="49"/>
      <c r="N25" s="50"/>
      <c r="O25" s="48"/>
      <c r="P25" s="49"/>
    </row>
    <row r="26" spans="1:16" ht="17" x14ac:dyDescent="0.5">
      <c r="A26" s="53" t="s">
        <v>74</v>
      </c>
      <c r="B26" s="54"/>
      <c r="C26" s="17"/>
      <c r="D26" s="17"/>
      <c r="E26" s="50"/>
      <c r="F26" s="48"/>
      <c r="G26" s="49"/>
      <c r="H26" s="50"/>
      <c r="I26" s="17"/>
      <c r="J26" s="17"/>
      <c r="K26" s="50"/>
      <c r="L26" s="48"/>
      <c r="M26" s="49"/>
      <c r="N26" s="50"/>
      <c r="O26" s="48"/>
      <c r="P26" s="49"/>
    </row>
    <row r="27" spans="1:16" ht="17" x14ac:dyDescent="0.5">
      <c r="A27" s="53" t="s">
        <v>75</v>
      </c>
      <c r="B27" s="54"/>
      <c r="C27" s="17"/>
      <c r="D27" s="17"/>
      <c r="E27" s="50"/>
      <c r="F27" s="48"/>
      <c r="G27" s="49"/>
      <c r="H27" s="50"/>
      <c r="I27" s="17"/>
      <c r="J27" s="17"/>
      <c r="K27" s="50"/>
      <c r="L27" s="48"/>
      <c r="M27" s="49"/>
      <c r="N27" s="50"/>
      <c r="O27" s="48"/>
      <c r="P27" s="49"/>
    </row>
    <row r="28" spans="1:16" ht="17" x14ac:dyDescent="0.5">
      <c r="A28" s="53" t="s">
        <v>76</v>
      </c>
      <c r="B28" s="54"/>
      <c r="C28" s="17"/>
      <c r="D28" s="17"/>
      <c r="E28" s="50"/>
      <c r="F28" s="48"/>
      <c r="G28" s="49"/>
      <c r="H28" s="50"/>
      <c r="I28" s="17"/>
      <c r="J28" s="17"/>
      <c r="K28" s="50"/>
      <c r="L28" s="48"/>
      <c r="M28" s="49"/>
      <c r="N28" s="50"/>
      <c r="O28" s="48"/>
      <c r="P28" s="49"/>
    </row>
    <row r="29" spans="1:16" ht="17" x14ac:dyDescent="0.5">
      <c r="A29" s="17"/>
      <c r="B29" s="50"/>
      <c r="C29" s="17"/>
      <c r="D29" s="17"/>
      <c r="E29" s="50"/>
      <c r="F29" s="48"/>
      <c r="G29" s="49"/>
      <c r="H29" s="50"/>
      <c r="I29" s="17"/>
      <c r="J29" s="17"/>
      <c r="K29" s="50"/>
      <c r="L29" s="48"/>
      <c r="M29" s="49"/>
      <c r="N29" s="50"/>
      <c r="O29" s="48"/>
      <c r="P29" s="49"/>
    </row>
    <row r="30" spans="1:16" ht="17" x14ac:dyDescent="0.5">
      <c r="A30" s="55"/>
      <c r="B30" s="50"/>
      <c r="C30" s="17"/>
      <c r="D30" s="17"/>
      <c r="E30" s="47"/>
      <c r="F30" s="48"/>
      <c r="G30" s="49"/>
      <c r="H30" s="50"/>
      <c r="I30" s="17"/>
      <c r="J30" s="17"/>
      <c r="K30" s="50"/>
      <c r="L30" s="48"/>
      <c r="M30" s="49"/>
      <c r="N30" s="50"/>
      <c r="O30" s="48"/>
      <c r="P30" s="49"/>
    </row>
    <row r="31" spans="1:16" ht="17.5" thickBot="1" x14ac:dyDescent="0.55000000000000004">
      <c r="A31" s="17" t="s">
        <v>69</v>
      </c>
      <c r="B31" s="50"/>
      <c r="C31" s="46">
        <f>SUM(C5:C20)</f>
        <v>206640</v>
      </c>
      <c r="D31" s="46">
        <f>SUM(D5:D20)</f>
        <v>206640</v>
      </c>
      <c r="E31" s="50"/>
      <c r="F31" s="56"/>
      <c r="G31" s="57"/>
      <c r="H31" s="58"/>
      <c r="I31" s="17"/>
      <c r="J31" s="17"/>
      <c r="K31" s="58"/>
      <c r="L31" s="56"/>
      <c r="M31" s="57"/>
      <c r="N31" s="58"/>
      <c r="O31" s="56"/>
      <c r="P31" s="57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FE678-24D7-4F17-8C17-332E4659A9B1}">
  <dimension ref="A1:P36"/>
  <sheetViews>
    <sheetView tabSelected="1" workbookViewId="0">
      <selection activeCell="J24" sqref="J24"/>
    </sheetView>
  </sheetViews>
  <sheetFormatPr defaultRowHeight="14.5" x14ac:dyDescent="0.35"/>
  <cols>
    <col min="1" max="1" width="50.81640625" bestFit="1" customWidth="1"/>
    <col min="2" max="2" width="5.6328125" customWidth="1"/>
    <col min="3" max="4" width="9.1796875" bestFit="1" customWidth="1"/>
    <col min="5" max="5" width="5.7265625" customWidth="1"/>
    <col min="8" max="8" width="3.54296875" customWidth="1"/>
    <col min="11" max="11" width="3.1796875" customWidth="1"/>
    <col min="14" max="14" width="3.36328125" customWidth="1"/>
  </cols>
  <sheetData>
    <row r="1" spans="1:16" ht="29" x14ac:dyDescent="0.5">
      <c r="A1" s="15" t="s">
        <v>126</v>
      </c>
      <c r="B1" s="17"/>
      <c r="C1" s="21" t="s">
        <v>27</v>
      </c>
      <c r="D1" s="21" t="s">
        <v>64</v>
      </c>
      <c r="E1" s="22"/>
      <c r="F1" s="21" t="s">
        <v>65</v>
      </c>
      <c r="G1" s="21"/>
      <c r="H1" s="21"/>
      <c r="I1" s="21" t="s">
        <v>28</v>
      </c>
      <c r="J1" s="21" t="s">
        <v>64</v>
      </c>
      <c r="K1" s="21"/>
      <c r="L1" s="23" t="s">
        <v>66</v>
      </c>
      <c r="M1" s="23" t="s">
        <v>67</v>
      </c>
      <c r="N1" s="23"/>
      <c r="O1" s="21" t="s">
        <v>68</v>
      </c>
      <c r="P1" s="23"/>
    </row>
    <row r="2" spans="1:16" ht="17" x14ac:dyDescent="0.5">
      <c r="A2" s="15"/>
      <c r="B2" s="17"/>
      <c r="C2" s="17"/>
      <c r="D2" s="21"/>
      <c r="E2" s="22" t="s">
        <v>94</v>
      </c>
      <c r="F2" s="21"/>
      <c r="G2" s="21"/>
      <c r="H2" s="21"/>
      <c r="I2" s="17"/>
      <c r="J2" s="21"/>
      <c r="K2" s="21"/>
      <c r="L2" s="17"/>
      <c r="M2" s="23"/>
      <c r="N2" s="23"/>
      <c r="O2" s="23"/>
      <c r="P2" s="23"/>
    </row>
    <row r="3" spans="1:16" ht="18" x14ac:dyDescent="0.5">
      <c r="A3" s="19" t="s">
        <v>95</v>
      </c>
      <c r="B3" s="17"/>
      <c r="C3" s="22" t="s">
        <v>45</v>
      </c>
      <c r="D3" s="22" t="s">
        <v>46</v>
      </c>
      <c r="E3" s="22"/>
      <c r="F3" s="22" t="s">
        <v>45</v>
      </c>
      <c r="G3" s="22" t="s">
        <v>46</v>
      </c>
      <c r="H3" s="22"/>
      <c r="I3" s="22" t="s">
        <v>45</v>
      </c>
      <c r="J3" s="23" t="s">
        <v>46</v>
      </c>
      <c r="K3" s="23"/>
      <c r="L3" s="22" t="s">
        <v>45</v>
      </c>
      <c r="M3" s="22" t="s">
        <v>46</v>
      </c>
      <c r="N3" s="22"/>
      <c r="O3" s="22" t="s">
        <v>45</v>
      </c>
      <c r="P3" s="22" t="s">
        <v>46</v>
      </c>
    </row>
    <row r="4" spans="1:16" ht="18" x14ac:dyDescent="0.5">
      <c r="A4" s="19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</row>
    <row r="5" spans="1:16" ht="18" x14ac:dyDescent="0.5">
      <c r="A5" s="19" t="s">
        <v>78</v>
      </c>
      <c r="B5" s="17"/>
      <c r="C5" s="17">
        <v>5200</v>
      </c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</row>
    <row r="6" spans="1:16" ht="18" x14ac:dyDescent="0.5">
      <c r="A6" s="19" t="s">
        <v>96</v>
      </c>
      <c r="B6" s="17"/>
      <c r="C6" s="17">
        <v>9260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</row>
    <row r="7" spans="1:16" ht="18" x14ac:dyDescent="0.5">
      <c r="A7" s="19" t="s">
        <v>97</v>
      </c>
      <c r="B7" s="17"/>
      <c r="C7" s="17">
        <v>920</v>
      </c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</row>
    <row r="8" spans="1:16" ht="18" x14ac:dyDescent="0.5">
      <c r="A8" s="19" t="s">
        <v>79</v>
      </c>
      <c r="B8" s="17"/>
      <c r="C8" s="17">
        <v>1140</v>
      </c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</row>
    <row r="9" spans="1:16" ht="18" x14ac:dyDescent="0.5">
      <c r="A9" s="19" t="s">
        <v>98</v>
      </c>
      <c r="B9" s="17"/>
      <c r="C9" s="17">
        <v>60000</v>
      </c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</row>
    <row r="10" spans="1:16" ht="18" x14ac:dyDescent="0.5">
      <c r="A10" s="19" t="s">
        <v>99</v>
      </c>
      <c r="B10" s="17"/>
      <c r="C10" s="17">
        <v>152000</v>
      </c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</row>
    <row r="11" spans="1:16" ht="18" x14ac:dyDescent="0.5">
      <c r="A11" s="19" t="s">
        <v>100</v>
      </c>
      <c r="B11" s="17"/>
      <c r="C11" s="17"/>
      <c r="D11" s="17">
        <v>64000</v>
      </c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</row>
    <row r="12" spans="1:16" ht="18" x14ac:dyDescent="0.5">
      <c r="A12" s="19" t="s">
        <v>81</v>
      </c>
      <c r="B12" s="17"/>
      <c r="C12" s="17">
        <v>23400</v>
      </c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</row>
    <row r="13" spans="1:16" ht="18" x14ac:dyDescent="0.5">
      <c r="A13" s="19" t="s">
        <v>132</v>
      </c>
      <c r="B13" s="17"/>
      <c r="C13" s="17"/>
      <c r="D13" s="17">
        <v>6420</v>
      </c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</row>
    <row r="14" spans="1:16" ht="18" x14ac:dyDescent="0.5">
      <c r="A14" s="19" t="s">
        <v>101</v>
      </c>
      <c r="B14" s="17"/>
      <c r="C14" s="17"/>
      <c r="D14" s="17">
        <v>7960</v>
      </c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</row>
    <row r="15" spans="1:16" ht="18" x14ac:dyDescent="0.5">
      <c r="A15" s="19" t="s">
        <v>102</v>
      </c>
      <c r="B15" s="17"/>
      <c r="C15" s="17"/>
      <c r="D15" s="17">
        <v>1560</v>
      </c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</row>
    <row r="16" spans="1:16" ht="18" x14ac:dyDescent="0.5">
      <c r="A16" s="19" t="s">
        <v>103</v>
      </c>
      <c r="B16" s="17"/>
      <c r="C16" s="17"/>
      <c r="D16" s="17">
        <v>2000</v>
      </c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</row>
    <row r="17" spans="1:16" ht="18" x14ac:dyDescent="0.5">
      <c r="A17" s="19" t="s">
        <v>104</v>
      </c>
      <c r="B17" s="17"/>
      <c r="C17" s="17"/>
      <c r="D17" s="17">
        <v>88600</v>
      </c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</row>
    <row r="18" spans="1:16" ht="18" x14ac:dyDescent="0.5">
      <c r="A18" s="19" t="s">
        <v>105</v>
      </c>
      <c r="B18" s="17"/>
      <c r="C18" s="17"/>
      <c r="D18" s="17">
        <v>71490</v>
      </c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</row>
    <row r="19" spans="1:16" ht="18" x14ac:dyDescent="0.5">
      <c r="A19" s="19" t="s">
        <v>106</v>
      </c>
      <c r="B19" s="17"/>
      <c r="C19" s="17">
        <v>52780</v>
      </c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</row>
    <row r="20" spans="1:16" ht="18" x14ac:dyDescent="0.5">
      <c r="A20" s="19" t="s">
        <v>107</v>
      </c>
      <c r="B20" s="17"/>
      <c r="C20" s="17"/>
      <c r="D20" s="17">
        <v>156860</v>
      </c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</row>
    <row r="21" spans="1:16" ht="18" x14ac:dyDescent="0.5">
      <c r="A21" s="19" t="s">
        <v>71</v>
      </c>
      <c r="B21" s="17"/>
      <c r="C21" s="17">
        <v>1660</v>
      </c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</row>
    <row r="22" spans="1:16" ht="18" x14ac:dyDescent="0.5">
      <c r="A22" s="19" t="s">
        <v>85</v>
      </c>
      <c r="B22" s="17"/>
      <c r="C22" s="17">
        <v>87940</v>
      </c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</row>
    <row r="23" spans="1:16" ht="18" x14ac:dyDescent="0.5">
      <c r="A23" s="19" t="s">
        <v>89</v>
      </c>
      <c r="B23" s="17"/>
      <c r="C23" s="17">
        <v>760</v>
      </c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</row>
    <row r="24" spans="1:16" ht="18" x14ac:dyDescent="0.5">
      <c r="A24" s="19" t="s">
        <v>91</v>
      </c>
      <c r="B24" s="17"/>
      <c r="C24" s="17">
        <v>2090</v>
      </c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</row>
    <row r="25" spans="1:16" ht="18" x14ac:dyDescent="0.5">
      <c r="A25" s="19" t="s">
        <v>108</v>
      </c>
      <c r="B25" s="17"/>
      <c r="C25" s="17">
        <v>1740</v>
      </c>
      <c r="D25" s="17" t="s">
        <v>63</v>
      </c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</row>
    <row r="26" spans="1:16" ht="18" x14ac:dyDescent="0.5">
      <c r="A26" s="20" t="s">
        <v>127</v>
      </c>
      <c r="B26" s="18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</row>
    <row r="27" spans="1:16" ht="18" x14ac:dyDescent="0.5">
      <c r="A27" s="20" t="s">
        <v>128</v>
      </c>
      <c r="B27" s="18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</row>
    <row r="28" spans="1:16" ht="18" x14ac:dyDescent="0.5">
      <c r="A28" s="20" t="s">
        <v>129</v>
      </c>
      <c r="B28" s="18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</row>
    <row r="29" spans="1:16" ht="18" x14ac:dyDescent="0.5">
      <c r="A29" s="20" t="s">
        <v>80</v>
      </c>
      <c r="B29" s="18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</row>
    <row r="30" spans="1:16" ht="18" x14ac:dyDescent="0.5">
      <c r="A30" s="20" t="s">
        <v>76</v>
      </c>
      <c r="B30" s="18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</row>
    <row r="31" spans="1:16" ht="18" x14ac:dyDescent="0.5">
      <c r="A31" s="20" t="s">
        <v>130</v>
      </c>
      <c r="B31" s="18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</row>
    <row r="32" spans="1:16" ht="18" x14ac:dyDescent="0.5">
      <c r="A32" s="20" t="s">
        <v>73</v>
      </c>
      <c r="B32" s="18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</row>
    <row r="33" spans="1:16" ht="18" x14ac:dyDescent="0.5">
      <c r="A33" s="20"/>
      <c r="B33" s="18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</row>
    <row r="34" spans="1:16" ht="18" x14ac:dyDescent="0.5">
      <c r="A34" s="20" t="s">
        <v>131</v>
      </c>
      <c r="B34" s="18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</row>
    <row r="35" spans="1:16" ht="18" x14ac:dyDescent="0.5">
      <c r="A35" s="19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</row>
    <row r="36" spans="1:16" ht="17" x14ac:dyDescent="0.5">
      <c r="A36" s="15"/>
      <c r="B36" s="17"/>
      <c r="C36" s="17">
        <f>SUM(C5:C35)</f>
        <v>398890</v>
      </c>
      <c r="D36" s="17">
        <f>SUM(D5:D35)</f>
        <v>398890</v>
      </c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70836-D79F-4864-89CC-B27D7E0A03DC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B4DE-EA90-4F91-8180-6C1E6B7C8861}">
  <dimension ref="A2:L32"/>
  <sheetViews>
    <sheetView workbookViewId="0">
      <selection activeCell="A33" sqref="A33"/>
    </sheetView>
  </sheetViews>
  <sheetFormatPr defaultRowHeight="14.5" x14ac:dyDescent="0.35"/>
  <cols>
    <col min="1" max="1" width="21.08984375" bestFit="1" customWidth="1"/>
    <col min="2" max="2" width="11.81640625" customWidth="1"/>
    <col min="10" max="10" width="9.26953125" bestFit="1" customWidth="1"/>
  </cols>
  <sheetData>
    <row r="2" spans="1:12" x14ac:dyDescent="0.35">
      <c r="A2" s="15" t="s">
        <v>77</v>
      </c>
      <c r="B2" s="15" t="s">
        <v>27</v>
      </c>
      <c r="C2" s="15"/>
      <c r="D2" s="15"/>
      <c r="E2" s="15" t="s">
        <v>65</v>
      </c>
      <c r="F2" s="15"/>
      <c r="G2" s="15" t="s">
        <v>28</v>
      </c>
      <c r="H2" s="15"/>
      <c r="I2" s="15" t="s">
        <v>66</v>
      </c>
      <c r="J2" s="15" t="s">
        <v>67</v>
      </c>
      <c r="K2" s="15" t="s">
        <v>68</v>
      </c>
      <c r="L2" s="15"/>
    </row>
    <row r="3" spans="1:12" x14ac:dyDescent="0.35">
      <c r="A3" s="15"/>
      <c r="B3" s="15" t="s">
        <v>64</v>
      </c>
      <c r="C3" s="15"/>
      <c r="D3" s="15"/>
      <c r="E3" s="15"/>
      <c r="F3" s="15"/>
      <c r="G3" s="15" t="s">
        <v>64</v>
      </c>
      <c r="H3" s="15"/>
      <c r="J3" s="15"/>
      <c r="K3" s="15"/>
      <c r="L3" s="15"/>
    </row>
    <row r="4" spans="1:12" x14ac:dyDescent="0.35">
      <c r="A4" s="15"/>
      <c r="B4" s="15" t="s">
        <v>45</v>
      </c>
      <c r="C4" s="15" t="s">
        <v>46</v>
      </c>
      <c r="D4" s="15"/>
      <c r="E4" s="15" t="s">
        <v>45</v>
      </c>
      <c r="F4" s="15" t="s">
        <v>46</v>
      </c>
      <c r="G4" s="15" t="s">
        <v>45</v>
      </c>
      <c r="H4" s="15" t="s">
        <v>46</v>
      </c>
      <c r="I4" s="15" t="s">
        <v>45</v>
      </c>
      <c r="J4" s="15" t="s">
        <v>46</v>
      </c>
      <c r="K4" s="15" t="s">
        <v>45</v>
      </c>
      <c r="L4" s="15" t="s">
        <v>46</v>
      </c>
    </row>
    <row r="5" spans="1:12" x14ac:dyDescent="0.35">
      <c r="A5" s="15" t="s">
        <v>78</v>
      </c>
      <c r="B5" s="15">
        <v>6200</v>
      </c>
      <c r="C5" s="15"/>
      <c r="D5" s="15"/>
      <c r="E5" s="15"/>
      <c r="F5" s="15"/>
      <c r="G5" s="15">
        <v>6200</v>
      </c>
      <c r="H5" s="15"/>
      <c r="I5" s="15"/>
      <c r="J5" s="15"/>
      <c r="K5" s="15">
        <v>6200</v>
      </c>
      <c r="L5" s="15"/>
    </row>
    <row r="6" spans="1:12" x14ac:dyDescent="0.35">
      <c r="A6" s="15" t="s">
        <v>79</v>
      </c>
      <c r="B6" s="15">
        <v>7260</v>
      </c>
      <c r="C6" s="15"/>
      <c r="D6" s="15">
        <v>1</v>
      </c>
      <c r="E6" s="15"/>
      <c r="F6" s="15">
        <v>4940</v>
      </c>
      <c r="G6" s="15">
        <v>2320</v>
      </c>
      <c r="H6" s="15"/>
      <c r="I6" s="15"/>
      <c r="J6" s="15"/>
      <c r="K6" s="15">
        <v>2320</v>
      </c>
      <c r="L6" s="15"/>
    </row>
    <row r="7" spans="1:12" x14ac:dyDescent="0.35">
      <c r="A7" s="15" t="s">
        <v>80</v>
      </c>
      <c r="B7" s="15">
        <v>1725</v>
      </c>
      <c r="C7" s="15"/>
      <c r="D7" s="15">
        <v>2</v>
      </c>
      <c r="E7" s="15"/>
      <c r="F7" s="15">
        <v>1185</v>
      </c>
      <c r="G7" s="15">
        <v>540</v>
      </c>
      <c r="H7" s="15"/>
      <c r="I7" s="15"/>
      <c r="J7" s="15"/>
      <c r="K7" s="15">
        <v>540</v>
      </c>
      <c r="L7" s="15"/>
    </row>
    <row r="8" spans="1:12" x14ac:dyDescent="0.35">
      <c r="A8" s="15" t="s">
        <v>81</v>
      </c>
      <c r="B8" s="15">
        <v>82800</v>
      </c>
      <c r="C8" s="15"/>
      <c r="D8" s="15"/>
      <c r="E8" s="15"/>
      <c r="F8" s="15"/>
      <c r="G8" s="15">
        <v>82800</v>
      </c>
      <c r="H8" s="15"/>
      <c r="I8" s="15"/>
      <c r="J8" s="15"/>
      <c r="K8" s="15">
        <v>82800</v>
      </c>
      <c r="L8" s="15"/>
    </row>
    <row r="9" spans="1:12" x14ac:dyDescent="0.35">
      <c r="A9" s="15" t="s">
        <v>82</v>
      </c>
      <c r="B9" s="15"/>
      <c r="C9" s="15">
        <v>14600</v>
      </c>
      <c r="D9" s="15">
        <v>3</v>
      </c>
      <c r="E9" s="15"/>
      <c r="F9" s="15">
        <v>7400</v>
      </c>
      <c r="G9" s="15"/>
      <c r="H9" s="15">
        <v>22000</v>
      </c>
      <c r="I9" s="15"/>
      <c r="J9" s="15"/>
      <c r="K9" s="15"/>
      <c r="L9" s="15">
        <v>22000</v>
      </c>
    </row>
    <row r="10" spans="1:12" x14ac:dyDescent="0.35">
      <c r="A10" s="15" t="s">
        <v>83</v>
      </c>
      <c r="B10" s="15"/>
      <c r="C10" s="15">
        <v>50000</v>
      </c>
      <c r="D10" s="15"/>
      <c r="E10" s="15"/>
      <c r="F10" s="15"/>
      <c r="G10" s="15"/>
      <c r="H10" s="15">
        <v>50000</v>
      </c>
      <c r="I10" s="15"/>
      <c r="J10" s="15"/>
      <c r="K10" s="15"/>
      <c r="L10" s="15">
        <v>50000</v>
      </c>
    </row>
    <row r="11" spans="1:12" x14ac:dyDescent="0.35">
      <c r="A11" s="15" t="s">
        <v>53</v>
      </c>
      <c r="B11" s="15"/>
      <c r="C11" s="15">
        <v>15540</v>
      </c>
      <c r="D11" s="15"/>
      <c r="E11" s="15"/>
      <c r="F11" s="15"/>
      <c r="G11" s="15"/>
      <c r="H11" s="15">
        <v>15540</v>
      </c>
      <c r="I11" s="15"/>
      <c r="J11" s="15"/>
      <c r="K11" s="15"/>
      <c r="L11" s="15">
        <v>15540</v>
      </c>
    </row>
    <row r="12" spans="1:12" x14ac:dyDescent="0.35">
      <c r="A12" s="15" t="s">
        <v>54</v>
      </c>
      <c r="B12" s="15">
        <v>27000</v>
      </c>
      <c r="C12" s="15"/>
      <c r="D12" s="15"/>
      <c r="E12" s="15"/>
      <c r="F12" s="15"/>
      <c r="G12" s="15">
        <v>27000</v>
      </c>
      <c r="H12" s="15"/>
      <c r="I12" s="15"/>
      <c r="J12" s="15"/>
      <c r="K12" s="15">
        <v>27000</v>
      </c>
      <c r="L12" s="15"/>
    </row>
    <row r="13" spans="1:12" x14ac:dyDescent="0.35">
      <c r="A13" s="15" t="s">
        <v>84</v>
      </c>
      <c r="B13" s="15"/>
      <c r="C13" s="15">
        <v>126500</v>
      </c>
      <c r="D13" s="15"/>
      <c r="E13" s="15"/>
      <c r="F13" s="15"/>
      <c r="G13" s="15"/>
      <c r="H13" s="15">
        <v>126500</v>
      </c>
      <c r="I13" s="15"/>
      <c r="J13" s="15">
        <v>126500</v>
      </c>
      <c r="K13" s="15"/>
      <c r="L13" s="15"/>
    </row>
    <row r="14" spans="1:12" x14ac:dyDescent="0.35">
      <c r="A14" s="15" t="s">
        <v>85</v>
      </c>
      <c r="B14" s="15">
        <v>63250</v>
      </c>
      <c r="C14" s="15"/>
      <c r="D14" s="15">
        <v>4</v>
      </c>
      <c r="E14" s="15">
        <v>260</v>
      </c>
      <c r="F14" s="15"/>
      <c r="G14" s="15">
        <v>63510</v>
      </c>
      <c r="H14" s="15"/>
      <c r="I14" s="15">
        <v>63510</v>
      </c>
      <c r="J14" s="15"/>
      <c r="K14" s="15"/>
      <c r="L14" s="15"/>
    </row>
    <row r="15" spans="1:12" x14ac:dyDescent="0.35">
      <c r="A15" s="15" t="s">
        <v>86</v>
      </c>
      <c r="B15" s="15">
        <v>2250</v>
      </c>
      <c r="C15" s="15"/>
      <c r="D15" s="15"/>
      <c r="E15" s="15"/>
      <c r="F15" s="15"/>
      <c r="G15" s="15">
        <v>2250</v>
      </c>
      <c r="H15" s="15"/>
      <c r="I15" s="15">
        <v>2250</v>
      </c>
      <c r="J15" s="15"/>
      <c r="K15" s="15"/>
      <c r="L15" s="15"/>
    </row>
    <row r="16" spans="1:12" x14ac:dyDescent="0.35">
      <c r="A16" s="15" t="s">
        <v>87</v>
      </c>
      <c r="B16" s="15">
        <v>1260</v>
      </c>
      <c r="C16" s="15"/>
      <c r="D16" s="15"/>
      <c r="E16" s="15"/>
      <c r="F16" s="15"/>
      <c r="G16" s="15">
        <v>1260</v>
      </c>
      <c r="H16" s="15"/>
      <c r="I16" s="15">
        <v>1260</v>
      </c>
      <c r="J16" s="15"/>
      <c r="K16" s="15"/>
      <c r="L16" s="15"/>
    </row>
    <row r="17" spans="1:12" x14ac:dyDescent="0.35">
      <c r="A17" s="15" t="s">
        <v>88</v>
      </c>
      <c r="B17" s="15">
        <v>7520</v>
      </c>
      <c r="C17" s="15"/>
      <c r="D17" s="15"/>
      <c r="E17" s="15"/>
      <c r="F17" s="15"/>
      <c r="G17" s="15">
        <v>7520</v>
      </c>
      <c r="H17" s="15"/>
      <c r="I17" s="15">
        <v>7520</v>
      </c>
      <c r="J17" s="15"/>
      <c r="K17" s="15"/>
      <c r="L17" s="15"/>
    </row>
    <row r="18" spans="1:12" x14ac:dyDescent="0.35">
      <c r="A18" s="15" t="s">
        <v>89</v>
      </c>
      <c r="B18" s="15">
        <v>3405</v>
      </c>
      <c r="C18" s="15"/>
      <c r="D18" s="15">
        <v>5</v>
      </c>
      <c r="E18" s="15">
        <v>830</v>
      </c>
      <c r="F18" s="15"/>
      <c r="G18" s="15">
        <v>4235</v>
      </c>
      <c r="H18" s="15"/>
      <c r="I18" s="15">
        <v>4235</v>
      </c>
      <c r="J18" s="15"/>
      <c r="K18" s="15"/>
      <c r="L18" s="15"/>
    </row>
    <row r="19" spans="1:12" x14ac:dyDescent="0.35">
      <c r="A19" s="15" t="s">
        <v>90</v>
      </c>
      <c r="B19" s="15">
        <v>2620</v>
      </c>
      <c r="C19" s="15"/>
      <c r="D19" s="15">
        <v>6</v>
      </c>
      <c r="E19" s="15">
        <v>425</v>
      </c>
      <c r="F19" s="15"/>
      <c r="G19" s="15">
        <v>3045</v>
      </c>
      <c r="H19" s="15"/>
      <c r="I19" s="15">
        <v>3045</v>
      </c>
      <c r="J19" s="15"/>
      <c r="K19" s="15"/>
      <c r="L19" s="15"/>
    </row>
    <row r="20" spans="1:12" x14ac:dyDescent="0.35">
      <c r="A20" s="15" t="s">
        <v>91</v>
      </c>
      <c r="B20" s="15">
        <v>1350</v>
      </c>
      <c r="C20" s="15"/>
      <c r="D20" s="15">
        <v>7</v>
      </c>
      <c r="E20" s="15">
        <v>250</v>
      </c>
      <c r="F20" s="15"/>
      <c r="G20" s="15">
        <v>1600</v>
      </c>
      <c r="H20" s="15"/>
      <c r="I20" s="15">
        <v>1600</v>
      </c>
      <c r="J20" s="15"/>
      <c r="K20" s="15"/>
      <c r="L20" s="15"/>
    </row>
    <row r="21" spans="1:12" x14ac:dyDescent="0.35">
      <c r="A21" s="15"/>
      <c r="B21" s="15">
        <v>206640</v>
      </c>
      <c r="C21" s="15">
        <v>206640</v>
      </c>
      <c r="D21" s="15"/>
      <c r="E21" s="15"/>
      <c r="F21" s="15"/>
      <c r="G21" s="15"/>
      <c r="H21" s="15"/>
      <c r="I21" s="15"/>
      <c r="J21" s="15"/>
      <c r="K21" s="15"/>
      <c r="L21" s="15"/>
    </row>
    <row r="22" spans="1:12" x14ac:dyDescent="0.35">
      <c r="A22" s="15" t="s">
        <v>70</v>
      </c>
      <c r="B22" s="15"/>
      <c r="C22" s="15"/>
      <c r="D22" s="15">
        <v>1</v>
      </c>
      <c r="E22" s="15">
        <v>4940</v>
      </c>
      <c r="F22" s="15"/>
      <c r="G22" s="15">
        <v>4940</v>
      </c>
      <c r="H22" s="15"/>
      <c r="I22" s="15">
        <v>4940</v>
      </c>
      <c r="J22" s="15"/>
      <c r="K22" s="15"/>
      <c r="L22" s="15"/>
    </row>
    <row r="23" spans="1:12" x14ac:dyDescent="0.35">
      <c r="A23" s="15" t="s">
        <v>71</v>
      </c>
      <c r="B23" s="15"/>
      <c r="C23" s="15"/>
      <c r="D23" s="15">
        <v>2</v>
      </c>
      <c r="E23" s="15">
        <v>1185</v>
      </c>
      <c r="F23" s="15"/>
      <c r="G23" s="15">
        <v>1185</v>
      </c>
      <c r="H23" s="15"/>
      <c r="I23" s="15">
        <v>1185</v>
      </c>
      <c r="J23" s="15"/>
      <c r="K23" s="15"/>
      <c r="L23" s="15"/>
    </row>
    <row r="24" spans="1:12" x14ac:dyDescent="0.35">
      <c r="A24" s="15" t="s">
        <v>72</v>
      </c>
      <c r="B24" s="15"/>
      <c r="C24" s="15"/>
      <c r="D24" s="15">
        <v>3</v>
      </c>
      <c r="E24" s="15">
        <v>7400</v>
      </c>
      <c r="F24" s="15"/>
      <c r="G24" s="15">
        <v>7400</v>
      </c>
      <c r="H24" s="15"/>
      <c r="I24" s="15">
        <v>7400</v>
      </c>
      <c r="J24" s="15"/>
      <c r="K24" s="15"/>
      <c r="L24" s="15"/>
    </row>
    <row r="25" spans="1:12" x14ac:dyDescent="0.35">
      <c r="A25" s="15" t="s">
        <v>73</v>
      </c>
      <c r="B25" s="15"/>
      <c r="C25" s="15"/>
      <c r="D25" s="15">
        <v>4</v>
      </c>
      <c r="E25" s="15"/>
      <c r="F25" s="15">
        <v>260</v>
      </c>
      <c r="G25" s="15"/>
      <c r="H25" s="15">
        <v>260</v>
      </c>
      <c r="I25" s="15"/>
      <c r="J25" s="15"/>
      <c r="K25" s="15"/>
      <c r="L25" s="15">
        <v>260</v>
      </c>
    </row>
    <row r="26" spans="1:12" x14ac:dyDescent="0.35">
      <c r="A26" s="15" t="s">
        <v>74</v>
      </c>
      <c r="B26" s="15"/>
      <c r="C26" s="15"/>
      <c r="D26" s="15">
        <v>5</v>
      </c>
      <c r="E26" s="15"/>
      <c r="F26" s="15">
        <v>830</v>
      </c>
      <c r="G26" s="15"/>
      <c r="H26" s="15">
        <v>830</v>
      </c>
      <c r="I26" s="15"/>
      <c r="J26" s="15"/>
      <c r="K26" s="15"/>
      <c r="L26" s="15">
        <v>830</v>
      </c>
    </row>
    <row r="27" spans="1:12" x14ac:dyDescent="0.35">
      <c r="A27" s="15" t="s">
        <v>75</v>
      </c>
      <c r="B27" s="15"/>
      <c r="C27" s="15"/>
      <c r="D27" s="15">
        <v>6</v>
      </c>
      <c r="E27" s="15"/>
      <c r="F27" s="15">
        <v>425</v>
      </c>
      <c r="G27" s="15"/>
      <c r="H27" s="15">
        <v>425</v>
      </c>
      <c r="I27" s="15"/>
      <c r="J27" s="15"/>
      <c r="K27" s="15"/>
      <c r="L27" s="15">
        <v>425</v>
      </c>
    </row>
    <row r="28" spans="1:12" x14ac:dyDescent="0.35">
      <c r="A28" s="15" t="s">
        <v>76</v>
      </c>
      <c r="B28" s="15"/>
      <c r="C28" s="15"/>
      <c r="D28" s="15">
        <v>7</v>
      </c>
      <c r="E28" s="15"/>
      <c r="F28" s="15">
        <v>250</v>
      </c>
      <c r="G28" s="15"/>
      <c r="H28" s="15">
        <v>250</v>
      </c>
      <c r="I28" s="15"/>
      <c r="J28" s="15"/>
      <c r="K28" s="15"/>
      <c r="L28" s="15">
        <v>250</v>
      </c>
    </row>
    <row r="29" spans="1:12" x14ac:dyDescent="0.35">
      <c r="A29" s="15" t="s">
        <v>93</v>
      </c>
      <c r="B29" s="15"/>
      <c r="C29" s="15"/>
      <c r="D29" s="15"/>
      <c r="E29" s="15"/>
      <c r="F29" s="15"/>
      <c r="G29" s="15"/>
      <c r="H29" s="15"/>
      <c r="I29" s="15">
        <v>96945</v>
      </c>
      <c r="J29" s="15">
        <v>126500</v>
      </c>
      <c r="K29" s="15">
        <v>118860</v>
      </c>
      <c r="L29" s="15">
        <v>89305</v>
      </c>
    </row>
    <row r="30" spans="1:12" x14ac:dyDescent="0.35">
      <c r="A30" s="15" t="s">
        <v>92</v>
      </c>
      <c r="B30" s="15"/>
      <c r="C30" s="15"/>
      <c r="D30" s="15"/>
      <c r="E30" s="15"/>
      <c r="F30" s="15"/>
      <c r="G30" s="15"/>
      <c r="H30" s="15"/>
      <c r="I30" s="15">
        <v>29555</v>
      </c>
      <c r="J30" s="15"/>
      <c r="K30" s="15"/>
      <c r="L30" s="15">
        <v>29555</v>
      </c>
    </row>
    <row r="31" spans="1:12" x14ac:dyDescent="0.35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</row>
    <row r="32" spans="1:12" x14ac:dyDescent="0.35">
      <c r="A32" s="15" t="s">
        <v>69</v>
      </c>
      <c r="B32" s="15"/>
      <c r="C32" s="15"/>
      <c r="D32" s="15"/>
      <c r="E32" s="15">
        <f>SUM(E5:E31)</f>
        <v>15290</v>
      </c>
      <c r="F32" s="15">
        <f t="shared" ref="F32:H32" si="0">SUM(F5:F31)</f>
        <v>15290</v>
      </c>
      <c r="G32" s="15">
        <f t="shared" si="0"/>
        <v>215805</v>
      </c>
      <c r="H32" s="15">
        <f t="shared" si="0"/>
        <v>215805</v>
      </c>
      <c r="I32" s="15">
        <f>SUM(I29:I30)</f>
        <v>126500</v>
      </c>
      <c r="J32" s="15">
        <f>SUM(J29:J30)</f>
        <v>126500</v>
      </c>
      <c r="K32" s="15">
        <f>SUM(K29:K30)</f>
        <v>118860</v>
      </c>
      <c r="L32" s="15">
        <f>SUM(L29:L30)</f>
        <v>118860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43036-475E-442E-9214-8F3E938FBBFF}">
  <dimension ref="A2:K39"/>
  <sheetViews>
    <sheetView workbookViewId="0">
      <selection activeCell="H25" sqref="H25"/>
    </sheetView>
  </sheetViews>
  <sheetFormatPr defaultRowHeight="14.5" x14ac:dyDescent="0.35"/>
  <cols>
    <col min="1" max="1" width="32.7265625" customWidth="1"/>
    <col min="2" max="2" width="8.81640625" bestFit="1" customWidth="1"/>
    <col min="3" max="3" width="11.1796875" bestFit="1" customWidth="1"/>
    <col min="4" max="4" width="8.81640625" bestFit="1" customWidth="1"/>
    <col min="5" max="5" width="12" bestFit="1" customWidth="1"/>
    <col min="6" max="6" width="11" customWidth="1"/>
    <col min="7" max="7" width="11.6328125" customWidth="1"/>
    <col min="8" max="8" width="12.54296875" customWidth="1"/>
    <col min="9" max="9" width="11.1796875" customWidth="1"/>
    <col min="10" max="10" width="10.453125" customWidth="1"/>
    <col min="11" max="11" width="10.81640625" customWidth="1"/>
  </cols>
  <sheetData>
    <row r="2" spans="1:11" ht="17" x14ac:dyDescent="0.5">
      <c r="A2" s="55"/>
      <c r="B2" s="55" t="s">
        <v>133</v>
      </c>
      <c r="C2" s="55"/>
      <c r="D2" s="55" t="s">
        <v>65</v>
      </c>
      <c r="E2" s="55"/>
      <c r="F2" s="55" t="s">
        <v>134</v>
      </c>
      <c r="G2" s="55"/>
      <c r="H2" s="55" t="s">
        <v>135</v>
      </c>
      <c r="I2" s="55"/>
      <c r="J2" s="55" t="s">
        <v>68</v>
      </c>
      <c r="K2" s="55"/>
    </row>
    <row r="3" spans="1:11" ht="17" x14ac:dyDescent="0.5">
      <c r="A3" s="55" t="s">
        <v>77</v>
      </c>
      <c r="B3" s="55" t="s">
        <v>45</v>
      </c>
      <c r="C3" s="55" t="s">
        <v>46</v>
      </c>
      <c r="D3" s="55" t="s">
        <v>45</v>
      </c>
      <c r="E3" s="55" t="s">
        <v>46</v>
      </c>
      <c r="F3" s="55" t="s">
        <v>45</v>
      </c>
      <c r="G3" s="55" t="s">
        <v>46</v>
      </c>
      <c r="H3" s="55" t="s">
        <v>136</v>
      </c>
      <c r="I3" s="55" t="s">
        <v>46</v>
      </c>
      <c r="J3" s="55" t="s">
        <v>45</v>
      </c>
      <c r="K3" s="55" t="s">
        <v>46</v>
      </c>
    </row>
    <row r="4" spans="1:11" ht="17" x14ac:dyDescent="0.5">
      <c r="A4" s="55" t="s">
        <v>78</v>
      </c>
      <c r="B4" s="55" t="s">
        <v>137</v>
      </c>
      <c r="C4" s="55"/>
      <c r="D4" s="55"/>
      <c r="E4" s="55"/>
      <c r="F4" s="55" t="s">
        <v>137</v>
      </c>
      <c r="G4" s="55"/>
      <c r="H4" s="55"/>
      <c r="I4" s="55"/>
      <c r="J4" s="55" t="s">
        <v>137</v>
      </c>
      <c r="K4" s="55"/>
    </row>
    <row r="5" spans="1:11" ht="17" x14ac:dyDescent="0.5">
      <c r="A5" s="55" t="s">
        <v>96</v>
      </c>
      <c r="B5" s="55" t="s">
        <v>109</v>
      </c>
      <c r="C5" s="55"/>
      <c r="D5" s="55"/>
      <c r="E5" s="55"/>
      <c r="F5" s="55" t="s">
        <v>109</v>
      </c>
      <c r="G5" s="55"/>
      <c r="H5" s="55"/>
      <c r="I5" s="55"/>
      <c r="J5" s="55" t="s">
        <v>109</v>
      </c>
      <c r="K5" s="55"/>
    </row>
    <row r="6" spans="1:11" ht="17" x14ac:dyDescent="0.5">
      <c r="A6" s="55" t="s">
        <v>97</v>
      </c>
      <c r="B6" s="55">
        <v>920</v>
      </c>
      <c r="C6" s="55"/>
      <c r="D6" s="55"/>
      <c r="E6" s="55"/>
      <c r="F6" s="55">
        <v>920</v>
      </c>
      <c r="G6" s="55"/>
      <c r="H6" s="55"/>
      <c r="I6" s="55"/>
      <c r="J6" s="55">
        <v>920</v>
      </c>
      <c r="K6" s="55"/>
    </row>
    <row r="7" spans="1:11" ht="17" x14ac:dyDescent="0.5">
      <c r="A7" s="55" t="s">
        <v>79</v>
      </c>
      <c r="B7" s="55" t="s">
        <v>110</v>
      </c>
      <c r="C7" s="55"/>
      <c r="D7" s="55"/>
      <c r="E7" s="55" t="s">
        <v>138</v>
      </c>
      <c r="F7" s="55">
        <v>420</v>
      </c>
      <c r="G7" s="55"/>
      <c r="H7" s="55"/>
      <c r="I7" s="55"/>
      <c r="J7" s="55">
        <v>420</v>
      </c>
      <c r="K7" s="55"/>
    </row>
    <row r="8" spans="1:11" ht="17" x14ac:dyDescent="0.5">
      <c r="A8" s="55" t="s">
        <v>98</v>
      </c>
      <c r="B8" s="55" t="s">
        <v>111</v>
      </c>
      <c r="C8" s="55"/>
      <c r="D8" s="55"/>
      <c r="E8" s="55"/>
      <c r="F8" s="55" t="s">
        <v>111</v>
      </c>
      <c r="G8" s="55"/>
      <c r="H8" s="55"/>
      <c r="I8" s="55"/>
      <c r="J8" s="55" t="s">
        <v>111</v>
      </c>
      <c r="K8" s="55"/>
    </row>
    <row r="9" spans="1:11" ht="17" x14ac:dyDescent="0.5">
      <c r="A9" s="55" t="s">
        <v>99</v>
      </c>
      <c r="B9" s="55" t="s">
        <v>112</v>
      </c>
      <c r="C9" s="55"/>
      <c r="D9" s="55"/>
      <c r="E9" s="55"/>
      <c r="F9" s="55" t="s">
        <v>112</v>
      </c>
      <c r="G9" s="55"/>
      <c r="H9" s="55"/>
      <c r="I9" s="55"/>
      <c r="J9" s="55" t="s">
        <v>112</v>
      </c>
      <c r="K9" s="55"/>
    </row>
    <row r="10" spans="1:11" ht="17" x14ac:dyDescent="0.5">
      <c r="A10" s="55" t="s">
        <v>139</v>
      </c>
      <c r="B10" s="55"/>
      <c r="C10" s="55" t="s">
        <v>140</v>
      </c>
      <c r="D10" s="55"/>
      <c r="E10" s="55" t="s">
        <v>141</v>
      </c>
      <c r="F10" s="55"/>
      <c r="G10" s="55" t="s">
        <v>142</v>
      </c>
      <c r="H10" s="55"/>
      <c r="I10" s="55"/>
      <c r="J10" s="55"/>
      <c r="K10" s="55" t="s">
        <v>142</v>
      </c>
    </row>
    <row r="11" spans="1:11" ht="17" x14ac:dyDescent="0.5">
      <c r="A11" s="55" t="s">
        <v>81</v>
      </c>
      <c r="B11" s="55" t="s">
        <v>113</v>
      </c>
      <c r="C11" s="55"/>
      <c r="D11" s="55"/>
      <c r="E11" s="55"/>
      <c r="F11" s="55" t="s">
        <v>113</v>
      </c>
      <c r="G11" s="55"/>
      <c r="H11" s="55"/>
      <c r="I11" s="55"/>
      <c r="J11" s="55" t="s">
        <v>113</v>
      </c>
      <c r="K11" s="55"/>
    </row>
    <row r="12" spans="1:11" ht="17" x14ac:dyDescent="0.5">
      <c r="A12" s="55" t="s">
        <v>143</v>
      </c>
      <c r="B12" s="55"/>
      <c r="C12" s="55" t="s">
        <v>118</v>
      </c>
      <c r="D12" s="55"/>
      <c r="E12" s="55" t="s">
        <v>144</v>
      </c>
      <c r="F12" s="55"/>
      <c r="G12" s="55" t="s">
        <v>145</v>
      </c>
      <c r="H12" s="55"/>
      <c r="I12" s="55"/>
      <c r="J12" s="55"/>
      <c r="K12" s="55" t="s">
        <v>145</v>
      </c>
    </row>
    <row r="13" spans="1:11" ht="17" x14ac:dyDescent="0.5">
      <c r="A13" s="55" t="s">
        <v>101</v>
      </c>
      <c r="B13" s="55"/>
      <c r="C13" s="55" t="s">
        <v>119</v>
      </c>
      <c r="D13" s="55"/>
      <c r="E13" s="55"/>
      <c r="F13" s="55"/>
      <c r="G13" s="55" t="s">
        <v>119</v>
      </c>
      <c r="H13" s="55"/>
      <c r="I13" s="55"/>
      <c r="J13" s="55"/>
      <c r="K13" s="55" t="s">
        <v>119</v>
      </c>
    </row>
    <row r="14" spans="1:11" ht="17" x14ac:dyDescent="0.5">
      <c r="A14" s="55" t="s">
        <v>103</v>
      </c>
      <c r="B14" s="55"/>
      <c r="C14" s="55" t="s">
        <v>121</v>
      </c>
      <c r="D14" s="55"/>
      <c r="E14" s="55"/>
      <c r="F14" s="55"/>
      <c r="G14" s="55" t="s">
        <v>121</v>
      </c>
      <c r="H14" s="55"/>
      <c r="I14" s="55"/>
      <c r="J14" s="55"/>
      <c r="K14" s="55" t="s">
        <v>121</v>
      </c>
    </row>
    <row r="15" spans="1:11" ht="17" x14ac:dyDescent="0.5">
      <c r="A15" s="55" t="s">
        <v>102</v>
      </c>
      <c r="B15" s="55"/>
      <c r="C15" s="55" t="s">
        <v>120</v>
      </c>
      <c r="D15" s="55" t="s">
        <v>146</v>
      </c>
      <c r="E15" s="55"/>
      <c r="F15" s="55"/>
      <c r="G15" s="55">
        <v>360</v>
      </c>
      <c r="H15" s="55"/>
      <c r="I15" s="55"/>
      <c r="J15" s="55"/>
      <c r="K15" s="55">
        <v>360</v>
      </c>
    </row>
    <row r="16" spans="1:11" ht="17" x14ac:dyDescent="0.5">
      <c r="A16" s="55" t="s">
        <v>104</v>
      </c>
      <c r="B16" s="55"/>
      <c r="C16" s="55" t="s">
        <v>122</v>
      </c>
      <c r="D16" s="55"/>
      <c r="E16" s="55"/>
      <c r="F16" s="55"/>
      <c r="G16" s="55" t="s">
        <v>122</v>
      </c>
      <c r="H16" s="55"/>
      <c r="I16" s="55"/>
      <c r="J16" s="55"/>
      <c r="K16" s="55" t="s">
        <v>122</v>
      </c>
    </row>
    <row r="17" spans="1:11" ht="17" x14ac:dyDescent="0.5">
      <c r="A17" s="55" t="s">
        <v>105</v>
      </c>
      <c r="B17" s="55"/>
      <c r="C17" s="55" t="s">
        <v>123</v>
      </c>
      <c r="D17" s="55"/>
      <c r="E17" s="55"/>
      <c r="F17" s="55"/>
      <c r="G17" s="55" t="s">
        <v>123</v>
      </c>
      <c r="H17" s="55"/>
      <c r="I17" s="55"/>
      <c r="J17" s="55"/>
      <c r="K17" s="55" t="s">
        <v>123</v>
      </c>
    </row>
    <row r="18" spans="1:11" ht="17" x14ac:dyDescent="0.5">
      <c r="A18" s="55" t="s">
        <v>106</v>
      </c>
      <c r="B18" s="55" t="s">
        <v>114</v>
      </c>
      <c r="C18" s="55"/>
      <c r="D18" s="55"/>
      <c r="E18" s="55"/>
      <c r="F18" s="55" t="s">
        <v>114</v>
      </c>
      <c r="G18" s="55"/>
      <c r="H18" s="55"/>
      <c r="I18" s="55"/>
      <c r="J18" s="55" t="s">
        <v>114</v>
      </c>
      <c r="K18" s="55"/>
    </row>
    <row r="19" spans="1:11" ht="17" x14ac:dyDescent="0.5">
      <c r="A19" s="55" t="s">
        <v>107</v>
      </c>
      <c r="B19" s="55"/>
      <c r="C19" s="55" t="s">
        <v>124</v>
      </c>
      <c r="D19" s="55"/>
      <c r="E19" s="55" t="s">
        <v>147</v>
      </c>
      <c r="F19" s="55"/>
      <c r="G19" s="55" t="s">
        <v>148</v>
      </c>
      <c r="H19" s="55"/>
      <c r="I19" s="55" t="s">
        <v>148</v>
      </c>
      <c r="J19" s="55"/>
      <c r="K19" s="55"/>
    </row>
    <row r="20" spans="1:11" ht="17" x14ac:dyDescent="0.5">
      <c r="A20" s="55" t="s">
        <v>71</v>
      </c>
      <c r="B20" s="55" t="s">
        <v>115</v>
      </c>
      <c r="C20" s="55"/>
      <c r="D20" s="55"/>
      <c r="E20" s="55" t="s">
        <v>149</v>
      </c>
      <c r="F20" s="55">
        <v>1075</v>
      </c>
      <c r="G20" s="55"/>
      <c r="H20" s="55">
        <v>1075</v>
      </c>
      <c r="I20" s="55"/>
      <c r="J20" s="55"/>
      <c r="K20" s="55"/>
    </row>
    <row r="21" spans="1:11" ht="17" x14ac:dyDescent="0.5">
      <c r="A21" s="55"/>
      <c r="B21" s="55"/>
      <c r="C21" s="55"/>
      <c r="D21" s="55"/>
      <c r="E21" s="55"/>
      <c r="F21" s="55"/>
      <c r="G21" s="55"/>
      <c r="H21" s="55"/>
      <c r="I21" s="55"/>
      <c r="J21" s="55"/>
      <c r="K21" s="55"/>
    </row>
    <row r="22" spans="1:11" ht="17" x14ac:dyDescent="0.5">
      <c r="A22" s="55" t="s">
        <v>85</v>
      </c>
      <c r="B22" s="55" t="s">
        <v>116</v>
      </c>
      <c r="C22" s="55"/>
      <c r="D22" s="55" t="s">
        <v>150</v>
      </c>
      <c r="E22" s="55"/>
      <c r="F22" s="55" t="s">
        <v>151</v>
      </c>
      <c r="G22" s="55"/>
      <c r="H22" s="55" t="s">
        <v>151</v>
      </c>
      <c r="I22" s="55"/>
      <c r="J22" s="55"/>
      <c r="K22" s="55"/>
    </row>
    <row r="23" spans="1:11" ht="17" x14ac:dyDescent="0.5">
      <c r="A23" s="55" t="s">
        <v>89</v>
      </c>
      <c r="B23" s="55">
        <v>760</v>
      </c>
      <c r="C23" s="55"/>
      <c r="D23" s="55"/>
      <c r="E23" s="55"/>
      <c r="F23" s="55">
        <v>760</v>
      </c>
      <c r="G23" s="55"/>
      <c r="H23" s="55">
        <v>760</v>
      </c>
      <c r="I23" s="55"/>
      <c r="J23" s="55"/>
      <c r="K23" s="55"/>
    </row>
    <row r="24" spans="1:11" ht="17" x14ac:dyDescent="0.5">
      <c r="A24" s="55" t="s">
        <v>91</v>
      </c>
      <c r="B24" s="55" t="s">
        <v>117</v>
      </c>
      <c r="C24" s="55"/>
      <c r="D24" s="55" t="s">
        <v>152</v>
      </c>
      <c r="E24" s="55"/>
      <c r="F24" s="55" t="s">
        <v>153</v>
      </c>
      <c r="G24" s="55"/>
      <c r="H24" s="55" t="s">
        <v>153</v>
      </c>
      <c r="I24" s="55"/>
      <c r="J24" s="55"/>
      <c r="K24" s="55"/>
    </row>
    <row r="25" spans="1:11" ht="17" x14ac:dyDescent="0.5">
      <c r="A25" s="55" t="s">
        <v>108</v>
      </c>
      <c r="B25" s="55" t="s">
        <v>154</v>
      </c>
      <c r="C25" s="55"/>
      <c r="D25" s="55" t="s">
        <v>155</v>
      </c>
      <c r="E25" s="55"/>
      <c r="F25" s="55" t="s">
        <v>156</v>
      </c>
      <c r="G25" s="55"/>
      <c r="H25" s="55" t="s">
        <v>156</v>
      </c>
      <c r="I25" s="55"/>
      <c r="J25" s="55"/>
      <c r="K25" s="55"/>
    </row>
    <row r="26" spans="1:11" ht="17" x14ac:dyDescent="0.5">
      <c r="A26" s="55"/>
      <c r="D26" s="55"/>
      <c r="E26" s="55"/>
      <c r="F26" s="55"/>
      <c r="G26" s="55"/>
      <c r="H26" s="55"/>
      <c r="I26" s="55"/>
      <c r="J26" s="55"/>
      <c r="K26" s="55"/>
    </row>
    <row r="27" spans="1:11" ht="17" x14ac:dyDescent="0.5">
      <c r="A27" s="55" t="s">
        <v>127</v>
      </c>
      <c r="B27" s="55"/>
      <c r="C27" s="55"/>
      <c r="D27" s="55" t="s">
        <v>157</v>
      </c>
      <c r="E27" s="55"/>
      <c r="F27" s="55">
        <v>720</v>
      </c>
      <c r="G27" s="55"/>
      <c r="H27" s="55">
        <v>720</v>
      </c>
      <c r="I27" s="55"/>
      <c r="J27" s="55"/>
      <c r="K27" s="55"/>
    </row>
    <row r="28" spans="1:11" ht="17" x14ac:dyDescent="0.5">
      <c r="A28" s="55" t="s">
        <v>128</v>
      </c>
      <c r="B28" s="55"/>
      <c r="C28" s="55"/>
      <c r="D28" s="55" t="s">
        <v>158</v>
      </c>
      <c r="E28" s="55"/>
      <c r="F28" s="55" t="s">
        <v>159</v>
      </c>
      <c r="G28" s="55"/>
      <c r="H28" s="55" t="s">
        <v>159</v>
      </c>
      <c r="I28" s="55"/>
      <c r="J28" s="55"/>
      <c r="K28" s="55"/>
    </row>
    <row r="29" spans="1:11" ht="17" x14ac:dyDescent="0.5">
      <c r="A29" s="55" t="s">
        <v>129</v>
      </c>
      <c r="B29" s="55"/>
      <c r="C29" s="55"/>
      <c r="D29" s="55" t="s">
        <v>160</v>
      </c>
      <c r="E29" s="55"/>
      <c r="F29" s="55" t="s">
        <v>161</v>
      </c>
      <c r="G29" s="55"/>
      <c r="H29" s="55" t="s">
        <v>161</v>
      </c>
      <c r="I29" s="55"/>
      <c r="J29" s="55"/>
      <c r="K29" s="55"/>
    </row>
    <row r="30" spans="1:11" ht="17" x14ac:dyDescent="0.5">
      <c r="A30" s="55" t="s">
        <v>80</v>
      </c>
      <c r="B30" s="55"/>
      <c r="C30" s="55"/>
      <c r="D30" s="55" t="s">
        <v>162</v>
      </c>
      <c r="E30" s="55"/>
      <c r="F30" s="55">
        <v>585</v>
      </c>
      <c r="G30" s="55"/>
      <c r="H30" s="55"/>
      <c r="I30" s="55"/>
      <c r="J30" s="55">
        <v>585</v>
      </c>
      <c r="K30" s="55"/>
    </row>
    <row r="31" spans="1:11" ht="17" x14ac:dyDescent="0.5">
      <c r="A31" s="55"/>
      <c r="B31" s="55"/>
      <c r="C31" s="55"/>
      <c r="D31" s="55"/>
      <c r="E31" s="55"/>
      <c r="F31" s="55"/>
      <c r="G31" s="55"/>
      <c r="H31" s="55"/>
      <c r="I31" s="55"/>
      <c r="J31" s="55"/>
      <c r="K31" s="55"/>
    </row>
    <row r="32" spans="1:11" ht="17" x14ac:dyDescent="0.5">
      <c r="A32" s="55" t="s">
        <v>76</v>
      </c>
      <c r="B32" s="55"/>
      <c r="C32" s="55"/>
      <c r="D32" s="55"/>
      <c r="E32" s="55" t="s">
        <v>163</v>
      </c>
      <c r="F32" s="55"/>
      <c r="G32" s="55">
        <v>220</v>
      </c>
      <c r="H32" s="55"/>
      <c r="I32" s="55"/>
      <c r="J32" s="55"/>
      <c r="K32" s="55">
        <v>220</v>
      </c>
    </row>
    <row r="33" spans="1:11" ht="17" x14ac:dyDescent="0.5">
      <c r="A33" s="55" t="s">
        <v>130</v>
      </c>
      <c r="B33" s="55"/>
      <c r="C33" s="55"/>
      <c r="D33" s="55"/>
      <c r="E33" s="55" t="s">
        <v>164</v>
      </c>
      <c r="F33" s="55"/>
      <c r="G33" s="55">
        <v>320</v>
      </c>
      <c r="H33" s="55"/>
      <c r="I33" s="55"/>
      <c r="J33" s="55"/>
      <c r="K33" s="55">
        <v>320</v>
      </c>
    </row>
    <row r="34" spans="1:11" ht="17" x14ac:dyDescent="0.5">
      <c r="A34" s="55" t="s">
        <v>73</v>
      </c>
      <c r="B34" s="55"/>
      <c r="C34" s="55"/>
      <c r="D34" s="55"/>
      <c r="E34" s="55" t="s">
        <v>165</v>
      </c>
      <c r="F34" s="55"/>
      <c r="G34" s="55">
        <v>980</v>
      </c>
      <c r="H34" s="55"/>
      <c r="I34" s="55"/>
      <c r="J34" s="55"/>
      <c r="K34" s="55">
        <v>980</v>
      </c>
    </row>
    <row r="35" spans="1:11" ht="17" x14ac:dyDescent="0.5">
      <c r="A35" s="55"/>
      <c r="B35" s="55"/>
      <c r="C35" s="55"/>
      <c r="H35" s="55">
        <v>106745</v>
      </c>
      <c r="I35" s="55" t="s">
        <v>148</v>
      </c>
      <c r="J35" s="55" t="s">
        <v>168</v>
      </c>
      <c r="K35" s="55" t="s">
        <v>169</v>
      </c>
    </row>
    <row r="36" spans="1:11" ht="17" x14ac:dyDescent="0.5">
      <c r="A36" s="55"/>
      <c r="B36" s="55"/>
      <c r="C36" s="55"/>
      <c r="D36" s="55"/>
      <c r="E36" s="55"/>
      <c r="F36" s="55"/>
      <c r="G36" s="55"/>
      <c r="H36" s="55"/>
      <c r="I36" s="55"/>
      <c r="J36" s="55"/>
      <c r="K36" s="55"/>
    </row>
    <row r="37" spans="1:11" ht="17" x14ac:dyDescent="0.5">
      <c r="A37" s="55" t="s">
        <v>131</v>
      </c>
      <c r="B37" s="55"/>
      <c r="C37" s="55"/>
      <c r="D37" s="55"/>
      <c r="E37" s="55"/>
      <c r="F37" s="55"/>
      <c r="G37" s="55"/>
      <c r="H37" s="55">
        <v>51315</v>
      </c>
      <c r="I37" s="55"/>
      <c r="J37" s="55"/>
      <c r="K37" s="55">
        <v>51315</v>
      </c>
    </row>
    <row r="38" spans="1:11" ht="17" x14ac:dyDescent="0.5">
      <c r="A38" s="55"/>
      <c r="B38" s="55"/>
      <c r="C38" s="55"/>
      <c r="D38" s="55"/>
      <c r="E38" s="55"/>
      <c r="F38" s="55"/>
      <c r="G38" s="55"/>
      <c r="H38" s="55"/>
      <c r="I38" s="55"/>
      <c r="J38" s="55"/>
      <c r="K38" s="55"/>
    </row>
    <row r="39" spans="1:11" ht="17" x14ac:dyDescent="0.5">
      <c r="A39" s="55" t="s">
        <v>170</v>
      </c>
      <c r="B39" s="55" t="s">
        <v>125</v>
      </c>
      <c r="C39" s="55" t="s">
        <v>125</v>
      </c>
      <c r="D39" s="55">
        <v>14925</v>
      </c>
      <c r="E39" s="55" t="s">
        <v>166</v>
      </c>
      <c r="F39" s="55" t="s">
        <v>167</v>
      </c>
      <c r="G39" s="55" t="s">
        <v>167</v>
      </c>
      <c r="H39" s="55" t="s">
        <v>148</v>
      </c>
      <c r="I39" s="55" t="s">
        <v>148</v>
      </c>
      <c r="J39" s="55" t="s">
        <v>168</v>
      </c>
      <c r="K39" s="55" t="s">
        <v>168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</vt:lpstr>
      <vt:lpstr>System (2)</vt:lpstr>
      <vt:lpstr>P5.1Q</vt:lpstr>
      <vt:lpstr>P5.4Q</vt:lpstr>
      <vt:lpstr>ANSWER</vt:lpstr>
      <vt:lpstr>P5.1 Answer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Manek Mukesh</dc:creator>
  <cp:lastModifiedBy>Manek Mukesh</cp:lastModifiedBy>
  <dcterms:created xsi:type="dcterms:W3CDTF">2025-04-09T22:11:37Z</dcterms:created>
  <dcterms:modified xsi:type="dcterms:W3CDTF">2025-04-14T22:47:28Z</dcterms:modified>
</cp:coreProperties>
</file>