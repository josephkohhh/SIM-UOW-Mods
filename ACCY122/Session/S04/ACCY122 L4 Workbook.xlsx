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ph/Desktop/SIM-UOW-Mods/ACCY122/Session/S04/"/>
    </mc:Choice>
  </mc:AlternateContent>
  <xr:revisionPtr revIDLastSave="0" documentId="13_ncr:1_{80AF51A3-F80C-EA4E-A5D7-308ACCDC4FC7}" xr6:coauthVersionLast="47" xr6:coauthVersionMax="47" xr10:uidLastSave="{00000000-0000-0000-0000-000000000000}"/>
  <bookViews>
    <workbookView xWindow="0" yWindow="500" windowWidth="33600" windowHeight="18760" xr2:uid="{49300C88-9C68-40D1-BFDB-69B44FEEA068}"/>
  </bookViews>
  <sheets>
    <sheet name="System" sheetId="1" r:id="rId1"/>
    <sheet name="System (2)" sheetId="2" r:id="rId2"/>
    <sheet name="5.1Q" sheetId="9" r:id="rId3"/>
    <sheet name="P5.1Q" sheetId="3" r:id="rId4"/>
    <sheet name="P5.4Q" sheetId="6" r:id="rId5"/>
    <sheet name="ANSWER" sheetId="4" r:id="rId6"/>
    <sheet name="5.1A" sheetId="8" r:id="rId7"/>
    <sheet name="P5.1 Answer" sheetId="5" r:id="rId8"/>
    <sheet name="Sheet2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8" l="1"/>
  <c r="G12" i="6" l="1"/>
  <c r="G10" i="6"/>
  <c r="U27" i="3"/>
  <c r="U23" i="3"/>
  <c r="T22" i="3"/>
  <c r="S22" i="3"/>
  <c r="T10" i="3"/>
  <c r="U7" i="3"/>
  <c r="T6" i="3"/>
  <c r="P29" i="3"/>
  <c r="P31" i="3" s="1"/>
  <c r="O31" i="3"/>
  <c r="M31" i="3"/>
  <c r="L31" i="3"/>
  <c r="L32" i="3" s="1"/>
  <c r="J26" i="3"/>
  <c r="J27" i="3"/>
  <c r="J28" i="3"/>
  <c r="J25" i="3"/>
  <c r="J13" i="3"/>
  <c r="J10" i="3"/>
  <c r="J11" i="3"/>
  <c r="J9" i="3"/>
  <c r="I23" i="3"/>
  <c r="I24" i="3"/>
  <c r="I22" i="3"/>
  <c r="I15" i="3"/>
  <c r="I16" i="3"/>
  <c r="I17" i="3"/>
  <c r="I18" i="3"/>
  <c r="I19" i="3"/>
  <c r="I20" i="3"/>
  <c r="I14" i="3"/>
  <c r="I12" i="3"/>
  <c r="I6" i="3"/>
  <c r="I7" i="3"/>
  <c r="I8" i="3"/>
  <c r="I5" i="3"/>
  <c r="G31" i="3"/>
  <c r="F31" i="3"/>
  <c r="D35" i="6"/>
  <c r="C35" i="6"/>
  <c r="L32" i="5"/>
  <c r="K32" i="5"/>
  <c r="J32" i="5"/>
  <c r="I32" i="5"/>
  <c r="F32" i="5"/>
  <c r="G32" i="5"/>
  <c r="H32" i="5"/>
  <c r="E32" i="5"/>
  <c r="D31" i="3"/>
  <c r="C31" i="3"/>
  <c r="I31" i="3" l="1"/>
  <c r="J3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tc={BB583F4E-C610-4749-8F69-7BBCCF1CC978}</author>
    <author>tc={D5A623B3-D662-4FAD-B7DC-B39312AD72BF}</author>
  </authors>
  <commentList>
    <comment ref="G4" authorId="0" shapeId="0" xr:uid="{BB583F4E-C610-4749-8F69-7BBCCF1CC978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D5A623B3-D662-4FAD-B7DC-B39312AD72BF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sharedStrings.xml><?xml version="1.0" encoding="utf-8"?>
<sst xmlns="http://schemas.openxmlformats.org/spreadsheetml/2006/main" count="514" uniqueCount="233">
  <si>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</si>
  <si>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</si>
  <si>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</si>
  <si>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</si>
  <si>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</si>
  <si>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</si>
  <si>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</si>
  <si>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Transactions</t>
  </si>
  <si>
    <t>Daily</t>
  </si>
  <si>
    <t>BDA</t>
  </si>
  <si>
    <t>Closing Entries</t>
  </si>
  <si>
    <t>↓</t>
  </si>
  <si>
    <t>$ Debit</t>
  </si>
  <si>
    <t>Credit $</t>
  </si>
  <si>
    <t>PROCESS</t>
  </si>
  <si>
    <t>JOURNAL</t>
  </si>
  <si>
    <t>1,2,3,4</t>
  </si>
  <si>
    <t>Reset revenue to 0</t>
  </si>
  <si>
    <t>Revenue</t>
  </si>
  <si>
    <t>$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</si>
  <si>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</si>
  <si>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</si>
  <si>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</si>
  <si>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</si>
  <si>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</si>
  <si>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</si>
  <si>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</si>
  <si>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</si>
  <si>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</si>
  <si>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</si>
  <si>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</si>
  <si>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To reset expense to 0</t>
  </si>
  <si>
    <t>OUTPUT</t>
  </si>
  <si>
    <t>Financial Statements</t>
  </si>
  <si>
    <t>Open accounts for next year</t>
  </si>
  <si>
    <t>Transfer Profit to retained earning or capital</t>
  </si>
  <si>
    <t>Capital / Retained Earning</t>
  </si>
  <si>
    <t>(Transfer profit)</t>
  </si>
  <si>
    <t>Transfer drawings to capital</t>
  </si>
  <si>
    <t>Capital</t>
  </si>
  <si>
    <t>Drawings</t>
  </si>
  <si>
    <t>To reset drawing to 0</t>
  </si>
  <si>
    <t>SECRETARIAL SERVICES</t>
  </si>
  <si>
    <t>Unadjusted Trial Balance</t>
  </si>
  <si>
    <t>as at 31 December 2017</t>
  </si>
  <si>
    <t>Debit</t>
  </si>
  <si>
    <t>Credit</t>
  </si>
  <si>
    <t>Cash at bank</t>
  </si>
  <si>
    <t>Office supplies</t>
  </si>
  <si>
    <t>Prepaid insurance</t>
  </si>
  <si>
    <t>Office equipment</t>
  </si>
  <si>
    <t>Accumulated depreciation – office equipment</t>
  </si>
  <si>
    <t>V. Prim, Capital</t>
  </si>
  <si>
    <t>V. Prim, Drawings</t>
  </si>
  <si>
    <t>Secretarial services revenue</t>
  </si>
  <si>
    <t>Salaries expense</t>
  </si>
  <si>
    <t>Advertising expense</t>
  </si>
  <si>
    <t>Repairs expense</t>
  </si>
  <si>
    <t>Sundry expense</t>
  </si>
  <si>
    <t>Electricity expense</t>
  </si>
  <si>
    <t>Telephone expense</t>
  </si>
  <si>
    <t>Interest on bank loan expense</t>
  </si>
  <si>
    <t>            </t>
  </si>
  <si>
    <t>Trial Balance</t>
  </si>
  <si>
    <t>Adjustments</t>
  </si>
  <si>
    <t>Income</t>
  </si>
  <si>
    <t>Statement</t>
  </si>
  <si>
    <t>Balance sheet</t>
  </si>
  <si>
    <t>Total</t>
  </si>
  <si>
    <t>Office Supp. Expense</t>
  </si>
  <si>
    <t>Insurance Expense</t>
  </si>
  <si>
    <t>Depr. Exp. – Office equip.</t>
  </si>
  <si>
    <t>Salaries Payable</t>
  </si>
  <si>
    <t>Electricity Payable</t>
  </si>
  <si>
    <t>Telephone Payable</t>
  </si>
  <si>
    <t>Interest Payable</t>
  </si>
  <si>
    <t>Account title</t>
  </si>
  <si>
    <t>Cash at Bank</t>
  </si>
  <si>
    <t>Office Supplies</t>
  </si>
  <si>
    <t>Prepaid Insurance</t>
  </si>
  <si>
    <t>Office Equipment</t>
  </si>
  <si>
    <t>Acc. Depr.– Office Equip.</t>
  </si>
  <si>
    <t>Bank Loan Payable</t>
  </si>
  <si>
    <t>Secretarial Services Rev.</t>
  </si>
  <si>
    <t>Salaries Expense</t>
  </si>
  <si>
    <t>Advertising Expense</t>
  </si>
  <si>
    <t>Repairs Expense</t>
  </si>
  <si>
    <t>Sundry Expense</t>
  </si>
  <si>
    <t>Electricity Expense</t>
  </si>
  <si>
    <t>Telephone Expense</t>
  </si>
  <si>
    <t>Interest Expense</t>
  </si>
  <si>
    <t>Profit for the period</t>
  </si>
  <si>
    <t>Sub total</t>
  </si>
  <si>
    <t>Ref</t>
  </si>
  <si>
    <t>Account</t>
  </si>
  <si>
    <t>Accounts Receivable</t>
  </si>
  <si>
    <t>GST Receivable</t>
  </si>
  <si>
    <t>Land</t>
  </si>
  <si>
    <t>Building</t>
  </si>
  <si>
    <t>Accounts Payable</t>
  </si>
  <si>
    <t>Unearned Consulting Fees</t>
  </si>
  <si>
    <t>GST Payable</t>
  </si>
  <si>
    <t>Mortgage Payable</t>
  </si>
  <si>
    <t>C. Delaney, Capital</t>
  </si>
  <si>
    <t>C. Delaney, Drawings</t>
  </si>
  <si>
    <t>Consulting Fees Revenue</t>
  </si>
  <si>
    <t>Telecommunications Expense</t>
  </si>
  <si>
    <t>9 260</t>
  </si>
  <si>
    <t>1 140</t>
  </si>
  <si>
    <t>60 000</t>
  </si>
  <si>
    <t>152 000</t>
  </si>
  <si>
    <t>23 400</t>
  </si>
  <si>
    <t>52 780</t>
  </si>
  <si>
    <t>1 660</t>
  </si>
  <si>
    <t>87 940</t>
  </si>
  <si>
    <t>2 090</t>
  </si>
  <si>
    <t>6 420</t>
  </si>
  <si>
    <t>7 960</t>
  </si>
  <si>
    <t>1 560</t>
  </si>
  <si>
    <t>2 000</t>
  </si>
  <si>
    <t>88 600</t>
  </si>
  <si>
    <t>71 490</t>
  </si>
  <si>
    <t>156 860</t>
  </si>
  <si>
    <t>$398 890</t>
  </si>
  <si>
    <t>Problem 5.4</t>
  </si>
  <si>
    <t>Office Supplies Expense</t>
  </si>
  <si>
    <t>Depr. Exp. Building</t>
  </si>
  <si>
    <t>Depr. Exp. – Office Equip.</t>
  </si>
  <si>
    <t>Telecomm. Expense Payable</t>
  </si>
  <si>
    <t>Profit for the year</t>
  </si>
  <si>
    <t>Unadjusted trial balance</t>
  </si>
  <si>
    <t>Adjusted trial balance</t>
  </si>
  <si>
    <t>Income statement</t>
  </si>
  <si>
    <t xml:space="preserve">Debit </t>
  </si>
  <si>
    <t>5 200</t>
  </si>
  <si>
    <t>(1)     720</t>
  </si>
  <si>
    <t>Acc. Depr. Building</t>
  </si>
  <si>
    <t>64 000</t>
  </si>
  <si>
    <t xml:space="preserve">(3)  8 760 </t>
  </si>
  <si>
    <t>72 760</t>
  </si>
  <si>
    <t>Acc. Depr. Office Equip.</t>
  </si>
  <si>
    <t xml:space="preserve">(3)  2 140 </t>
  </si>
  <si>
    <t>8 560</t>
  </si>
  <si>
    <t>(2)  1 200</t>
  </si>
  <si>
    <t xml:space="preserve">(2)  1 200 </t>
  </si>
  <si>
    <t>158 060</t>
  </si>
  <si>
    <t xml:space="preserve">(4)    585  </t>
  </si>
  <si>
    <t>(7)    980</t>
  </si>
  <si>
    <t>88 920</t>
  </si>
  <si>
    <t>(5)   220</t>
  </si>
  <si>
    <t>2 310</t>
  </si>
  <si>
    <t>1 740</t>
  </si>
  <si>
    <t>(6)    320</t>
  </si>
  <si>
    <t>2 060</t>
  </si>
  <si>
    <t xml:space="preserve">(1)     720 </t>
  </si>
  <si>
    <t>(3)  8 760</t>
  </si>
  <si>
    <t>8 760</t>
  </si>
  <si>
    <t>(3)  2 140</t>
  </si>
  <si>
    <t>2 140</t>
  </si>
  <si>
    <t>(4)585    195</t>
  </si>
  <si>
    <t xml:space="preserve">(5)   220 </t>
  </si>
  <si>
    <t xml:space="preserve">(6)    320 </t>
  </si>
  <si>
    <t xml:space="preserve">(7)    980 </t>
  </si>
  <si>
    <t>14 925</t>
  </si>
  <si>
    <t>411 310</t>
  </si>
  <si>
    <t>304 565</t>
  </si>
  <si>
    <t>253 250</t>
  </si>
  <si>
    <t>Totals</t>
  </si>
  <si>
    <t>BS, IS</t>
  </si>
  <si>
    <t>Transition to</t>
  </si>
  <si>
    <t>BDA, Adjustments</t>
  </si>
  <si>
    <t>A</t>
  </si>
  <si>
    <t>R</t>
  </si>
  <si>
    <t>C</t>
  </si>
  <si>
    <t>E</t>
  </si>
  <si>
    <t>L</t>
  </si>
  <si>
    <t>(A)</t>
  </si>
  <si>
    <t>Bank loan payable</t>
  </si>
  <si>
    <t xml:space="preserve"> ( C)</t>
  </si>
  <si>
    <t>Net Profit (Bal Fig)</t>
  </si>
  <si>
    <t>Date</t>
  </si>
  <si>
    <t>Details</t>
  </si>
  <si>
    <t>$ Dr</t>
  </si>
  <si>
    <t>$ Cr</t>
  </si>
  <si>
    <t>31.12.2017</t>
  </si>
  <si>
    <t>Interest expense</t>
  </si>
  <si>
    <t>Net income transfer to RP</t>
  </si>
  <si>
    <t>Retained Profit, Capital</t>
  </si>
  <si>
    <t>Reset drawing to 0</t>
  </si>
  <si>
    <t>Acc Depreciation – Building</t>
  </si>
  <si>
    <t>Acc Depreciation – O Equip</t>
  </si>
  <si>
    <t>Debit $</t>
  </si>
  <si>
    <t>Account 2</t>
  </si>
  <si>
    <t>Account 1</t>
  </si>
  <si>
    <t>CLEAR</t>
  </si>
  <si>
    <t>Dr Cr</t>
  </si>
  <si>
    <t>↓↑</t>
  </si>
  <si>
    <t>2,3</t>
  </si>
  <si>
    <t>OS Exp</t>
  </si>
  <si>
    <t>O Suplies</t>
  </si>
  <si>
    <t>E↑</t>
  </si>
  <si>
    <t>A↓</t>
  </si>
  <si>
    <t>Asset, Exp</t>
  </si>
  <si>
    <t>Liab, Rev Cap</t>
  </si>
  <si>
    <t>↑</t>
  </si>
  <si>
    <t>O S Expense</t>
  </si>
  <si>
    <t>O Supplies</t>
  </si>
  <si>
    <t>working</t>
  </si>
  <si>
    <t>(O Supplies used up)</t>
  </si>
  <si>
    <t>Ins Exp</t>
  </si>
  <si>
    <t>Prepaid Ins</t>
  </si>
  <si>
    <t>Insurance Exp</t>
  </si>
  <si>
    <t>(Insurance expired)</t>
  </si>
  <si>
    <t>O Equip</t>
  </si>
  <si>
    <t>Dep Exp</t>
  </si>
  <si>
    <t>Cr</t>
  </si>
  <si>
    <t>Dr</t>
  </si>
  <si>
    <t>Dep exp on O Equip</t>
  </si>
  <si>
    <t>Salary Exp</t>
  </si>
  <si>
    <t>Salary Payable</t>
  </si>
  <si>
    <t>L↑</t>
  </si>
  <si>
    <t>(Accrued salary exp)</t>
  </si>
  <si>
    <t>Elect Exp</t>
  </si>
  <si>
    <t>Elec Payable</t>
  </si>
  <si>
    <t>Elect exp</t>
  </si>
  <si>
    <t>Elect Payable</t>
  </si>
  <si>
    <t>(Accrued elect exp)</t>
  </si>
  <si>
    <t>Tel Exp</t>
  </si>
  <si>
    <t>Tel Payable</t>
  </si>
  <si>
    <t>(Accrued Tel exp)</t>
  </si>
  <si>
    <t>Int Exp</t>
  </si>
  <si>
    <t>Int Payable</t>
  </si>
  <si>
    <t>for journals always start with with dr side 1st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</si>
</sst>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 Black"/>
      <family val="2"/>
    </font>
    <font>
      <sz val="8"/>
      <color theme="1"/>
      <name val="Arial Black"/>
      <family val="2"/>
    </font>
    <font>
      <sz val="12"/>
      <color theme="1"/>
      <name val="Arial Black"/>
      <family val="2"/>
    </font>
    <font>
      <sz val="9"/>
      <color theme="1"/>
      <name val="Arial Black"/>
      <family val="2"/>
    </font>
    <font>
      <b/>
      <sz val="10"/>
      <color theme="1"/>
      <name val="Arial Black"/>
      <family val="2"/>
    </font>
    <font>
      <sz val="10"/>
      <color theme="1"/>
      <name val="Arial Black"/>
      <family val="2"/>
    </font>
    <font>
      <u/>
      <sz val="10"/>
      <color theme="1"/>
      <name val="Arial Black"/>
      <family val="2"/>
    </font>
    <font>
      <sz val="11"/>
      <color theme="1"/>
      <name val="Aptos Narrow"/>
      <family val="2"/>
    </font>
    <font>
      <sz val="11"/>
      <color rgb="FFFF0000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10" xfId="0" applyFont="1" applyBorder="1"/>
    <xf numFmtId="0" fontId="3" fillId="0" borderId="10" xfId="0" applyFont="1" applyBorder="1" applyAlignment="1">
      <alignment vertical="center" wrapText="1"/>
    </xf>
    <xf numFmtId="0" fontId="4" fillId="0" borderId="10" xfId="0" applyFont="1" applyBorder="1"/>
    <xf numFmtId="0" fontId="4" fillId="0" borderId="10" xfId="0" applyFont="1" applyBorder="1" applyAlignment="1">
      <alignment vertical="center" wrapText="1"/>
    </xf>
    <xf numFmtId="0" fontId="5" fillId="0" borderId="10" xfId="0" applyFont="1" applyBorder="1" applyAlignment="1">
      <alignment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2" fillId="0" borderId="4" xfId="0" applyFont="1" applyBorder="1"/>
    <xf numFmtId="0" fontId="7" fillId="0" borderId="10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7" fillId="0" borderId="10" xfId="0" applyFont="1" applyBorder="1" applyAlignment="1">
      <alignment horizontal="justify" vertical="center" wrapText="1"/>
    </xf>
    <xf numFmtId="0" fontId="7" fillId="0" borderId="12" xfId="0" applyFont="1" applyBorder="1" applyAlignment="1">
      <alignment horizontal="justify" vertical="center" wrapText="1"/>
    </xf>
    <xf numFmtId="0" fontId="2" fillId="0" borderId="12" xfId="0" applyFont="1" applyBorder="1"/>
    <xf numFmtId="0" fontId="5" fillId="0" borderId="10" xfId="0" applyFont="1" applyBorder="1" applyAlignment="1">
      <alignment horizontal="justify" vertical="center" wrapText="1"/>
    </xf>
    <xf numFmtId="0" fontId="5" fillId="0" borderId="12" xfId="0" applyFont="1" applyBorder="1" applyAlignment="1">
      <alignment horizontal="justify" vertical="center" wrapText="1"/>
    </xf>
    <xf numFmtId="0" fontId="2" fillId="0" borderId="0" xfId="0" applyFont="1"/>
    <xf numFmtId="0" fontId="0" fillId="5" borderId="6" xfId="0" applyFill="1" applyBorder="1"/>
    <xf numFmtId="0" fontId="2" fillId="6" borderId="16" xfId="0" applyFont="1" applyFill="1" applyBorder="1"/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13" xfId="0" applyFont="1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18" xfId="0" applyFont="1" applyBorder="1" applyAlignment="1">
      <alignment vertical="center" wrapText="1"/>
    </xf>
    <xf numFmtId="0" fontId="5" fillId="0" borderId="15" xfId="0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16" xfId="0" applyFont="1" applyBorder="1" applyAlignment="1">
      <alignment vertical="center" wrapText="1"/>
    </xf>
    <xf numFmtId="0" fontId="5" fillId="0" borderId="12" xfId="0" applyFont="1" applyBorder="1" applyAlignment="1">
      <alignment vertical="center" wrapText="1"/>
    </xf>
    <xf numFmtId="0" fontId="5" fillId="0" borderId="15" xfId="0" applyFont="1" applyBorder="1" applyAlignment="1">
      <alignment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right" vertical="center" wrapText="1"/>
    </xf>
    <xf numFmtId="0" fontId="7" fillId="0" borderId="12" xfId="0" applyFont="1" applyBorder="1" applyAlignment="1">
      <alignment horizontal="right" vertical="center" wrapText="1"/>
    </xf>
    <xf numFmtId="0" fontId="2" fillId="0" borderId="15" xfId="0" applyFont="1" applyBorder="1"/>
    <xf numFmtId="0" fontId="2" fillId="0" borderId="16" xfId="0" applyFont="1" applyBorder="1"/>
    <xf numFmtId="0" fontId="8" fillId="0" borderId="12" xfId="0" applyFont="1" applyBorder="1" applyAlignment="1">
      <alignment horizontal="right" vertical="center" wrapText="1"/>
    </xf>
    <xf numFmtId="0" fontId="2" fillId="0" borderId="17" xfId="0" applyFont="1" applyBorder="1"/>
    <xf numFmtId="0" fontId="2" fillId="0" borderId="19" xfId="0" applyFont="1" applyBorder="1"/>
    <xf numFmtId="0" fontId="2" fillId="7" borderId="15" xfId="0" applyFont="1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justify" vertical="center" wrapText="1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8" borderId="20" xfId="0" applyFont="1" applyFill="1" applyBorder="1"/>
    <xf numFmtId="0" fontId="5" fillId="0" borderId="21" xfId="0" applyFont="1" applyBorder="1" applyAlignment="1">
      <alignment horizontal="justify" vertical="center" wrapText="1"/>
    </xf>
    <xf numFmtId="0" fontId="5" fillId="0" borderId="19" xfId="0" applyFont="1" applyBorder="1" applyAlignment="1">
      <alignment horizontal="justify" vertical="center" wrapText="1"/>
    </xf>
    <xf numFmtId="0" fontId="2" fillId="8" borderId="22" xfId="0" applyFont="1" applyFill="1" applyBorder="1"/>
    <xf numFmtId="0" fontId="9" fillId="0" borderId="0" xfId="0" applyFont="1" applyAlignment="1">
      <alignment vertical="center"/>
    </xf>
    <xf numFmtId="0" fontId="0" fillId="0" borderId="0" xfId="0" applyAlignment="1">
      <alignment horizontal="right"/>
    </xf>
    <xf numFmtId="16" fontId="0" fillId="0" borderId="1" xfId="0" applyNumberFormat="1" applyBorder="1"/>
    <xf numFmtId="0" fontId="0" fillId="9" borderId="1" xfId="0" applyFill="1" applyBorder="1"/>
    <xf numFmtId="0" fontId="0" fillId="9" borderId="2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/>
    <xf numFmtId="0" fontId="9" fillId="9" borderId="0" xfId="0" applyFont="1" applyFill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0" fillId="9" borderId="7" xfId="0" applyFill="1" applyBorder="1"/>
    <xf numFmtId="0" fontId="9" fillId="9" borderId="8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DF4DDFF-C62F-4ED7-92A4-26C803DE3C80}"/>
            </a:ext>
          </a:extLst>
        </xdr:cNvPr>
        <xdr:cNvGrpSpPr/>
      </xdr:nvGrpSpPr>
      <xdr:grpSpPr bwMode="auto">
        <a:xfrm>
          <a:off x="1094349" y="666380"/>
          <a:ext cx="5999442" cy="5984498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2662FD6C-2C5B-AE6D-0DC2-14862539F005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66AAA784-E93E-4009-7295-F4FC616C3430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0205F8C2-08CA-2120-4267-CE15DA12C0A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DF6FD0F6-C626-D429-2B20-E066DED3B73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AF25F097-D301-041E-7F35-C863DB4EBFE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EFD7BD5B-6195-5928-CA64-546FB0A878C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F4ECA4F8-2628-BAD5-B248-20209603917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6528DF4-DBF7-4A30-B99A-84E2949B0B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F65ED4-E7E3-472C-A106-5812FB200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1167" y="3290922"/>
          <a:ext cx="3719588" cy="35460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109681</xdr:colOff>
      <xdr:row>32</xdr:row>
      <xdr:rowOff>132772</xdr:rowOff>
    </xdr:from>
    <xdr:to>
      <xdr:col>8</xdr:col>
      <xdr:colOff>246097</xdr:colOff>
      <xdr:row>39</xdr:row>
      <xdr:rowOff>132773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5E5104-87CA-950D-541D-34B590E55A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681" y="6055590"/>
          <a:ext cx="5752523" cy="12930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93630</xdr:colOff>
      <xdr:row>33</xdr:row>
      <xdr:rowOff>76531</xdr:rowOff>
    </xdr:from>
    <xdr:to>
      <xdr:col>19</xdr:col>
      <xdr:colOff>173784</xdr:colOff>
      <xdr:row>42</xdr:row>
      <xdr:rowOff>152346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9DA030C-AAED-BE23-2336-27E9395962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82707" y="7183646"/>
          <a:ext cx="7736789" cy="17243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248150</xdr:colOff>
      <xdr:row>6</xdr:row>
      <xdr:rowOff>175069</xdr:rowOff>
    </xdr:from>
    <xdr:to>
      <xdr:col>23</xdr:col>
      <xdr:colOff>56754</xdr:colOff>
      <xdr:row>16</xdr:row>
      <xdr:rowOff>61977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FACB0-0F5D-E299-816B-F62546973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42221" y="1658248"/>
          <a:ext cx="8034123" cy="22001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D1B72572-4EE9-4B5D-AA50-003122841091}" userId="7baad15b6bef991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D1B72572-4EE9-4B5D-AA50-003122841091}" id="{BB583F4E-C610-4749-8F69-7BBCCF1CC978}">
    <text>BDA = Balanced Day Adjustments 
Accrual, prepayment, depreciation, bad debt exp etc.</text>
  </threadedComment>
  <threadedComment ref="H4" dT="2022-04-27T08:03:56.12" personId="{D1B72572-4EE9-4B5D-AA50-003122841091}" id="{D5A623B3-D662-4FAD-B7DC-B39312AD72BF}">
    <text>At end of accounting year; Close books for current year and prepare for next year.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54719-4B7A-4BD1-A273-F4DC249F84D4}">
  <dimension ref="C38"/>
  <sheetViews>
    <sheetView tabSelected="1" zoomScale="118" zoomScaleNormal="85" workbookViewId="0">
      <selection activeCell="E42" sqref="E42"/>
    </sheetView>
  </sheetViews>
  <sheetFormatPr baseColWidth="10" defaultColWidth="8.83203125" defaultRowHeight="15" x14ac:dyDescent="0.2"/>
  <sheetData>
    <row r="38" spans="3:3" x14ac:dyDescent="0.2">
      <c r="C38" s="84" t="s">
        <v>232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3618A-53E6-4AA0-84BA-AB41705F9398}">
  <dimension ref="B1:O20"/>
  <sheetViews>
    <sheetView zoomScale="130" zoomScaleNormal="205" workbookViewId="0">
      <selection activeCell="B23" sqref="B23"/>
    </sheetView>
  </sheetViews>
  <sheetFormatPr baseColWidth="10" defaultColWidth="8.83203125" defaultRowHeight="15" x14ac:dyDescent="0.2"/>
  <cols>
    <col min="5" max="5" width="18.83203125" bestFit="1" customWidth="1"/>
    <col min="6" max="6" width="10.5" customWidth="1"/>
    <col min="7" max="7" width="10.5" bestFit="1" customWidth="1"/>
    <col min="11" max="11" width="2" bestFit="1" customWidth="1"/>
    <col min="12" max="12" width="37.5" bestFit="1" customWidth="1"/>
    <col min="13" max="13" width="22.6640625" bestFit="1" customWidth="1"/>
  </cols>
  <sheetData>
    <row r="1" spans="2:15" x14ac:dyDescent="0.2">
      <c r="G1" t="s">
        <v>0</v>
      </c>
    </row>
    <row r="2" spans="2:15" x14ac:dyDescent="0.2">
      <c r="B2" s="1" t="s">
        <v>1</v>
      </c>
    </row>
    <row r="3" spans="2:15" x14ac:dyDescent="0.2">
      <c r="F3" t="s">
        <v>2</v>
      </c>
      <c r="G3" t="s">
        <v>3</v>
      </c>
      <c r="H3" t="s">
        <v>1</v>
      </c>
      <c r="L3" t="s">
        <v>4</v>
      </c>
      <c r="M3" t="s">
        <v>5</v>
      </c>
    </row>
    <row r="4" spans="2:15" ht="16" thickBot="1" x14ac:dyDescent="0.25">
      <c r="C4" s="1" t="s">
        <v>6</v>
      </c>
      <c r="D4" s="1"/>
      <c r="E4" s="1" t="s">
        <v>7</v>
      </c>
      <c r="F4" t="s">
        <v>8</v>
      </c>
      <c r="G4" t="s">
        <v>9</v>
      </c>
      <c r="H4" t="s">
        <v>10</v>
      </c>
    </row>
    <row r="5" spans="2:15" x14ac:dyDescent="0.2">
      <c r="C5" s="1"/>
      <c r="D5" s="1"/>
      <c r="E5" s="2" t="s">
        <v>11</v>
      </c>
      <c r="M5" s="3"/>
      <c r="N5" s="4" t="s">
        <v>12</v>
      </c>
      <c r="O5" s="5" t="s">
        <v>13</v>
      </c>
    </row>
    <row r="6" spans="2:15" x14ac:dyDescent="0.2">
      <c r="C6" s="83" t="s">
        <v>14</v>
      </c>
      <c r="D6" s="1"/>
      <c r="E6" s="1" t="s">
        <v>15</v>
      </c>
      <c r="F6" t="s">
        <v>8</v>
      </c>
      <c r="H6" s="1" t="s">
        <v>16</v>
      </c>
      <c r="K6">
        <v>1</v>
      </c>
      <c r="L6" t="s">
        <v>17</v>
      </c>
      <c r="M6" s="6" t="s">
        <v>18</v>
      </c>
      <c r="N6" t="s">
        <v>19</v>
      </c>
      <c r="O6" s="7"/>
    </row>
    <row r="7" spans="2:15" x14ac:dyDescent="0.2">
      <c r="C7" s="83"/>
      <c r="D7" s="1"/>
      <c r="E7" s="2" t="s">
        <v>11</v>
      </c>
      <c r="M7" s="6" t="s">
        <v>20</v>
      </c>
      <c r="O7" s="7" t="s">
        <v>19</v>
      </c>
    </row>
    <row r="8" spans="2:15" x14ac:dyDescent="0.2">
      <c r="C8" s="83"/>
      <c r="D8" s="1"/>
      <c r="E8" s="1" t="s">
        <v>21</v>
      </c>
      <c r="F8" t="s">
        <v>8</v>
      </c>
      <c r="M8" s="6" t="s">
        <v>22</v>
      </c>
      <c r="O8" s="7"/>
    </row>
    <row r="9" spans="2:15" x14ac:dyDescent="0.2">
      <c r="C9" s="83"/>
      <c r="D9" s="1"/>
      <c r="E9" s="2" t="s">
        <v>11</v>
      </c>
      <c r="M9" s="6"/>
      <c r="O9" s="7"/>
    </row>
    <row r="10" spans="2:15" x14ac:dyDescent="0.2">
      <c r="C10" s="83"/>
      <c r="D10" s="1"/>
      <c r="E10" s="1" t="s">
        <v>23</v>
      </c>
      <c r="F10" t="s">
        <v>8</v>
      </c>
      <c r="G10" t="s">
        <v>24</v>
      </c>
      <c r="H10" t="s">
        <v>25</v>
      </c>
      <c r="K10">
        <v>2</v>
      </c>
      <c r="L10" t="s">
        <v>26</v>
      </c>
      <c r="M10" s="6" t="s">
        <v>20</v>
      </c>
      <c r="N10" t="s">
        <v>19</v>
      </c>
      <c r="O10" s="7"/>
    </row>
    <row r="11" spans="2:15" ht="16" thickBot="1" x14ac:dyDescent="0.25">
      <c r="C11" s="1"/>
      <c r="D11" s="1"/>
      <c r="E11" s="1"/>
      <c r="F11" s="33" t="s">
        <v>27</v>
      </c>
      <c r="G11" s="8" t="s">
        <v>28</v>
      </c>
      <c r="H11" s="9" t="s">
        <v>29</v>
      </c>
      <c r="M11" s="6" t="s">
        <v>30</v>
      </c>
      <c r="O11" s="7" t="s">
        <v>19</v>
      </c>
    </row>
    <row r="12" spans="2:15" ht="16" thickTop="1" x14ac:dyDescent="0.2">
      <c r="C12" s="1"/>
      <c r="D12" s="1"/>
      <c r="E12" s="2" t="s">
        <v>11</v>
      </c>
      <c r="G12" s="10" t="s">
        <v>11</v>
      </c>
      <c r="H12" t="s">
        <v>169</v>
      </c>
      <c r="M12" s="6" t="s">
        <v>31</v>
      </c>
      <c r="O12" s="7"/>
    </row>
    <row r="13" spans="2:15" x14ac:dyDescent="0.2">
      <c r="C13" s="1" t="s">
        <v>32</v>
      </c>
      <c r="D13" s="1"/>
      <c r="E13" s="1" t="s">
        <v>33</v>
      </c>
      <c r="F13" t="s">
        <v>33</v>
      </c>
      <c r="H13" t="s">
        <v>34</v>
      </c>
      <c r="M13" s="6"/>
      <c r="O13" s="7"/>
    </row>
    <row r="14" spans="2:15" x14ac:dyDescent="0.2">
      <c r="F14" t="s">
        <v>168</v>
      </c>
      <c r="K14">
        <v>3</v>
      </c>
      <c r="L14" t="s">
        <v>35</v>
      </c>
      <c r="M14" s="6" t="s">
        <v>20</v>
      </c>
      <c r="N14" t="s">
        <v>19</v>
      </c>
      <c r="O14" s="7"/>
    </row>
    <row r="15" spans="2:15" x14ac:dyDescent="0.2">
      <c r="M15" s="6" t="s">
        <v>36</v>
      </c>
      <c r="O15" s="7" t="s">
        <v>19</v>
      </c>
    </row>
    <row r="16" spans="2:15" x14ac:dyDescent="0.2">
      <c r="M16" s="6" t="s">
        <v>37</v>
      </c>
      <c r="O16" s="7"/>
    </row>
    <row r="17" spans="11:15" x14ac:dyDescent="0.2">
      <c r="M17" s="6"/>
      <c r="O17" s="7"/>
    </row>
    <row r="18" spans="11:15" x14ac:dyDescent="0.2">
      <c r="K18">
        <v>4</v>
      </c>
      <c r="L18" t="s">
        <v>38</v>
      </c>
      <c r="M18" s="6" t="s">
        <v>39</v>
      </c>
      <c r="N18" t="s">
        <v>19</v>
      </c>
      <c r="O18" s="7"/>
    </row>
    <row r="19" spans="11:15" x14ac:dyDescent="0.2">
      <c r="M19" s="6" t="s">
        <v>40</v>
      </c>
      <c r="O19" s="7" t="s">
        <v>19</v>
      </c>
    </row>
    <row r="20" spans="11:15" ht="16" thickBot="1" x14ac:dyDescent="0.25">
      <c r="M20" s="11" t="s">
        <v>41</v>
      </c>
      <c r="N20" s="12"/>
      <c r="O20" s="13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0BE0-433C-401E-8C60-EBD47C86025A}">
  <dimension ref="A1:M35"/>
  <sheetViews>
    <sheetView zoomScale="134" workbookViewId="0">
      <pane ySplit="2" topLeftCell="A7" activePane="bottomLeft" state="frozen"/>
      <selection pane="bottomLeft" activeCell="C22" sqref="C22"/>
    </sheetView>
  </sheetViews>
  <sheetFormatPr baseColWidth="10" defaultColWidth="8.83203125" defaultRowHeight="15" x14ac:dyDescent="0.2"/>
  <cols>
    <col min="3" max="3" width="18.1640625" customWidth="1"/>
    <col min="11" max="11" width="12.6640625" customWidth="1"/>
  </cols>
  <sheetData>
    <row r="1" spans="1:9" x14ac:dyDescent="0.2">
      <c r="B1" s="3"/>
      <c r="C1" s="4" t="s">
        <v>15</v>
      </c>
      <c r="D1" s="4"/>
      <c r="E1" s="5"/>
      <c r="H1" t="s">
        <v>207</v>
      </c>
    </row>
    <row r="2" spans="1:9" ht="16" thickBot="1" x14ac:dyDescent="0.25">
      <c r="A2" t="s">
        <v>93</v>
      </c>
      <c r="B2" s="6" t="s">
        <v>180</v>
      </c>
      <c r="C2" t="s">
        <v>181</v>
      </c>
      <c r="D2" t="s">
        <v>191</v>
      </c>
      <c r="E2" s="7" t="s">
        <v>13</v>
      </c>
    </row>
    <row r="3" spans="1:9" x14ac:dyDescent="0.2">
      <c r="A3">
        <v>1</v>
      </c>
      <c r="B3" s="73">
        <v>46387</v>
      </c>
      <c r="C3" s="4"/>
      <c r="D3" s="4"/>
      <c r="E3" s="5"/>
      <c r="G3">
        <v>1</v>
      </c>
    </row>
    <row r="4" spans="1:9" ht="16.5" customHeight="1" x14ac:dyDescent="0.2">
      <c r="B4" s="6"/>
      <c r="E4" s="7"/>
      <c r="G4" s="72" t="s">
        <v>197</v>
      </c>
    </row>
    <row r="5" spans="1:9" ht="16" thickBot="1" x14ac:dyDescent="0.25">
      <c r="B5" s="11"/>
      <c r="C5" s="12"/>
      <c r="D5" s="12"/>
      <c r="E5" s="13"/>
      <c r="G5">
        <v>4</v>
      </c>
    </row>
    <row r="6" spans="1:9" ht="16" thickBot="1" x14ac:dyDescent="0.25">
      <c r="B6" s="6"/>
      <c r="E6" s="7"/>
    </row>
    <row r="7" spans="1:9" x14ac:dyDescent="0.2">
      <c r="A7">
        <v>2</v>
      </c>
      <c r="B7" s="73">
        <v>46387</v>
      </c>
      <c r="C7" s="4"/>
      <c r="D7" s="4"/>
      <c r="E7" s="5"/>
      <c r="G7" s="72">
        <v>1</v>
      </c>
    </row>
    <row r="8" spans="1:9" x14ac:dyDescent="0.2">
      <c r="B8" s="6"/>
      <c r="E8" s="7"/>
      <c r="G8" s="72" t="s">
        <v>197</v>
      </c>
    </row>
    <row r="9" spans="1:9" ht="16" thickBot="1" x14ac:dyDescent="0.25">
      <c r="B9" s="11"/>
      <c r="C9" s="12"/>
      <c r="D9" s="12"/>
      <c r="E9" s="13"/>
      <c r="G9" s="72">
        <v>4</v>
      </c>
    </row>
    <row r="10" spans="1:9" ht="16" thickBot="1" x14ac:dyDescent="0.25">
      <c r="B10" s="6"/>
      <c r="E10" s="7"/>
    </row>
    <row r="11" spans="1:9" x14ac:dyDescent="0.2">
      <c r="A11">
        <v>3</v>
      </c>
      <c r="B11" s="73">
        <v>46387</v>
      </c>
      <c r="C11" s="4"/>
      <c r="D11" s="4"/>
      <c r="E11" s="5"/>
      <c r="G11" s="72">
        <v>1</v>
      </c>
    </row>
    <row r="12" spans="1:9" x14ac:dyDescent="0.2">
      <c r="B12" s="6"/>
      <c r="E12" s="7"/>
      <c r="G12" s="72" t="s">
        <v>197</v>
      </c>
      <c r="H12" s="71"/>
      <c r="I12" s="71"/>
    </row>
    <row r="13" spans="1:9" ht="16" thickBot="1" x14ac:dyDescent="0.25">
      <c r="B13" s="11"/>
      <c r="C13" s="12"/>
      <c r="D13" s="12"/>
      <c r="E13" s="13"/>
      <c r="G13" s="72">
        <v>4</v>
      </c>
    </row>
    <row r="14" spans="1:9" ht="16" thickBot="1" x14ac:dyDescent="0.25">
      <c r="B14" s="6"/>
      <c r="E14" s="7"/>
    </row>
    <row r="15" spans="1:9" x14ac:dyDescent="0.2">
      <c r="A15">
        <v>4</v>
      </c>
      <c r="B15" s="73">
        <v>46387</v>
      </c>
      <c r="C15" s="4"/>
      <c r="D15" s="4"/>
      <c r="E15" s="5"/>
      <c r="G15" s="72">
        <v>1</v>
      </c>
    </row>
    <row r="16" spans="1:9" x14ac:dyDescent="0.2">
      <c r="B16" s="6"/>
      <c r="E16" s="7"/>
      <c r="G16" s="72" t="s">
        <v>197</v>
      </c>
      <c r="H16" s="71"/>
      <c r="I16" s="71"/>
    </row>
    <row r="17" spans="1:13" ht="16" thickBot="1" x14ac:dyDescent="0.25">
      <c r="B17" s="11"/>
      <c r="C17" s="12"/>
      <c r="D17" s="12"/>
      <c r="E17" s="13"/>
      <c r="G17" s="72">
        <v>4</v>
      </c>
    </row>
    <row r="18" spans="1:13" ht="16" thickBot="1" x14ac:dyDescent="0.25">
      <c r="B18" s="6"/>
      <c r="E18" s="7"/>
    </row>
    <row r="19" spans="1:13" x14ac:dyDescent="0.2">
      <c r="A19">
        <v>5</v>
      </c>
      <c r="B19" s="73">
        <v>46387</v>
      </c>
      <c r="E19" s="7"/>
      <c r="G19" s="72">
        <v>1</v>
      </c>
    </row>
    <row r="20" spans="1:13" x14ac:dyDescent="0.2">
      <c r="B20" s="6"/>
      <c r="E20" s="7"/>
      <c r="G20" s="72" t="s">
        <v>197</v>
      </c>
      <c r="H20" s="71"/>
      <c r="I20" s="71"/>
    </row>
    <row r="21" spans="1:13" x14ac:dyDescent="0.2">
      <c r="B21" s="6"/>
      <c r="E21" s="7"/>
      <c r="G21" s="72">
        <v>4</v>
      </c>
    </row>
    <row r="22" spans="1:13" ht="16" thickBot="1" x14ac:dyDescent="0.25">
      <c r="B22" s="11"/>
      <c r="C22" s="12"/>
      <c r="D22" s="12"/>
      <c r="E22" s="13"/>
    </row>
    <row r="23" spans="1:13" ht="16" thickBot="1" x14ac:dyDescent="0.25"/>
    <row r="24" spans="1:13" x14ac:dyDescent="0.2">
      <c r="A24">
        <v>6</v>
      </c>
      <c r="B24" s="73">
        <v>46387</v>
      </c>
      <c r="C24" s="4"/>
      <c r="D24" s="4"/>
      <c r="E24" s="5"/>
      <c r="G24" s="72">
        <v>1</v>
      </c>
    </row>
    <row r="25" spans="1:13" x14ac:dyDescent="0.2">
      <c r="B25" s="6"/>
      <c r="E25" s="7"/>
      <c r="G25" s="72" t="s">
        <v>197</v>
      </c>
      <c r="H25" s="71"/>
      <c r="I25" s="71"/>
    </row>
    <row r="26" spans="1:13" ht="16" thickBot="1" x14ac:dyDescent="0.25">
      <c r="B26" s="11"/>
      <c r="C26" s="12"/>
      <c r="D26" s="12"/>
      <c r="E26" s="13"/>
      <c r="G26" s="72">
        <v>4</v>
      </c>
    </row>
    <row r="27" spans="1:13" ht="16" thickBot="1" x14ac:dyDescent="0.25"/>
    <row r="28" spans="1:13" ht="16" thickBot="1" x14ac:dyDescent="0.25">
      <c r="A28">
        <v>7</v>
      </c>
      <c r="B28" s="73">
        <v>46387</v>
      </c>
      <c r="C28" s="4"/>
      <c r="D28" s="4"/>
      <c r="E28" s="5"/>
      <c r="G28" s="72">
        <v>1</v>
      </c>
    </row>
    <row r="29" spans="1:13" x14ac:dyDescent="0.2">
      <c r="B29" s="6"/>
      <c r="E29" s="4"/>
      <c r="G29" s="72" t="s">
        <v>197</v>
      </c>
      <c r="H29" s="71"/>
      <c r="I29" s="71"/>
    </row>
    <row r="30" spans="1:13" ht="16" thickBot="1" x14ac:dyDescent="0.25">
      <c r="B30" s="11"/>
      <c r="C30" s="12"/>
      <c r="D30" s="12"/>
      <c r="E30" s="13"/>
      <c r="G30" s="72">
        <v>4</v>
      </c>
    </row>
    <row r="31" spans="1:13" ht="16" thickBot="1" x14ac:dyDescent="0.25"/>
    <row r="32" spans="1:13" x14ac:dyDescent="0.2">
      <c r="G32">
        <v>1</v>
      </c>
      <c r="H32" t="s">
        <v>193</v>
      </c>
      <c r="I32" t="s">
        <v>192</v>
      </c>
      <c r="K32" s="74"/>
      <c r="L32" s="75" t="s">
        <v>45</v>
      </c>
      <c r="M32" s="76" t="s">
        <v>46</v>
      </c>
    </row>
    <row r="33" spans="7:13" x14ac:dyDescent="0.2">
      <c r="G33">
        <v>2</v>
      </c>
      <c r="H33" t="s">
        <v>194</v>
      </c>
      <c r="I33" t="s">
        <v>194</v>
      </c>
      <c r="K33" s="77" t="s">
        <v>202</v>
      </c>
      <c r="L33" s="78" t="s">
        <v>204</v>
      </c>
      <c r="M33" s="79" t="s">
        <v>11</v>
      </c>
    </row>
    <row r="34" spans="7:13" ht="16" thickBot="1" x14ac:dyDescent="0.25">
      <c r="G34">
        <v>3</v>
      </c>
      <c r="H34" s="71" t="s">
        <v>196</v>
      </c>
      <c r="I34" s="71" t="s">
        <v>196</v>
      </c>
      <c r="K34" s="80" t="s">
        <v>203</v>
      </c>
      <c r="L34" s="81" t="s">
        <v>11</v>
      </c>
      <c r="M34" s="82" t="s">
        <v>204</v>
      </c>
    </row>
    <row r="35" spans="7:13" x14ac:dyDescent="0.2">
      <c r="G35">
        <v>4</v>
      </c>
      <c r="H35" t="s">
        <v>195</v>
      </c>
      <c r="I35" t="s">
        <v>195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369FE-F92F-4C37-9408-0538561CEBA7}">
  <dimension ref="A1:U32"/>
  <sheetViews>
    <sheetView zoomScale="65" zoomScaleNormal="70" workbookViewId="0">
      <selection activeCell="G41" sqref="G41"/>
    </sheetView>
  </sheetViews>
  <sheetFormatPr baseColWidth="10" defaultColWidth="8.83203125" defaultRowHeight="15" x14ac:dyDescent="0.2"/>
  <cols>
    <col min="1" max="1" width="31.5" customWidth="1"/>
    <col min="2" max="2" width="6.6640625" customWidth="1"/>
    <col min="3" max="4" width="8.6640625" customWidth="1"/>
    <col min="5" max="5" width="4.33203125" customWidth="1"/>
    <col min="6" max="7" width="8.6640625" customWidth="1"/>
    <col min="8" max="8" width="2.6640625" customWidth="1"/>
    <col min="9" max="9" width="9.1640625" customWidth="1"/>
    <col min="10" max="10" width="9.6640625" customWidth="1"/>
    <col min="11" max="11" width="2.6640625" customWidth="1"/>
    <col min="12" max="12" width="10" customWidth="1"/>
    <col min="13" max="13" width="10.33203125" bestFit="1" customWidth="1"/>
    <col min="14" max="14" width="2.33203125" customWidth="1"/>
    <col min="15" max="15" width="11" customWidth="1"/>
    <col min="16" max="16" width="11.5" customWidth="1"/>
    <col min="18" max="18" width="13.33203125" bestFit="1" customWidth="1"/>
    <col min="19" max="19" width="27.5" customWidth="1"/>
    <col min="20" max="21" width="9.1640625" bestFit="1" customWidth="1"/>
  </cols>
  <sheetData>
    <row r="1" spans="1:21" ht="16" thickBot="1" x14ac:dyDescent="0.25">
      <c r="A1" s="14"/>
      <c r="B1" s="14"/>
    </row>
    <row r="2" spans="1:21" ht="14.5" customHeight="1" x14ac:dyDescent="0.2">
      <c r="A2" s="22" t="s">
        <v>42</v>
      </c>
      <c r="B2" s="23"/>
      <c r="C2" s="19" t="s">
        <v>27</v>
      </c>
      <c r="D2" s="19" t="s">
        <v>63</v>
      </c>
      <c r="E2" s="35"/>
      <c r="F2" s="36" t="s">
        <v>170</v>
      </c>
      <c r="G2" s="37"/>
      <c r="H2" s="38"/>
      <c r="I2" s="19" t="s">
        <v>28</v>
      </c>
      <c r="J2" s="19" t="s">
        <v>63</v>
      </c>
      <c r="K2" s="38"/>
      <c r="L2" s="39" t="s">
        <v>65</v>
      </c>
      <c r="M2" s="40" t="s">
        <v>66</v>
      </c>
      <c r="N2" s="41"/>
      <c r="O2" s="36" t="s">
        <v>67</v>
      </c>
      <c r="P2" s="40"/>
    </row>
    <row r="3" spans="1:21" ht="15" customHeight="1" x14ac:dyDescent="0.25">
      <c r="A3" s="22" t="s">
        <v>43</v>
      </c>
      <c r="B3" s="23"/>
      <c r="C3" s="15"/>
      <c r="D3" s="19"/>
      <c r="E3" s="35" t="s">
        <v>93</v>
      </c>
      <c r="F3" s="42"/>
      <c r="G3" s="43"/>
      <c r="H3" s="44"/>
      <c r="I3" s="15"/>
      <c r="J3" s="19"/>
      <c r="K3" s="44"/>
      <c r="L3" s="24"/>
      <c r="M3" s="45"/>
      <c r="N3" s="46"/>
      <c r="O3" s="47"/>
      <c r="P3" s="45"/>
    </row>
    <row r="4" spans="1:21" ht="18" thickBot="1" x14ac:dyDescent="0.25">
      <c r="A4" s="25" t="s">
        <v>44</v>
      </c>
      <c r="B4" s="26"/>
      <c r="C4" s="20" t="s">
        <v>45</v>
      </c>
      <c r="D4" s="20" t="s">
        <v>46</v>
      </c>
      <c r="E4" s="35"/>
      <c r="F4" s="48" t="s">
        <v>45</v>
      </c>
      <c r="G4" s="49" t="s">
        <v>46</v>
      </c>
      <c r="H4" s="35"/>
      <c r="I4" s="20" t="s">
        <v>45</v>
      </c>
      <c r="J4" s="21" t="s">
        <v>46</v>
      </c>
      <c r="K4" s="46"/>
      <c r="L4" s="48" t="s">
        <v>45</v>
      </c>
      <c r="M4" s="49" t="s">
        <v>46</v>
      </c>
      <c r="N4" s="35"/>
      <c r="O4" s="48" t="s">
        <v>45</v>
      </c>
      <c r="P4" s="49" t="s">
        <v>46</v>
      </c>
      <c r="S4" s="58" t="s">
        <v>15</v>
      </c>
    </row>
    <row r="5" spans="1:21" ht="17" x14ac:dyDescent="0.25">
      <c r="A5" s="27" t="s">
        <v>47</v>
      </c>
      <c r="B5" s="28" t="s">
        <v>171</v>
      </c>
      <c r="C5" s="50">
        <v>6200</v>
      </c>
      <c r="D5" s="50"/>
      <c r="E5" s="51"/>
      <c r="F5" s="52"/>
      <c r="G5" s="53"/>
      <c r="H5" s="29"/>
      <c r="I5" s="15">
        <f>C5+F5-G5</f>
        <v>6200</v>
      </c>
      <c r="J5" s="15"/>
      <c r="K5" s="29"/>
      <c r="L5" s="52"/>
      <c r="M5" s="53"/>
      <c r="N5" s="29"/>
      <c r="O5" s="52">
        <v>6200</v>
      </c>
      <c r="P5" s="53"/>
      <c r="R5" s="60" t="s">
        <v>180</v>
      </c>
      <c r="S5" s="61" t="s">
        <v>181</v>
      </c>
      <c r="T5" s="61" t="s">
        <v>182</v>
      </c>
      <c r="U5" s="62" t="s">
        <v>183</v>
      </c>
    </row>
    <row r="6" spans="1:21" ht="17" x14ac:dyDescent="0.25">
      <c r="A6" s="27" t="s">
        <v>48</v>
      </c>
      <c r="B6" s="28" t="s">
        <v>171</v>
      </c>
      <c r="C6" s="50">
        <v>7260</v>
      </c>
      <c r="D6" s="50"/>
      <c r="E6" s="51">
        <v>1</v>
      </c>
      <c r="F6" s="52"/>
      <c r="G6" s="53">
        <v>4940</v>
      </c>
      <c r="H6" s="29"/>
      <c r="I6" s="15">
        <f t="shared" ref="I6:I8" si="0">C6+F6-G6</f>
        <v>2320</v>
      </c>
      <c r="J6" s="15"/>
      <c r="K6" s="29"/>
      <c r="L6" s="52"/>
      <c r="M6" s="53"/>
      <c r="N6" s="29"/>
      <c r="O6" s="52">
        <v>2320</v>
      </c>
      <c r="P6" s="53"/>
      <c r="R6" s="24" t="s">
        <v>184</v>
      </c>
      <c r="S6" s="24" t="s">
        <v>18</v>
      </c>
      <c r="T6" s="32">
        <f>M13</f>
        <v>126500</v>
      </c>
      <c r="U6" s="63"/>
    </row>
    <row r="7" spans="1:21" ht="17" x14ac:dyDescent="0.25">
      <c r="A7" s="27" t="s">
        <v>49</v>
      </c>
      <c r="B7" s="28" t="s">
        <v>171</v>
      </c>
      <c r="C7" s="50">
        <v>1725</v>
      </c>
      <c r="D7" s="50"/>
      <c r="E7" s="51">
        <v>2</v>
      </c>
      <c r="F7" s="52"/>
      <c r="G7" s="53">
        <v>1185</v>
      </c>
      <c r="H7" s="29"/>
      <c r="I7" s="15">
        <f t="shared" si="0"/>
        <v>540</v>
      </c>
      <c r="J7" s="15"/>
      <c r="K7" s="29"/>
      <c r="L7" s="52"/>
      <c r="M7" s="53"/>
      <c r="N7" s="29"/>
      <c r="O7" s="52">
        <v>540</v>
      </c>
      <c r="P7" s="53"/>
      <c r="R7" s="24"/>
      <c r="S7" s="24" t="s">
        <v>20</v>
      </c>
      <c r="T7" s="32"/>
      <c r="U7" s="63">
        <f>M13</f>
        <v>126500</v>
      </c>
    </row>
    <row r="8" spans="1:21" ht="18" thickBot="1" x14ac:dyDescent="0.3">
      <c r="A8" s="27" t="s">
        <v>50</v>
      </c>
      <c r="B8" s="28" t="s">
        <v>171</v>
      </c>
      <c r="C8" s="50">
        <v>82800</v>
      </c>
      <c r="D8" s="50"/>
      <c r="E8" s="51"/>
      <c r="F8" s="52"/>
      <c r="G8" s="53"/>
      <c r="H8" s="29"/>
      <c r="I8" s="15">
        <f t="shared" si="0"/>
        <v>82800</v>
      </c>
      <c r="J8" s="15"/>
      <c r="K8" s="29"/>
      <c r="L8" s="52"/>
      <c r="M8" s="53"/>
      <c r="N8" s="29"/>
      <c r="O8" s="52">
        <v>82800</v>
      </c>
      <c r="P8" s="53"/>
      <c r="R8" s="64"/>
      <c r="S8" s="64" t="s">
        <v>22</v>
      </c>
      <c r="T8" s="65"/>
      <c r="U8" s="66"/>
    </row>
    <row r="9" spans="1:21" ht="35" thickBot="1" x14ac:dyDescent="0.3">
      <c r="A9" s="27" t="s">
        <v>51</v>
      </c>
      <c r="B9" s="28" t="s">
        <v>176</v>
      </c>
      <c r="C9" s="50"/>
      <c r="D9" s="50">
        <v>14600</v>
      </c>
      <c r="E9" s="51">
        <v>3</v>
      </c>
      <c r="F9" s="52"/>
      <c r="G9" s="53">
        <v>7400</v>
      </c>
      <c r="H9" s="29"/>
      <c r="I9" s="15"/>
      <c r="J9" s="15">
        <f>D9-F9+G9</f>
        <v>22000</v>
      </c>
      <c r="K9" s="29"/>
      <c r="L9" s="52"/>
      <c r="M9" s="53"/>
      <c r="N9" s="29"/>
      <c r="O9" s="52"/>
      <c r="P9" s="53">
        <v>22000</v>
      </c>
      <c r="R9" s="32"/>
      <c r="S9" s="32"/>
      <c r="T9" s="32"/>
      <c r="U9" s="32"/>
    </row>
    <row r="10" spans="1:21" ht="17" x14ac:dyDescent="0.25">
      <c r="A10" s="27" t="s">
        <v>177</v>
      </c>
      <c r="B10" s="28" t="s">
        <v>175</v>
      </c>
      <c r="C10" s="50"/>
      <c r="D10" s="50">
        <v>50000</v>
      </c>
      <c r="E10" s="51"/>
      <c r="F10" s="52"/>
      <c r="G10" s="53"/>
      <c r="H10" s="29"/>
      <c r="I10" s="15"/>
      <c r="J10" s="15">
        <f t="shared" ref="J10:J11" si="1">D10-F10+G10</f>
        <v>50000</v>
      </c>
      <c r="K10" s="29"/>
      <c r="L10" s="52"/>
      <c r="M10" s="53"/>
      <c r="N10" s="29"/>
      <c r="O10" s="52"/>
      <c r="P10" s="53">
        <v>50000</v>
      </c>
      <c r="R10" s="60" t="s">
        <v>184</v>
      </c>
      <c r="S10" s="61" t="s">
        <v>20</v>
      </c>
      <c r="T10" s="61">
        <f>SUM(U11:U20)</f>
        <v>96945</v>
      </c>
      <c r="U10" s="62"/>
    </row>
    <row r="11" spans="1:21" ht="17" x14ac:dyDescent="0.25">
      <c r="A11" s="27" t="s">
        <v>52</v>
      </c>
      <c r="B11" s="28" t="s">
        <v>173</v>
      </c>
      <c r="C11" s="50"/>
      <c r="D11" s="50">
        <v>15540</v>
      </c>
      <c r="E11" s="51"/>
      <c r="F11" s="52"/>
      <c r="G11" s="53"/>
      <c r="H11" s="29"/>
      <c r="I11" s="15"/>
      <c r="J11" s="15">
        <f t="shared" si="1"/>
        <v>15540</v>
      </c>
      <c r="K11" s="29"/>
      <c r="L11" s="52"/>
      <c r="M11" s="53"/>
      <c r="N11" s="29"/>
      <c r="O11" s="52"/>
      <c r="P11" s="53">
        <v>15540</v>
      </c>
      <c r="R11" s="24"/>
      <c r="S11" s="27" t="s">
        <v>55</v>
      </c>
      <c r="T11" s="28"/>
      <c r="U11" s="67">
        <v>63510</v>
      </c>
    </row>
    <row r="12" spans="1:21" ht="17" x14ac:dyDescent="0.25">
      <c r="A12" s="27" t="s">
        <v>53</v>
      </c>
      <c r="B12" s="28" t="s">
        <v>178</v>
      </c>
      <c r="C12" s="50">
        <v>27000</v>
      </c>
      <c r="D12" s="50"/>
      <c r="E12" s="51"/>
      <c r="F12" s="52"/>
      <c r="G12" s="53"/>
      <c r="H12" s="29"/>
      <c r="I12" s="15">
        <f>C12+F12-G12</f>
        <v>27000</v>
      </c>
      <c r="J12" s="15"/>
      <c r="K12" s="29"/>
      <c r="L12" s="52"/>
      <c r="M12" s="53"/>
      <c r="N12" s="29"/>
      <c r="O12" s="52">
        <v>27000</v>
      </c>
      <c r="P12" s="53"/>
      <c r="R12" s="24"/>
      <c r="S12" s="27" t="s">
        <v>56</v>
      </c>
      <c r="T12" s="28"/>
      <c r="U12" s="67">
        <v>2250</v>
      </c>
    </row>
    <row r="13" spans="1:21" ht="17" x14ac:dyDescent="0.25">
      <c r="A13" s="27" t="s">
        <v>54</v>
      </c>
      <c r="B13" s="28" t="s">
        <v>172</v>
      </c>
      <c r="C13" s="50"/>
      <c r="D13" s="50">
        <v>126500</v>
      </c>
      <c r="E13" s="51"/>
      <c r="F13" s="52"/>
      <c r="G13" s="53"/>
      <c r="H13" s="29"/>
      <c r="I13" s="15"/>
      <c r="J13" s="15">
        <f>D13-F13+G13</f>
        <v>126500</v>
      </c>
      <c r="K13" s="29"/>
      <c r="L13" s="52"/>
      <c r="M13" s="34">
        <v>126500</v>
      </c>
      <c r="N13" s="29"/>
      <c r="O13" s="52"/>
      <c r="P13" s="53"/>
      <c r="R13" s="24"/>
      <c r="S13" s="27" t="s">
        <v>57</v>
      </c>
      <c r="T13" s="28"/>
      <c r="U13" s="67">
        <v>1260</v>
      </c>
    </row>
    <row r="14" spans="1:21" ht="17" x14ac:dyDescent="0.25">
      <c r="A14" s="27" t="s">
        <v>55</v>
      </c>
      <c r="B14" s="28" t="s">
        <v>174</v>
      </c>
      <c r="C14" s="50">
        <v>63250</v>
      </c>
      <c r="D14" s="50"/>
      <c r="E14" s="51">
        <v>4</v>
      </c>
      <c r="F14" s="52">
        <v>260</v>
      </c>
      <c r="G14" s="53"/>
      <c r="H14" s="29"/>
      <c r="I14" s="15">
        <f>C14+F14-G14</f>
        <v>63510</v>
      </c>
      <c r="J14" s="15"/>
      <c r="K14" s="29"/>
      <c r="L14" s="57">
        <v>63510</v>
      </c>
      <c r="M14" s="53"/>
      <c r="N14" s="29"/>
      <c r="O14" s="52"/>
      <c r="P14" s="53"/>
      <c r="R14" s="24"/>
      <c r="S14" s="27" t="s">
        <v>58</v>
      </c>
      <c r="T14" s="28"/>
      <c r="U14" s="67">
        <v>7520</v>
      </c>
    </row>
    <row r="15" spans="1:21" ht="17" x14ac:dyDescent="0.25">
      <c r="A15" s="27" t="s">
        <v>56</v>
      </c>
      <c r="B15" s="28" t="s">
        <v>174</v>
      </c>
      <c r="C15" s="50">
        <v>2250</v>
      </c>
      <c r="D15" s="50"/>
      <c r="E15" s="51"/>
      <c r="F15" s="52"/>
      <c r="G15" s="53"/>
      <c r="H15" s="29"/>
      <c r="I15" s="15">
        <f t="shared" ref="I15:I20" si="2">C15+F15-G15</f>
        <v>2250</v>
      </c>
      <c r="J15" s="15"/>
      <c r="K15" s="29"/>
      <c r="L15" s="57">
        <v>2250</v>
      </c>
      <c r="M15" s="53"/>
      <c r="N15" s="29"/>
      <c r="O15" s="52"/>
      <c r="P15" s="53"/>
      <c r="R15" s="24"/>
      <c r="S15" s="27" t="s">
        <v>59</v>
      </c>
      <c r="T15" s="28"/>
      <c r="U15" s="67">
        <v>4235</v>
      </c>
    </row>
    <row r="16" spans="1:21" ht="17" x14ac:dyDescent="0.25">
      <c r="A16" s="27" t="s">
        <v>57</v>
      </c>
      <c r="B16" s="28" t="s">
        <v>174</v>
      </c>
      <c r="C16" s="50">
        <v>1260</v>
      </c>
      <c r="D16" s="50"/>
      <c r="E16" s="51"/>
      <c r="F16" s="52"/>
      <c r="G16" s="53"/>
      <c r="H16" s="29"/>
      <c r="I16" s="15">
        <f t="shared" si="2"/>
        <v>1260</v>
      </c>
      <c r="J16" s="15"/>
      <c r="K16" s="29"/>
      <c r="L16" s="57">
        <v>1260</v>
      </c>
      <c r="M16" s="53"/>
      <c r="N16" s="29"/>
      <c r="O16" s="52"/>
      <c r="P16" s="53"/>
      <c r="R16" s="24"/>
      <c r="S16" s="27" t="s">
        <v>60</v>
      </c>
      <c r="T16" s="28"/>
      <c r="U16" s="67">
        <v>3045</v>
      </c>
    </row>
    <row r="17" spans="1:21" ht="17" x14ac:dyDescent="0.25">
      <c r="A17" s="27" t="s">
        <v>58</v>
      </c>
      <c r="B17" s="28" t="s">
        <v>174</v>
      </c>
      <c r="C17" s="50">
        <v>7520</v>
      </c>
      <c r="D17" s="50"/>
      <c r="E17" s="51"/>
      <c r="F17" s="52"/>
      <c r="G17" s="53"/>
      <c r="H17" s="29"/>
      <c r="I17" s="15">
        <f t="shared" si="2"/>
        <v>7520</v>
      </c>
      <c r="J17" s="15"/>
      <c r="K17" s="29"/>
      <c r="L17" s="57">
        <v>7520</v>
      </c>
      <c r="M17" s="53"/>
      <c r="N17" s="29"/>
      <c r="O17" s="52"/>
      <c r="P17" s="53"/>
      <c r="R17" s="24"/>
      <c r="S17" s="27" t="s">
        <v>185</v>
      </c>
      <c r="T17" s="28"/>
      <c r="U17" s="67">
        <v>1600</v>
      </c>
    </row>
    <row r="18" spans="1:21" ht="17" x14ac:dyDescent="0.25">
      <c r="A18" s="27" t="s">
        <v>59</v>
      </c>
      <c r="B18" s="28" t="s">
        <v>174</v>
      </c>
      <c r="C18" s="50">
        <v>3405</v>
      </c>
      <c r="D18" s="50"/>
      <c r="E18" s="51">
        <v>5</v>
      </c>
      <c r="F18" s="52">
        <v>830</v>
      </c>
      <c r="G18" s="53"/>
      <c r="H18" s="29"/>
      <c r="I18" s="15">
        <f t="shared" si="2"/>
        <v>4235</v>
      </c>
      <c r="J18" s="15"/>
      <c r="K18" s="29"/>
      <c r="L18" s="57">
        <v>4235</v>
      </c>
      <c r="M18" s="53"/>
      <c r="N18" s="29"/>
      <c r="O18" s="52"/>
      <c r="P18" s="53"/>
      <c r="R18" s="24"/>
      <c r="S18" s="30" t="s">
        <v>69</v>
      </c>
      <c r="T18" s="31"/>
      <c r="U18" s="67">
        <v>4940</v>
      </c>
    </row>
    <row r="19" spans="1:21" ht="17" x14ac:dyDescent="0.25">
      <c r="A19" s="27" t="s">
        <v>60</v>
      </c>
      <c r="B19" s="28" t="s">
        <v>174</v>
      </c>
      <c r="C19" s="50">
        <v>2620</v>
      </c>
      <c r="D19" s="50"/>
      <c r="E19" s="51">
        <v>6</v>
      </c>
      <c r="F19" s="52">
        <v>425</v>
      </c>
      <c r="G19" s="53"/>
      <c r="H19" s="29"/>
      <c r="I19" s="15">
        <f t="shared" si="2"/>
        <v>3045</v>
      </c>
      <c r="J19" s="15"/>
      <c r="K19" s="29"/>
      <c r="L19" s="57">
        <v>3045</v>
      </c>
      <c r="M19" s="53"/>
      <c r="N19" s="29"/>
      <c r="O19" s="52"/>
      <c r="P19" s="53"/>
      <c r="R19" s="24"/>
      <c r="S19" s="30" t="s">
        <v>70</v>
      </c>
      <c r="T19" s="31"/>
      <c r="U19" s="67">
        <v>1185</v>
      </c>
    </row>
    <row r="20" spans="1:21" ht="18" thickBot="1" x14ac:dyDescent="0.3">
      <c r="A20" s="27" t="s">
        <v>61</v>
      </c>
      <c r="B20" s="28" t="s">
        <v>174</v>
      </c>
      <c r="C20" s="50">
        <v>1350</v>
      </c>
      <c r="D20" s="50" t="s">
        <v>62</v>
      </c>
      <c r="E20" s="54">
        <v>7</v>
      </c>
      <c r="F20" s="52">
        <v>250</v>
      </c>
      <c r="G20" s="53"/>
      <c r="H20" s="29"/>
      <c r="I20" s="15">
        <f t="shared" si="2"/>
        <v>1600</v>
      </c>
      <c r="J20" s="15"/>
      <c r="K20" s="29"/>
      <c r="L20" s="57">
        <v>1600</v>
      </c>
      <c r="M20" s="53"/>
      <c r="N20" s="29"/>
      <c r="O20" s="52"/>
      <c r="P20" s="53"/>
      <c r="R20" s="64"/>
      <c r="S20" s="68" t="s">
        <v>71</v>
      </c>
      <c r="T20" s="69"/>
      <c r="U20" s="70">
        <v>7400</v>
      </c>
    </row>
    <row r="21" spans="1:21" ht="18" thickBot="1" x14ac:dyDescent="0.3">
      <c r="A21" s="27"/>
      <c r="B21" s="28"/>
      <c r="C21" s="15"/>
      <c r="D21" s="15"/>
      <c r="E21" s="29"/>
      <c r="F21" s="52"/>
      <c r="G21" s="53"/>
      <c r="H21" s="29"/>
      <c r="I21" s="15"/>
      <c r="J21" s="15"/>
      <c r="K21" s="29"/>
      <c r="L21" s="57"/>
      <c r="M21" s="53"/>
      <c r="N21" s="29"/>
      <c r="O21" s="52"/>
      <c r="P21" s="53"/>
      <c r="R21" s="32"/>
      <c r="S21" s="32"/>
      <c r="T21" s="32"/>
      <c r="U21" s="32"/>
    </row>
    <row r="22" spans="1:21" ht="17" x14ac:dyDescent="0.25">
      <c r="A22" s="30" t="s">
        <v>69</v>
      </c>
      <c r="B22" s="31" t="s">
        <v>174</v>
      </c>
      <c r="C22" s="15"/>
      <c r="D22" s="15"/>
      <c r="E22" s="29">
        <v>1</v>
      </c>
      <c r="F22" s="52">
        <v>4940</v>
      </c>
      <c r="G22" s="53"/>
      <c r="H22" s="29"/>
      <c r="I22" s="15">
        <f>C22+F22-G22</f>
        <v>4940</v>
      </c>
      <c r="J22" s="15"/>
      <c r="K22" s="29"/>
      <c r="L22" s="57">
        <v>4940</v>
      </c>
      <c r="M22" s="53"/>
      <c r="N22" s="29"/>
      <c r="O22" s="52"/>
      <c r="P22" s="53"/>
      <c r="R22" s="60" t="s">
        <v>184</v>
      </c>
      <c r="S22" s="61" t="str">
        <f>S10</f>
        <v>Income Summary</v>
      </c>
      <c r="T22" s="61">
        <f>U7-T10</f>
        <v>29555</v>
      </c>
      <c r="U22" s="62"/>
    </row>
    <row r="23" spans="1:21" ht="17" x14ac:dyDescent="0.25">
      <c r="A23" s="30" t="s">
        <v>70</v>
      </c>
      <c r="B23" s="31" t="s">
        <v>174</v>
      </c>
      <c r="C23" s="15"/>
      <c r="D23" s="15"/>
      <c r="E23" s="29">
        <v>2</v>
      </c>
      <c r="F23" s="52">
        <v>1185</v>
      </c>
      <c r="G23" s="53"/>
      <c r="H23" s="29"/>
      <c r="I23" s="15">
        <f t="shared" ref="I23:I24" si="3">C23+F23-G23</f>
        <v>1185</v>
      </c>
      <c r="J23" s="15"/>
      <c r="K23" s="29"/>
      <c r="L23" s="57">
        <v>1185</v>
      </c>
      <c r="M23" s="53"/>
      <c r="N23" s="29"/>
      <c r="O23" s="52"/>
      <c r="P23" s="53"/>
      <c r="R23" s="24"/>
      <c r="S23" s="59" t="s">
        <v>187</v>
      </c>
      <c r="T23" s="32"/>
      <c r="U23" s="63">
        <f>T22</f>
        <v>29555</v>
      </c>
    </row>
    <row r="24" spans="1:21" ht="18" thickBot="1" x14ac:dyDescent="0.3">
      <c r="A24" s="30" t="s">
        <v>71</v>
      </c>
      <c r="B24" s="31" t="s">
        <v>174</v>
      </c>
      <c r="C24" s="15"/>
      <c r="D24" s="15"/>
      <c r="E24" s="29">
        <v>3</v>
      </c>
      <c r="F24" s="52">
        <v>7400</v>
      </c>
      <c r="G24" s="53"/>
      <c r="H24" s="29"/>
      <c r="I24" s="15">
        <f t="shared" si="3"/>
        <v>7400</v>
      </c>
      <c r="J24" s="15"/>
      <c r="K24" s="29"/>
      <c r="L24" s="57">
        <v>7400</v>
      </c>
      <c r="M24" s="53"/>
      <c r="N24" s="29"/>
      <c r="O24" s="52"/>
      <c r="P24" s="53"/>
      <c r="R24" s="64"/>
      <c r="S24" s="65" t="s">
        <v>186</v>
      </c>
      <c r="T24" s="65"/>
      <c r="U24" s="66"/>
    </row>
    <row r="25" spans="1:21" ht="18" thickBot="1" x14ac:dyDescent="0.3">
      <c r="A25" s="30" t="s">
        <v>72</v>
      </c>
      <c r="B25" s="31" t="s">
        <v>175</v>
      </c>
      <c r="C25" s="15"/>
      <c r="D25" s="15"/>
      <c r="E25" s="29">
        <v>4</v>
      </c>
      <c r="F25" s="52"/>
      <c r="G25" s="53">
        <v>260</v>
      </c>
      <c r="H25" s="29"/>
      <c r="I25" s="15"/>
      <c r="J25" s="15">
        <f>D25-F25+G25</f>
        <v>260</v>
      </c>
      <c r="K25" s="29"/>
      <c r="L25" s="52"/>
      <c r="M25" s="53"/>
      <c r="N25" s="29"/>
      <c r="O25" s="52"/>
      <c r="P25" s="53">
        <v>260</v>
      </c>
      <c r="R25" s="32"/>
      <c r="S25" s="32"/>
      <c r="T25" s="32"/>
      <c r="U25" s="32"/>
    </row>
    <row r="26" spans="1:21" ht="17" x14ac:dyDescent="0.25">
      <c r="A26" s="30" t="s">
        <v>73</v>
      </c>
      <c r="B26" s="31" t="s">
        <v>175</v>
      </c>
      <c r="C26" s="15"/>
      <c r="D26" s="15"/>
      <c r="E26" s="29">
        <v>5</v>
      </c>
      <c r="F26" s="52"/>
      <c r="G26" s="53">
        <v>830</v>
      </c>
      <c r="H26" s="29"/>
      <c r="I26" s="15"/>
      <c r="J26" s="15">
        <f t="shared" ref="J26:J28" si="4">D26-F26+G26</f>
        <v>830</v>
      </c>
      <c r="K26" s="29"/>
      <c r="L26" s="52"/>
      <c r="M26" s="53"/>
      <c r="N26" s="29"/>
      <c r="O26" s="52"/>
      <c r="P26" s="53">
        <v>830</v>
      </c>
      <c r="R26" s="60" t="s">
        <v>184</v>
      </c>
      <c r="S26" s="61" t="s">
        <v>39</v>
      </c>
      <c r="T26" s="61">
        <v>27000</v>
      </c>
      <c r="U26" s="62"/>
    </row>
    <row r="27" spans="1:21" ht="17" x14ac:dyDescent="0.25">
      <c r="A27" s="30" t="s">
        <v>74</v>
      </c>
      <c r="B27" s="31" t="s">
        <v>175</v>
      </c>
      <c r="C27" s="15"/>
      <c r="D27" s="15"/>
      <c r="E27" s="29">
        <v>6</v>
      </c>
      <c r="F27" s="52"/>
      <c r="G27" s="53">
        <v>425</v>
      </c>
      <c r="H27" s="29"/>
      <c r="I27" s="15"/>
      <c r="J27" s="15">
        <f t="shared" si="4"/>
        <v>425</v>
      </c>
      <c r="K27" s="29"/>
      <c r="L27" s="52"/>
      <c r="M27" s="53"/>
      <c r="N27" s="29"/>
      <c r="O27" s="52"/>
      <c r="P27" s="53">
        <v>425</v>
      </c>
      <c r="R27" s="24"/>
      <c r="S27" s="32" t="s">
        <v>40</v>
      </c>
      <c r="T27" s="32"/>
      <c r="U27" s="63">
        <f>O12</f>
        <v>27000</v>
      </c>
    </row>
    <row r="28" spans="1:21" ht="18" thickBot="1" x14ac:dyDescent="0.3">
      <c r="A28" s="30" t="s">
        <v>75</v>
      </c>
      <c r="B28" s="31" t="s">
        <v>175</v>
      </c>
      <c r="C28" s="15"/>
      <c r="D28" s="15"/>
      <c r="E28" s="29">
        <v>7</v>
      </c>
      <c r="F28" s="52"/>
      <c r="G28" s="53">
        <v>250</v>
      </c>
      <c r="H28" s="29"/>
      <c r="I28" s="15"/>
      <c r="J28" s="15">
        <f t="shared" si="4"/>
        <v>250</v>
      </c>
      <c r="K28" s="29"/>
      <c r="L28" s="52"/>
      <c r="M28" s="53"/>
      <c r="N28" s="29"/>
      <c r="O28" s="52"/>
      <c r="P28" s="53">
        <v>250</v>
      </c>
      <c r="R28" s="11"/>
      <c r="S28" s="65" t="s">
        <v>188</v>
      </c>
      <c r="T28" s="12"/>
      <c r="U28" s="13"/>
    </row>
    <row r="29" spans="1:21" ht="17" x14ac:dyDescent="0.25">
      <c r="A29" s="15" t="s">
        <v>179</v>
      </c>
      <c r="B29" s="29"/>
      <c r="C29" s="15"/>
      <c r="D29" s="15"/>
      <c r="E29" s="29"/>
      <c r="F29" s="52"/>
      <c r="G29" s="53"/>
      <c r="H29" s="29"/>
      <c r="I29" s="15"/>
      <c r="J29" s="15"/>
      <c r="K29" s="29"/>
      <c r="L29" s="52">
        <v>29555</v>
      </c>
      <c r="M29" s="53"/>
      <c r="N29" s="29"/>
      <c r="O29" s="52"/>
      <c r="P29" s="53">
        <f>L29</f>
        <v>29555</v>
      </c>
    </row>
    <row r="30" spans="1:21" ht="17" x14ac:dyDescent="0.25">
      <c r="A30" s="32"/>
      <c r="B30" s="29"/>
      <c r="C30" s="15"/>
      <c r="D30" s="15"/>
      <c r="E30" s="51"/>
      <c r="F30" s="52"/>
      <c r="G30" s="53"/>
      <c r="H30" s="29"/>
      <c r="I30" s="15"/>
      <c r="J30" s="15"/>
      <c r="K30" s="29"/>
      <c r="L30" s="52"/>
      <c r="M30" s="53"/>
      <c r="N30" s="29"/>
      <c r="O30" s="52"/>
      <c r="P30" s="53"/>
    </row>
    <row r="31" spans="1:21" ht="18" thickBot="1" x14ac:dyDescent="0.3">
      <c r="A31" s="15" t="s">
        <v>68</v>
      </c>
      <c r="B31" s="29"/>
      <c r="C31" s="50">
        <f>SUM(C5:C20)</f>
        <v>206640</v>
      </c>
      <c r="D31" s="50">
        <f>SUM(D5:D20)</f>
        <v>206640</v>
      </c>
      <c r="E31" s="29"/>
      <c r="F31" s="55">
        <f>SUM(F5:F30)</f>
        <v>15290</v>
      </c>
      <c r="G31" s="55">
        <f>SUM(G5:G30)</f>
        <v>15290</v>
      </c>
      <c r="H31" s="56"/>
      <c r="I31" s="55">
        <f>SUM(I5:I30)</f>
        <v>215805</v>
      </c>
      <c r="J31" s="55">
        <f>SUM(J5:J30)</f>
        <v>215805</v>
      </c>
      <c r="K31" s="56"/>
      <c r="L31" s="55">
        <f>SUM(L5:L30)</f>
        <v>126500</v>
      </c>
      <c r="M31" s="55">
        <f>SUM(M5:M30)</f>
        <v>126500</v>
      </c>
      <c r="N31" s="56"/>
      <c r="O31" s="55">
        <f>SUM(O5:O30)</f>
        <v>118860</v>
      </c>
      <c r="P31" s="55">
        <f>SUM(P5:P30)</f>
        <v>118860</v>
      </c>
    </row>
    <row r="32" spans="1:21" x14ac:dyDescent="0.2">
      <c r="L32">
        <f>M31-L31</f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678-24D7-4F17-8C17-332E4659A9B1}">
  <dimension ref="A1:P35"/>
  <sheetViews>
    <sheetView zoomScale="70" zoomScaleNormal="70" workbookViewId="0">
      <selection activeCell="P22" sqref="P22"/>
    </sheetView>
  </sheetViews>
  <sheetFormatPr baseColWidth="10" defaultColWidth="8.83203125" defaultRowHeight="15" x14ac:dyDescent="0.2"/>
  <cols>
    <col min="1" max="1" width="37.5" bestFit="1" customWidth="1"/>
    <col min="2" max="2" width="5.6640625" customWidth="1"/>
    <col min="3" max="4" width="9.1640625" bestFit="1" customWidth="1"/>
    <col min="5" max="5" width="5.6640625" customWidth="1"/>
    <col min="8" max="8" width="3.5" customWidth="1"/>
    <col min="11" max="11" width="3.1640625" customWidth="1"/>
    <col min="14" max="14" width="3.33203125" customWidth="1"/>
  </cols>
  <sheetData>
    <row r="1" spans="1:16" ht="32" x14ac:dyDescent="0.25">
      <c r="A1" s="14" t="s">
        <v>124</v>
      </c>
      <c r="B1" s="15"/>
      <c r="C1" s="19" t="s">
        <v>27</v>
      </c>
      <c r="D1" s="19" t="s">
        <v>63</v>
      </c>
      <c r="E1" s="20"/>
      <c r="F1" s="19" t="s">
        <v>64</v>
      </c>
      <c r="G1" s="19"/>
      <c r="H1" s="19"/>
      <c r="I1" s="19" t="s">
        <v>28</v>
      </c>
      <c r="J1" s="19" t="s">
        <v>63</v>
      </c>
      <c r="K1" s="19"/>
      <c r="L1" s="21" t="s">
        <v>65</v>
      </c>
      <c r="M1" s="21" t="s">
        <v>66</v>
      </c>
      <c r="N1" s="21"/>
      <c r="O1" s="19" t="s">
        <v>67</v>
      </c>
      <c r="P1" s="21"/>
    </row>
    <row r="2" spans="1:16" ht="17" x14ac:dyDescent="0.25">
      <c r="A2" s="14"/>
      <c r="B2" s="15"/>
      <c r="C2" s="15"/>
      <c r="D2" s="19"/>
      <c r="E2" s="20" t="s">
        <v>93</v>
      </c>
      <c r="F2" s="19"/>
      <c r="G2" s="19"/>
      <c r="H2" s="19"/>
      <c r="I2" s="15"/>
      <c r="J2" s="19"/>
      <c r="K2" s="19"/>
      <c r="L2" s="15"/>
      <c r="M2" s="21"/>
      <c r="N2" s="21"/>
      <c r="O2" s="21"/>
      <c r="P2" s="21"/>
    </row>
    <row r="3" spans="1:16" ht="19" x14ac:dyDescent="0.3">
      <c r="A3" s="17" t="s">
        <v>94</v>
      </c>
      <c r="B3" s="15"/>
      <c r="C3" s="20" t="s">
        <v>45</v>
      </c>
      <c r="D3" s="20" t="s">
        <v>46</v>
      </c>
      <c r="E3" s="20"/>
      <c r="F3" s="20" t="s">
        <v>45</v>
      </c>
      <c r="G3" s="20" t="s">
        <v>46</v>
      </c>
      <c r="H3" s="20"/>
      <c r="I3" s="20" t="s">
        <v>45</v>
      </c>
      <c r="J3" s="21" t="s">
        <v>46</v>
      </c>
      <c r="K3" s="21"/>
      <c r="L3" s="20" t="s">
        <v>45</v>
      </c>
      <c r="M3" s="20" t="s">
        <v>46</v>
      </c>
      <c r="N3" s="20"/>
      <c r="O3" s="20" t="s">
        <v>45</v>
      </c>
      <c r="P3" s="20" t="s">
        <v>46</v>
      </c>
    </row>
    <row r="4" spans="1:16" ht="19" x14ac:dyDescent="0.3">
      <c r="A4" s="17" t="s">
        <v>77</v>
      </c>
      <c r="B4" s="15"/>
      <c r="C4" s="15">
        <v>5200</v>
      </c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</row>
    <row r="5" spans="1:16" ht="19" x14ac:dyDescent="0.3">
      <c r="A5" s="17" t="s">
        <v>95</v>
      </c>
      <c r="B5" s="15"/>
      <c r="C5" s="15">
        <v>9260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1:16" ht="19" x14ac:dyDescent="0.3">
      <c r="A6" s="17" t="s">
        <v>96</v>
      </c>
      <c r="B6" s="15"/>
      <c r="C6" s="15">
        <v>920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</row>
    <row r="7" spans="1:16" ht="19" x14ac:dyDescent="0.3">
      <c r="A7" s="17" t="s">
        <v>78</v>
      </c>
      <c r="B7" s="15" t="s">
        <v>171</v>
      </c>
      <c r="C7" s="15">
        <v>1140</v>
      </c>
      <c r="D7" s="15"/>
      <c r="E7" s="15">
        <v>1</v>
      </c>
      <c r="F7" s="15"/>
      <c r="G7" s="15">
        <v>720</v>
      </c>
      <c r="H7" s="15"/>
      <c r="I7" s="15"/>
      <c r="J7" s="15"/>
      <c r="K7" s="15"/>
      <c r="L7" s="15"/>
      <c r="M7" s="15"/>
      <c r="N7" s="15"/>
      <c r="O7" s="15"/>
      <c r="P7" s="15"/>
    </row>
    <row r="8" spans="1:16" ht="19" x14ac:dyDescent="0.3">
      <c r="A8" s="17" t="s">
        <v>97</v>
      </c>
      <c r="B8" s="15"/>
      <c r="C8" s="15">
        <v>60000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ht="19" x14ac:dyDescent="0.3">
      <c r="A9" s="17" t="s">
        <v>98</v>
      </c>
      <c r="B9" s="15"/>
      <c r="C9" s="15">
        <v>152000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</row>
    <row r="10" spans="1:16" ht="19" x14ac:dyDescent="0.3">
      <c r="A10" s="17" t="s">
        <v>189</v>
      </c>
      <c r="B10" s="15"/>
      <c r="C10" s="15"/>
      <c r="D10" s="15">
        <v>64000</v>
      </c>
      <c r="E10" s="15">
        <v>3</v>
      </c>
      <c r="F10" s="15"/>
      <c r="G10" s="15">
        <f>F26</f>
        <v>8760</v>
      </c>
      <c r="H10" s="15"/>
      <c r="I10" s="15"/>
      <c r="J10" s="15"/>
      <c r="K10" s="15"/>
      <c r="L10" s="15"/>
      <c r="M10" s="15"/>
      <c r="N10" s="15"/>
      <c r="O10" s="15"/>
      <c r="P10" s="15"/>
    </row>
    <row r="11" spans="1:16" ht="19" x14ac:dyDescent="0.3">
      <c r="A11" s="17" t="s">
        <v>80</v>
      </c>
      <c r="B11" s="15"/>
      <c r="C11" s="15">
        <v>23400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6" ht="19" x14ac:dyDescent="0.3">
      <c r="A12" s="17" t="s">
        <v>190</v>
      </c>
      <c r="B12" s="15"/>
      <c r="C12" s="15"/>
      <c r="D12" s="15">
        <v>6420</v>
      </c>
      <c r="E12" s="15">
        <v>3</v>
      </c>
      <c r="F12" s="15"/>
      <c r="G12" s="15">
        <f>F27</f>
        <v>2140</v>
      </c>
      <c r="H12" s="15"/>
      <c r="I12" s="15"/>
      <c r="J12" s="15"/>
      <c r="K12" s="15"/>
      <c r="L12" s="15"/>
      <c r="M12" s="15"/>
      <c r="N12" s="15"/>
      <c r="O12" s="15"/>
      <c r="P12" s="15"/>
    </row>
    <row r="13" spans="1:16" ht="19" x14ac:dyDescent="0.3">
      <c r="A13" s="17" t="s">
        <v>99</v>
      </c>
      <c r="B13" s="15"/>
      <c r="C13" s="15"/>
      <c r="D13" s="15">
        <v>7960</v>
      </c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4" spans="1:16" ht="19" x14ac:dyDescent="0.3">
      <c r="A14" s="17" t="s">
        <v>100</v>
      </c>
      <c r="B14" s="15" t="s">
        <v>175</v>
      </c>
      <c r="C14" s="15"/>
      <c r="D14" s="15">
        <v>1560</v>
      </c>
      <c r="E14" s="15">
        <v>2</v>
      </c>
      <c r="F14" s="15">
        <v>1200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</row>
    <row r="15" spans="1:16" ht="19" x14ac:dyDescent="0.3">
      <c r="A15" s="17" t="s">
        <v>101</v>
      </c>
      <c r="B15" s="15"/>
      <c r="C15" s="15"/>
      <c r="D15" s="15">
        <v>2000</v>
      </c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</row>
    <row r="16" spans="1:16" ht="19" x14ac:dyDescent="0.3">
      <c r="A16" s="17" t="s">
        <v>102</v>
      </c>
      <c r="B16" s="15"/>
      <c r="C16" s="15"/>
      <c r="D16" s="15">
        <v>88600</v>
      </c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</row>
    <row r="17" spans="1:16" ht="19" x14ac:dyDescent="0.3">
      <c r="A17" s="17" t="s">
        <v>103</v>
      </c>
      <c r="B17" s="15"/>
      <c r="C17" s="15"/>
      <c r="D17" s="15">
        <v>71490</v>
      </c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</row>
    <row r="18" spans="1:16" ht="19" x14ac:dyDescent="0.3">
      <c r="A18" s="17" t="s">
        <v>104</v>
      </c>
      <c r="B18" s="15"/>
      <c r="C18" s="15">
        <v>52780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</row>
    <row r="19" spans="1:16" ht="19" x14ac:dyDescent="0.3">
      <c r="A19" s="17" t="s">
        <v>105</v>
      </c>
      <c r="B19" s="15" t="s">
        <v>172</v>
      </c>
      <c r="C19" s="15"/>
      <c r="D19" s="15">
        <v>156860</v>
      </c>
      <c r="E19" s="15">
        <v>2</v>
      </c>
      <c r="F19" s="15"/>
      <c r="G19" s="15">
        <v>1200</v>
      </c>
      <c r="H19" s="15"/>
      <c r="I19" s="15"/>
      <c r="J19" s="15"/>
      <c r="K19" s="15"/>
      <c r="L19" s="15"/>
      <c r="M19" s="15"/>
      <c r="N19" s="15"/>
      <c r="O19" s="15"/>
      <c r="P19" s="15"/>
    </row>
    <row r="20" spans="1:16" ht="19" x14ac:dyDescent="0.3">
      <c r="A20" s="17" t="s">
        <v>70</v>
      </c>
      <c r="B20" s="15"/>
      <c r="C20" s="15">
        <v>1660</v>
      </c>
      <c r="D20" s="15"/>
      <c r="E20" s="15">
        <v>4</v>
      </c>
      <c r="F20" s="15"/>
      <c r="G20" s="15">
        <v>585</v>
      </c>
      <c r="H20" s="15"/>
      <c r="I20" s="15"/>
      <c r="J20" s="15"/>
      <c r="K20" s="15"/>
      <c r="L20" s="15"/>
      <c r="M20" s="15"/>
      <c r="N20" s="15"/>
      <c r="O20" s="15"/>
      <c r="P20" s="15"/>
    </row>
    <row r="21" spans="1:16" ht="19" x14ac:dyDescent="0.3">
      <c r="A21" s="17" t="s">
        <v>84</v>
      </c>
      <c r="B21" s="15"/>
      <c r="C21" s="15">
        <v>87940</v>
      </c>
      <c r="D21" s="15"/>
      <c r="E21" s="15">
        <v>7</v>
      </c>
      <c r="F21" s="15">
        <v>980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</row>
    <row r="22" spans="1:16" ht="19" x14ac:dyDescent="0.3">
      <c r="A22" s="17" t="s">
        <v>88</v>
      </c>
      <c r="B22" s="15"/>
      <c r="C22" s="15">
        <v>760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</row>
    <row r="23" spans="1:16" ht="19" x14ac:dyDescent="0.3">
      <c r="A23" s="17" t="s">
        <v>90</v>
      </c>
      <c r="B23" s="15"/>
      <c r="C23" s="15">
        <v>2090</v>
      </c>
      <c r="D23" s="15"/>
      <c r="E23" s="15">
        <v>5</v>
      </c>
      <c r="F23" s="15">
        <v>220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</row>
    <row r="24" spans="1:16" ht="19" x14ac:dyDescent="0.3">
      <c r="A24" s="17" t="s">
        <v>106</v>
      </c>
      <c r="B24" s="15"/>
      <c r="C24" s="15">
        <v>1740</v>
      </c>
      <c r="D24" s="15" t="s">
        <v>62</v>
      </c>
      <c r="E24" s="15">
        <v>6</v>
      </c>
      <c r="F24" s="15">
        <v>320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</row>
    <row r="25" spans="1:16" ht="20" x14ac:dyDescent="0.25">
      <c r="A25" s="18" t="s">
        <v>125</v>
      </c>
      <c r="B25" s="16" t="s">
        <v>174</v>
      </c>
      <c r="C25" s="15"/>
      <c r="D25" s="15"/>
      <c r="E25" s="15">
        <v>1</v>
      </c>
      <c r="F25" s="15">
        <v>720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</row>
    <row r="26" spans="1:16" ht="20" x14ac:dyDescent="0.25">
      <c r="A26" s="18" t="s">
        <v>126</v>
      </c>
      <c r="B26" s="16"/>
      <c r="C26" s="15"/>
      <c r="D26" s="15"/>
      <c r="E26" s="15">
        <v>3</v>
      </c>
      <c r="F26" s="15">
        <v>8760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</row>
    <row r="27" spans="1:16" ht="20" x14ac:dyDescent="0.25">
      <c r="A27" s="18" t="s">
        <v>127</v>
      </c>
      <c r="B27" s="16"/>
      <c r="C27" s="15"/>
      <c r="D27" s="15"/>
      <c r="E27" s="15">
        <v>3</v>
      </c>
      <c r="F27" s="15">
        <v>2140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</row>
    <row r="28" spans="1:16" ht="20" x14ac:dyDescent="0.25">
      <c r="A28" s="18" t="s">
        <v>79</v>
      </c>
      <c r="B28" s="16"/>
      <c r="C28" s="15"/>
      <c r="D28" s="15"/>
      <c r="E28" s="15">
        <v>4</v>
      </c>
      <c r="F28" s="15">
        <v>585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</row>
    <row r="29" spans="1:16" ht="20" x14ac:dyDescent="0.25">
      <c r="A29" s="18" t="s">
        <v>75</v>
      </c>
      <c r="B29" s="16"/>
      <c r="C29" s="15"/>
      <c r="D29" s="15"/>
      <c r="E29" s="15">
        <v>5</v>
      </c>
      <c r="F29" s="15"/>
      <c r="G29" s="15">
        <v>220</v>
      </c>
      <c r="H29" s="15"/>
      <c r="I29" s="15"/>
      <c r="J29" s="15"/>
      <c r="K29" s="15"/>
      <c r="L29" s="15"/>
      <c r="M29" s="15"/>
      <c r="N29" s="15"/>
      <c r="O29" s="15"/>
      <c r="P29" s="15"/>
    </row>
    <row r="30" spans="1:16" ht="20" x14ac:dyDescent="0.25">
      <c r="A30" s="18" t="s">
        <v>128</v>
      </c>
      <c r="B30" s="16"/>
      <c r="C30" s="15"/>
      <c r="D30" s="15"/>
      <c r="E30" s="15">
        <v>6</v>
      </c>
      <c r="F30" s="15"/>
      <c r="G30" s="15">
        <v>320</v>
      </c>
      <c r="H30" s="15"/>
      <c r="I30" s="15"/>
      <c r="J30" s="15"/>
      <c r="K30" s="15"/>
      <c r="L30" s="15"/>
      <c r="M30" s="15"/>
      <c r="N30" s="15"/>
      <c r="O30" s="15"/>
      <c r="P30" s="15"/>
    </row>
    <row r="31" spans="1:16" ht="20" x14ac:dyDescent="0.25">
      <c r="A31" s="18" t="s">
        <v>72</v>
      </c>
      <c r="B31" s="16"/>
      <c r="C31" s="15"/>
      <c r="D31" s="15"/>
      <c r="E31" s="15">
        <v>7</v>
      </c>
      <c r="F31" s="15"/>
      <c r="G31" s="15">
        <v>980</v>
      </c>
      <c r="H31" s="15"/>
      <c r="I31" s="15"/>
      <c r="J31" s="15"/>
      <c r="K31" s="15"/>
      <c r="L31" s="15"/>
      <c r="M31" s="15"/>
      <c r="N31" s="15"/>
      <c r="O31" s="15"/>
      <c r="P31" s="15"/>
    </row>
    <row r="32" spans="1:16" ht="19" x14ac:dyDescent="0.25">
      <c r="A32" s="18"/>
      <c r="B32" s="16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</row>
    <row r="33" spans="1:16" ht="20" x14ac:dyDescent="0.25">
      <c r="A33" s="18" t="s">
        <v>129</v>
      </c>
      <c r="B33" s="16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</row>
    <row r="34" spans="1:16" ht="19" x14ac:dyDescent="0.3">
      <c r="A34" s="17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</row>
    <row r="35" spans="1:16" ht="17" x14ac:dyDescent="0.25">
      <c r="A35" s="14"/>
      <c r="B35" s="15"/>
      <c r="C35" s="15">
        <f>SUM(C4:C34)</f>
        <v>398890</v>
      </c>
      <c r="D35" s="15">
        <f>SUM(D4:D34)</f>
        <v>398890</v>
      </c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70836-D79F-4864-89CC-B27D7E0A03DC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CDB96-6C4C-4200-8B12-486AAEF84CD0}">
  <dimension ref="A1:M35"/>
  <sheetViews>
    <sheetView zoomScale="138" workbookViewId="0">
      <pane ySplit="2" topLeftCell="A3" activePane="bottomLeft" state="frozen"/>
      <selection pane="bottomLeft" activeCell="F24" sqref="F24"/>
    </sheetView>
  </sheetViews>
  <sheetFormatPr baseColWidth="10" defaultColWidth="8.83203125" defaultRowHeight="15" x14ac:dyDescent="0.2"/>
  <cols>
    <col min="3" max="3" width="18.1640625" customWidth="1"/>
    <col min="11" max="11" width="12.6640625" customWidth="1"/>
  </cols>
  <sheetData>
    <row r="1" spans="1:9" x14ac:dyDescent="0.2">
      <c r="B1" s="3"/>
      <c r="C1" s="4" t="s">
        <v>15</v>
      </c>
      <c r="D1" s="4"/>
      <c r="E1" s="5"/>
      <c r="H1" t="s">
        <v>207</v>
      </c>
    </row>
    <row r="2" spans="1:9" ht="16" thickBot="1" x14ac:dyDescent="0.25">
      <c r="A2" t="s">
        <v>93</v>
      </c>
      <c r="B2" s="6" t="s">
        <v>180</v>
      </c>
      <c r="C2" t="s">
        <v>181</v>
      </c>
      <c r="D2" t="s">
        <v>191</v>
      </c>
      <c r="E2" s="7" t="s">
        <v>13</v>
      </c>
    </row>
    <row r="3" spans="1:9" x14ac:dyDescent="0.2">
      <c r="A3">
        <v>1</v>
      </c>
      <c r="B3" s="73">
        <v>46387</v>
      </c>
      <c r="C3" s="4" t="s">
        <v>205</v>
      </c>
      <c r="D3" s="4">
        <v>4940</v>
      </c>
      <c r="E3" s="5"/>
      <c r="G3">
        <v>1</v>
      </c>
      <c r="H3" t="s">
        <v>198</v>
      </c>
      <c r="I3" t="s">
        <v>199</v>
      </c>
    </row>
    <row r="4" spans="1:9" ht="16.5" customHeight="1" x14ac:dyDescent="0.2">
      <c r="B4" s="6"/>
      <c r="C4" t="s">
        <v>206</v>
      </c>
      <c r="E4" s="7">
        <f>D3</f>
        <v>4940</v>
      </c>
      <c r="G4" s="72" t="s">
        <v>197</v>
      </c>
      <c r="H4" t="s">
        <v>200</v>
      </c>
      <c r="I4" t="s">
        <v>201</v>
      </c>
    </row>
    <row r="5" spans="1:9" ht="16" thickBot="1" x14ac:dyDescent="0.25">
      <c r="B5" s="11"/>
      <c r="C5" s="12" t="s">
        <v>208</v>
      </c>
      <c r="D5" s="12"/>
      <c r="E5" s="13"/>
      <c r="G5">
        <v>4</v>
      </c>
      <c r="H5" t="s">
        <v>45</v>
      </c>
      <c r="I5" t="s">
        <v>46</v>
      </c>
    </row>
    <row r="6" spans="1:9" ht="16" thickBot="1" x14ac:dyDescent="0.25">
      <c r="B6" s="6"/>
      <c r="E6" s="7"/>
    </row>
    <row r="7" spans="1:9" x14ac:dyDescent="0.2">
      <c r="A7">
        <v>2</v>
      </c>
      <c r="B7" s="73">
        <v>46387</v>
      </c>
      <c r="C7" s="4" t="s">
        <v>211</v>
      </c>
      <c r="D7" s="4">
        <v>1185</v>
      </c>
      <c r="E7" s="5"/>
      <c r="G7" s="72">
        <v>1</v>
      </c>
      <c r="H7" t="s">
        <v>209</v>
      </c>
      <c r="I7" t="s">
        <v>210</v>
      </c>
    </row>
    <row r="8" spans="1:9" x14ac:dyDescent="0.2">
      <c r="B8" s="6"/>
      <c r="C8" t="s">
        <v>79</v>
      </c>
      <c r="E8" s="7">
        <v>1185</v>
      </c>
      <c r="G8" s="72" t="s">
        <v>197</v>
      </c>
      <c r="H8" t="s">
        <v>200</v>
      </c>
      <c r="I8" t="s">
        <v>201</v>
      </c>
    </row>
    <row r="9" spans="1:9" ht="16" thickBot="1" x14ac:dyDescent="0.25">
      <c r="B9" s="11"/>
      <c r="C9" s="12" t="s">
        <v>212</v>
      </c>
      <c r="D9" s="12"/>
      <c r="E9" s="13"/>
      <c r="G9" s="72">
        <v>4</v>
      </c>
      <c r="H9" t="s">
        <v>45</v>
      </c>
      <c r="I9" t="s">
        <v>46</v>
      </c>
    </row>
    <row r="10" spans="1:9" ht="16" thickBot="1" x14ac:dyDescent="0.25">
      <c r="B10" s="6"/>
      <c r="E10" s="7"/>
    </row>
    <row r="11" spans="1:9" x14ac:dyDescent="0.2">
      <c r="A11">
        <v>3</v>
      </c>
      <c r="B11" s="73">
        <v>46387</v>
      </c>
      <c r="C11" s="4" t="s">
        <v>214</v>
      </c>
      <c r="D11" s="4">
        <v>7400</v>
      </c>
      <c r="E11" s="5"/>
      <c r="G11" s="72">
        <v>1</v>
      </c>
      <c r="H11" t="s">
        <v>213</v>
      </c>
      <c r="I11" t="s">
        <v>214</v>
      </c>
    </row>
    <row r="12" spans="1:9" x14ac:dyDescent="0.2">
      <c r="B12" s="6"/>
      <c r="C12" t="s">
        <v>213</v>
      </c>
      <c r="E12" s="7">
        <v>7400</v>
      </c>
      <c r="G12" s="72" t="s">
        <v>197</v>
      </c>
      <c r="H12" s="71" t="s">
        <v>201</v>
      </c>
      <c r="I12" s="71" t="s">
        <v>200</v>
      </c>
    </row>
    <row r="13" spans="1:9" ht="16" thickBot="1" x14ac:dyDescent="0.25">
      <c r="B13" s="11"/>
      <c r="C13" s="12" t="s">
        <v>217</v>
      </c>
      <c r="D13" s="12"/>
      <c r="E13" s="13"/>
      <c r="G13" s="72">
        <v>4</v>
      </c>
      <c r="H13" t="s">
        <v>215</v>
      </c>
      <c r="I13" t="s">
        <v>216</v>
      </c>
    </row>
    <row r="14" spans="1:9" ht="16" thickBot="1" x14ac:dyDescent="0.25">
      <c r="B14" s="6"/>
      <c r="E14" s="7"/>
    </row>
    <row r="15" spans="1:9" x14ac:dyDescent="0.2">
      <c r="A15">
        <v>4</v>
      </c>
      <c r="B15" s="73">
        <v>46387</v>
      </c>
      <c r="C15" s="4" t="s">
        <v>218</v>
      </c>
      <c r="D15" s="4">
        <v>260</v>
      </c>
      <c r="E15" s="5"/>
      <c r="G15" s="72">
        <v>1</v>
      </c>
      <c r="H15" t="s">
        <v>218</v>
      </c>
      <c r="I15" t="s">
        <v>219</v>
      </c>
    </row>
    <row r="16" spans="1:9" x14ac:dyDescent="0.2">
      <c r="B16" s="6"/>
      <c r="C16" t="s">
        <v>219</v>
      </c>
      <c r="E16" s="7">
        <v>260</v>
      </c>
      <c r="G16" s="72" t="s">
        <v>197</v>
      </c>
      <c r="H16" s="71" t="s">
        <v>200</v>
      </c>
      <c r="I16" s="71" t="s">
        <v>220</v>
      </c>
    </row>
    <row r="17" spans="1:13" ht="16" thickBot="1" x14ac:dyDescent="0.25">
      <c r="B17" s="11"/>
      <c r="C17" s="12" t="s">
        <v>221</v>
      </c>
      <c r="D17" s="12"/>
      <c r="E17" s="13"/>
      <c r="G17" s="72">
        <v>4</v>
      </c>
      <c r="H17" t="s">
        <v>216</v>
      </c>
      <c r="I17" t="s">
        <v>215</v>
      </c>
    </row>
    <row r="18" spans="1:13" ht="16" thickBot="1" x14ac:dyDescent="0.25">
      <c r="B18" s="6"/>
      <c r="E18" s="7"/>
    </row>
    <row r="19" spans="1:13" x14ac:dyDescent="0.2">
      <c r="A19">
        <v>5</v>
      </c>
      <c r="B19" s="73">
        <v>46387</v>
      </c>
      <c r="C19" t="s">
        <v>224</v>
      </c>
      <c r="D19">
        <v>830</v>
      </c>
      <c r="E19" s="7"/>
      <c r="G19" s="72">
        <v>1</v>
      </c>
      <c r="H19" t="s">
        <v>222</v>
      </c>
      <c r="I19" t="s">
        <v>223</v>
      </c>
    </row>
    <row r="20" spans="1:13" x14ac:dyDescent="0.2">
      <c r="B20" s="6"/>
      <c r="C20" t="s">
        <v>225</v>
      </c>
      <c r="E20" s="7">
        <v>830</v>
      </c>
      <c r="G20" s="72" t="s">
        <v>197</v>
      </c>
      <c r="H20" s="71" t="s">
        <v>200</v>
      </c>
      <c r="I20" s="71" t="s">
        <v>220</v>
      </c>
    </row>
    <row r="21" spans="1:13" x14ac:dyDescent="0.2">
      <c r="B21" s="6"/>
      <c r="C21" t="s">
        <v>226</v>
      </c>
      <c r="E21" s="7"/>
      <c r="G21" s="72">
        <v>4</v>
      </c>
      <c r="H21" t="s">
        <v>216</v>
      </c>
      <c r="I21" t="s">
        <v>215</v>
      </c>
    </row>
    <row r="22" spans="1:13" ht="16" thickBot="1" x14ac:dyDescent="0.25">
      <c r="B22" s="11"/>
      <c r="C22" s="12"/>
      <c r="D22" s="12"/>
      <c r="E22" s="13"/>
    </row>
    <row r="23" spans="1:13" ht="16" thickBot="1" x14ac:dyDescent="0.25"/>
    <row r="24" spans="1:13" x14ac:dyDescent="0.2">
      <c r="A24">
        <v>6</v>
      </c>
      <c r="B24" s="73">
        <v>46387</v>
      </c>
      <c r="C24" s="4" t="s">
        <v>227</v>
      </c>
      <c r="D24" s="4">
        <v>425</v>
      </c>
      <c r="E24" s="5"/>
      <c r="G24" s="72">
        <v>1</v>
      </c>
      <c r="H24" t="s">
        <v>227</v>
      </c>
      <c r="I24" t="s">
        <v>228</v>
      </c>
    </row>
    <row r="25" spans="1:13" x14ac:dyDescent="0.2">
      <c r="B25" s="6"/>
      <c r="C25" t="s">
        <v>228</v>
      </c>
      <c r="E25" s="7">
        <v>425</v>
      </c>
      <c r="G25" s="72" t="s">
        <v>197</v>
      </c>
      <c r="H25" s="71" t="s">
        <v>200</v>
      </c>
      <c r="I25" s="71" t="s">
        <v>220</v>
      </c>
    </row>
    <row r="26" spans="1:13" ht="16" thickBot="1" x14ac:dyDescent="0.25">
      <c r="B26" s="11"/>
      <c r="C26" s="12" t="s">
        <v>229</v>
      </c>
      <c r="D26" s="12"/>
      <c r="E26" s="13"/>
      <c r="G26" s="72">
        <v>4</v>
      </c>
      <c r="H26" t="s">
        <v>216</v>
      </c>
      <c r="I26" t="s">
        <v>215</v>
      </c>
    </row>
    <row r="27" spans="1:13" ht="16" thickBot="1" x14ac:dyDescent="0.25"/>
    <row r="28" spans="1:13" ht="16" thickBot="1" x14ac:dyDescent="0.25">
      <c r="A28">
        <v>7</v>
      </c>
      <c r="B28" s="73">
        <v>46387</v>
      </c>
      <c r="C28" s="4" t="s">
        <v>230</v>
      </c>
      <c r="D28" s="4">
        <v>250</v>
      </c>
      <c r="E28" s="5"/>
      <c r="G28" s="72">
        <v>1</v>
      </c>
      <c r="H28" t="s">
        <v>230</v>
      </c>
      <c r="I28" t="s">
        <v>231</v>
      </c>
    </row>
    <row r="29" spans="1:13" x14ac:dyDescent="0.2">
      <c r="B29" s="6"/>
      <c r="C29" t="s">
        <v>231</v>
      </c>
      <c r="E29" s="4">
        <v>250</v>
      </c>
      <c r="G29" s="72" t="s">
        <v>197</v>
      </c>
      <c r="H29" s="71" t="s">
        <v>200</v>
      </c>
      <c r="I29" s="71" t="s">
        <v>220</v>
      </c>
    </row>
    <row r="30" spans="1:13" ht="16" thickBot="1" x14ac:dyDescent="0.25">
      <c r="B30" s="11"/>
      <c r="C30" s="12" t="s">
        <v>229</v>
      </c>
      <c r="D30" s="12"/>
      <c r="E30" s="13"/>
      <c r="G30" s="72">
        <v>4</v>
      </c>
      <c r="H30" t="s">
        <v>216</v>
      </c>
      <c r="I30" t="s">
        <v>215</v>
      </c>
    </row>
    <row r="31" spans="1:13" ht="16" thickBot="1" x14ac:dyDescent="0.25"/>
    <row r="32" spans="1:13" x14ac:dyDescent="0.2">
      <c r="G32">
        <v>1</v>
      </c>
      <c r="H32" t="s">
        <v>193</v>
      </c>
      <c r="I32" t="s">
        <v>192</v>
      </c>
      <c r="K32" s="74"/>
      <c r="L32" s="75" t="s">
        <v>45</v>
      </c>
      <c r="M32" s="76" t="s">
        <v>46</v>
      </c>
    </row>
    <row r="33" spans="7:13" x14ac:dyDescent="0.2">
      <c r="G33">
        <v>2</v>
      </c>
      <c r="H33" t="s">
        <v>194</v>
      </c>
      <c r="I33" t="s">
        <v>194</v>
      </c>
      <c r="K33" s="77" t="s">
        <v>202</v>
      </c>
      <c r="L33" s="78" t="s">
        <v>204</v>
      </c>
      <c r="M33" s="79" t="s">
        <v>11</v>
      </c>
    </row>
    <row r="34" spans="7:13" ht="16" thickBot="1" x14ac:dyDescent="0.25">
      <c r="G34">
        <v>3</v>
      </c>
      <c r="H34" s="71" t="s">
        <v>196</v>
      </c>
      <c r="I34" s="71" t="s">
        <v>196</v>
      </c>
      <c r="K34" s="80" t="s">
        <v>203</v>
      </c>
      <c r="L34" s="81" t="s">
        <v>11</v>
      </c>
      <c r="M34" s="82" t="s">
        <v>204</v>
      </c>
    </row>
    <row r="35" spans="7:13" x14ac:dyDescent="0.2">
      <c r="G35">
        <v>4</v>
      </c>
      <c r="H35" t="s">
        <v>195</v>
      </c>
      <c r="I35" t="s">
        <v>195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B4DE-EA90-4F91-8180-6C1E6B7C8861}">
  <dimension ref="A2:L32"/>
  <sheetViews>
    <sheetView workbookViewId="0">
      <selection activeCell="A33" sqref="A33"/>
    </sheetView>
  </sheetViews>
  <sheetFormatPr baseColWidth="10" defaultColWidth="8.83203125" defaultRowHeight="15" x14ac:dyDescent="0.2"/>
  <cols>
    <col min="1" max="1" width="21" bestFit="1" customWidth="1"/>
    <col min="2" max="2" width="11.83203125" customWidth="1"/>
    <col min="10" max="10" width="9.33203125" bestFit="1" customWidth="1"/>
  </cols>
  <sheetData>
    <row r="2" spans="1:12" x14ac:dyDescent="0.2">
      <c r="A2" s="14" t="s">
        <v>76</v>
      </c>
      <c r="B2" s="14" t="s">
        <v>27</v>
      </c>
      <c r="C2" s="14"/>
      <c r="D2" s="14"/>
      <c r="E2" s="14" t="s">
        <v>64</v>
      </c>
      <c r="F2" s="14"/>
      <c r="G2" s="14" t="s">
        <v>28</v>
      </c>
      <c r="H2" s="14"/>
      <c r="I2" s="14" t="s">
        <v>65</v>
      </c>
      <c r="J2" s="14" t="s">
        <v>66</v>
      </c>
      <c r="K2" s="14" t="s">
        <v>67</v>
      </c>
      <c r="L2" s="14"/>
    </row>
    <row r="3" spans="1:12" x14ac:dyDescent="0.2">
      <c r="A3" s="14"/>
      <c r="B3" s="14" t="s">
        <v>63</v>
      </c>
      <c r="C3" s="14"/>
      <c r="D3" s="14"/>
      <c r="E3" s="14"/>
      <c r="F3" s="14"/>
      <c r="G3" s="14" t="s">
        <v>63</v>
      </c>
      <c r="H3" s="14"/>
      <c r="J3" s="14"/>
      <c r="K3" s="14"/>
      <c r="L3" s="14"/>
    </row>
    <row r="4" spans="1:12" x14ac:dyDescent="0.2">
      <c r="A4" s="14"/>
      <c r="B4" s="14" t="s">
        <v>45</v>
      </c>
      <c r="C4" s="14" t="s">
        <v>46</v>
      </c>
      <c r="D4" s="14"/>
      <c r="E4" s="14" t="s">
        <v>45</v>
      </c>
      <c r="F4" s="14" t="s">
        <v>46</v>
      </c>
      <c r="G4" s="14" t="s">
        <v>45</v>
      </c>
      <c r="H4" s="14" t="s">
        <v>46</v>
      </c>
      <c r="I4" s="14" t="s">
        <v>45</v>
      </c>
      <c r="J4" s="14" t="s">
        <v>46</v>
      </c>
      <c r="K4" s="14" t="s">
        <v>45</v>
      </c>
      <c r="L4" s="14" t="s">
        <v>46</v>
      </c>
    </row>
    <row r="5" spans="1:12" x14ac:dyDescent="0.2">
      <c r="A5" s="14" t="s">
        <v>77</v>
      </c>
      <c r="B5" s="14">
        <v>6200</v>
      </c>
      <c r="C5" s="14"/>
      <c r="D5" s="14"/>
      <c r="E5" s="14"/>
      <c r="F5" s="14"/>
      <c r="G5" s="14">
        <v>6200</v>
      </c>
      <c r="H5" s="14"/>
      <c r="I5" s="14"/>
      <c r="J5" s="14"/>
      <c r="K5" s="14">
        <v>6200</v>
      </c>
      <c r="L5" s="14"/>
    </row>
    <row r="6" spans="1:12" x14ac:dyDescent="0.2">
      <c r="A6" s="14" t="s">
        <v>78</v>
      </c>
      <c r="B6" s="14">
        <v>7260</v>
      </c>
      <c r="C6" s="14"/>
      <c r="D6" s="14">
        <v>1</v>
      </c>
      <c r="E6" s="14"/>
      <c r="F6" s="14">
        <v>4940</v>
      </c>
      <c r="G6" s="14">
        <v>2320</v>
      </c>
      <c r="H6" s="14"/>
      <c r="I6" s="14"/>
      <c r="J6" s="14"/>
      <c r="K6" s="14">
        <v>2320</v>
      </c>
      <c r="L6" s="14"/>
    </row>
    <row r="7" spans="1:12" x14ac:dyDescent="0.2">
      <c r="A7" s="14" t="s">
        <v>79</v>
      </c>
      <c r="B7" s="14">
        <v>1725</v>
      </c>
      <c r="C7" s="14"/>
      <c r="D7" s="14">
        <v>2</v>
      </c>
      <c r="E7" s="14"/>
      <c r="F7" s="14">
        <v>1185</v>
      </c>
      <c r="G7" s="14">
        <v>540</v>
      </c>
      <c r="H7" s="14"/>
      <c r="I7" s="14"/>
      <c r="J7" s="14"/>
      <c r="K7" s="14">
        <v>540</v>
      </c>
      <c r="L7" s="14"/>
    </row>
    <row r="8" spans="1:12" x14ac:dyDescent="0.2">
      <c r="A8" s="14" t="s">
        <v>80</v>
      </c>
      <c r="B8" s="14">
        <v>82800</v>
      </c>
      <c r="C8" s="14"/>
      <c r="D8" s="14"/>
      <c r="E8" s="14"/>
      <c r="F8" s="14"/>
      <c r="G8" s="14">
        <v>82800</v>
      </c>
      <c r="H8" s="14"/>
      <c r="I8" s="14"/>
      <c r="J8" s="14"/>
      <c r="K8" s="14">
        <v>82800</v>
      </c>
      <c r="L8" s="14"/>
    </row>
    <row r="9" spans="1:12" x14ac:dyDescent="0.2">
      <c r="A9" s="14" t="s">
        <v>81</v>
      </c>
      <c r="B9" s="14"/>
      <c r="C9" s="14">
        <v>14600</v>
      </c>
      <c r="D9" s="14">
        <v>3</v>
      </c>
      <c r="E9" s="14"/>
      <c r="F9" s="14">
        <v>7400</v>
      </c>
      <c r="G9" s="14"/>
      <c r="H9" s="14">
        <v>22000</v>
      </c>
      <c r="I9" s="14"/>
      <c r="J9" s="14"/>
      <c r="K9" s="14"/>
      <c r="L9" s="14">
        <v>22000</v>
      </c>
    </row>
    <row r="10" spans="1:12" x14ac:dyDescent="0.2">
      <c r="A10" s="14" t="s">
        <v>82</v>
      </c>
      <c r="B10" s="14"/>
      <c r="C10" s="14">
        <v>50000</v>
      </c>
      <c r="D10" s="14"/>
      <c r="E10" s="14"/>
      <c r="F10" s="14"/>
      <c r="G10" s="14"/>
      <c r="H10" s="14">
        <v>50000</v>
      </c>
      <c r="I10" s="14"/>
      <c r="J10" s="14"/>
      <c r="K10" s="14"/>
      <c r="L10" s="14">
        <v>50000</v>
      </c>
    </row>
    <row r="11" spans="1:12" x14ac:dyDescent="0.2">
      <c r="A11" s="14" t="s">
        <v>52</v>
      </c>
      <c r="B11" s="14"/>
      <c r="C11" s="14">
        <v>15540</v>
      </c>
      <c r="D11" s="14"/>
      <c r="E11" s="14"/>
      <c r="F11" s="14"/>
      <c r="G11" s="14"/>
      <c r="H11" s="14">
        <v>15540</v>
      </c>
      <c r="I11" s="14"/>
      <c r="J11" s="14"/>
      <c r="K11" s="14"/>
      <c r="L11" s="14">
        <v>15540</v>
      </c>
    </row>
    <row r="12" spans="1:12" x14ac:dyDescent="0.2">
      <c r="A12" s="14" t="s">
        <v>53</v>
      </c>
      <c r="B12" s="14">
        <v>27000</v>
      </c>
      <c r="C12" s="14"/>
      <c r="D12" s="14"/>
      <c r="E12" s="14"/>
      <c r="F12" s="14"/>
      <c r="G12" s="14">
        <v>27000</v>
      </c>
      <c r="H12" s="14"/>
      <c r="I12" s="14"/>
      <c r="J12" s="14"/>
      <c r="K12" s="14">
        <v>27000</v>
      </c>
      <c r="L12" s="14"/>
    </row>
    <row r="13" spans="1:12" x14ac:dyDescent="0.2">
      <c r="A13" s="14" t="s">
        <v>83</v>
      </c>
      <c r="B13" s="14"/>
      <c r="C13" s="14">
        <v>126500</v>
      </c>
      <c r="D13" s="14"/>
      <c r="E13" s="14"/>
      <c r="F13" s="14"/>
      <c r="G13" s="14"/>
      <c r="H13" s="14">
        <v>126500</v>
      </c>
      <c r="I13" s="14"/>
      <c r="J13" s="14">
        <v>126500</v>
      </c>
      <c r="K13" s="14"/>
      <c r="L13" s="14"/>
    </row>
    <row r="14" spans="1:12" x14ac:dyDescent="0.2">
      <c r="A14" s="14" t="s">
        <v>84</v>
      </c>
      <c r="B14" s="14">
        <v>63250</v>
      </c>
      <c r="C14" s="14"/>
      <c r="D14" s="14">
        <v>4</v>
      </c>
      <c r="E14" s="14">
        <v>260</v>
      </c>
      <c r="F14" s="14"/>
      <c r="G14" s="14">
        <v>63510</v>
      </c>
      <c r="H14" s="14"/>
      <c r="I14" s="14">
        <v>63510</v>
      </c>
      <c r="J14" s="14"/>
      <c r="K14" s="14"/>
      <c r="L14" s="14"/>
    </row>
    <row r="15" spans="1:12" x14ac:dyDescent="0.2">
      <c r="A15" s="14" t="s">
        <v>85</v>
      </c>
      <c r="B15" s="14">
        <v>2250</v>
      </c>
      <c r="C15" s="14"/>
      <c r="D15" s="14"/>
      <c r="E15" s="14"/>
      <c r="F15" s="14"/>
      <c r="G15" s="14">
        <v>2250</v>
      </c>
      <c r="H15" s="14"/>
      <c r="I15" s="14">
        <v>2250</v>
      </c>
      <c r="J15" s="14"/>
      <c r="K15" s="14"/>
      <c r="L15" s="14"/>
    </row>
    <row r="16" spans="1:12" x14ac:dyDescent="0.2">
      <c r="A16" s="14" t="s">
        <v>86</v>
      </c>
      <c r="B16" s="14">
        <v>1260</v>
      </c>
      <c r="C16" s="14"/>
      <c r="D16" s="14"/>
      <c r="E16" s="14"/>
      <c r="F16" s="14"/>
      <c r="G16" s="14">
        <v>1260</v>
      </c>
      <c r="H16" s="14"/>
      <c r="I16" s="14">
        <v>1260</v>
      </c>
      <c r="J16" s="14"/>
      <c r="K16" s="14"/>
      <c r="L16" s="14"/>
    </row>
    <row r="17" spans="1:12" x14ac:dyDescent="0.2">
      <c r="A17" s="14" t="s">
        <v>87</v>
      </c>
      <c r="B17" s="14">
        <v>7520</v>
      </c>
      <c r="C17" s="14"/>
      <c r="D17" s="14"/>
      <c r="E17" s="14"/>
      <c r="F17" s="14"/>
      <c r="G17" s="14">
        <v>7520</v>
      </c>
      <c r="H17" s="14"/>
      <c r="I17" s="14">
        <v>7520</v>
      </c>
      <c r="J17" s="14"/>
      <c r="K17" s="14"/>
      <c r="L17" s="14"/>
    </row>
    <row r="18" spans="1:12" x14ac:dyDescent="0.2">
      <c r="A18" s="14" t="s">
        <v>88</v>
      </c>
      <c r="B18" s="14">
        <v>3405</v>
      </c>
      <c r="C18" s="14"/>
      <c r="D18" s="14">
        <v>5</v>
      </c>
      <c r="E18" s="14">
        <v>830</v>
      </c>
      <c r="F18" s="14"/>
      <c r="G18" s="14">
        <v>4235</v>
      </c>
      <c r="H18" s="14"/>
      <c r="I18" s="14">
        <v>4235</v>
      </c>
      <c r="J18" s="14"/>
      <c r="K18" s="14"/>
      <c r="L18" s="14"/>
    </row>
    <row r="19" spans="1:12" x14ac:dyDescent="0.2">
      <c r="A19" s="14" t="s">
        <v>89</v>
      </c>
      <c r="B19" s="14">
        <v>2620</v>
      </c>
      <c r="C19" s="14"/>
      <c r="D19" s="14">
        <v>6</v>
      </c>
      <c r="E19" s="14">
        <v>425</v>
      </c>
      <c r="F19" s="14"/>
      <c r="G19" s="14">
        <v>3045</v>
      </c>
      <c r="H19" s="14"/>
      <c r="I19" s="14">
        <v>3045</v>
      </c>
      <c r="J19" s="14"/>
      <c r="K19" s="14"/>
      <c r="L19" s="14"/>
    </row>
    <row r="20" spans="1:12" x14ac:dyDescent="0.2">
      <c r="A20" s="14" t="s">
        <v>90</v>
      </c>
      <c r="B20" s="14">
        <v>1350</v>
      </c>
      <c r="C20" s="14"/>
      <c r="D20" s="14">
        <v>7</v>
      </c>
      <c r="E20" s="14">
        <v>250</v>
      </c>
      <c r="F20" s="14"/>
      <c r="G20" s="14">
        <v>1600</v>
      </c>
      <c r="H20" s="14"/>
      <c r="I20" s="14">
        <v>1600</v>
      </c>
      <c r="J20" s="14"/>
      <c r="K20" s="14"/>
      <c r="L20" s="14"/>
    </row>
    <row r="21" spans="1:12" x14ac:dyDescent="0.2">
      <c r="A21" s="14"/>
      <c r="B21" s="14">
        <v>206640</v>
      </c>
      <c r="C21" s="14">
        <v>206640</v>
      </c>
      <c r="D21" s="14"/>
      <c r="E21" s="14"/>
      <c r="F21" s="14"/>
      <c r="G21" s="14"/>
      <c r="H21" s="14"/>
      <c r="I21" s="14"/>
      <c r="J21" s="14"/>
      <c r="K21" s="14"/>
      <c r="L21" s="14"/>
    </row>
    <row r="22" spans="1:12" x14ac:dyDescent="0.2">
      <c r="A22" s="14" t="s">
        <v>69</v>
      </c>
      <c r="B22" s="14"/>
      <c r="C22" s="14"/>
      <c r="D22" s="14">
        <v>1</v>
      </c>
      <c r="E22" s="14">
        <v>4940</v>
      </c>
      <c r="F22" s="14"/>
      <c r="G22" s="14">
        <v>4940</v>
      </c>
      <c r="H22" s="14"/>
      <c r="I22" s="14">
        <v>4940</v>
      </c>
      <c r="J22" s="14"/>
      <c r="K22" s="14"/>
      <c r="L22" s="14"/>
    </row>
    <row r="23" spans="1:12" x14ac:dyDescent="0.2">
      <c r="A23" s="14" t="s">
        <v>70</v>
      </c>
      <c r="B23" s="14"/>
      <c r="C23" s="14"/>
      <c r="D23" s="14">
        <v>2</v>
      </c>
      <c r="E23" s="14">
        <v>1185</v>
      </c>
      <c r="F23" s="14"/>
      <c r="G23" s="14">
        <v>1185</v>
      </c>
      <c r="H23" s="14"/>
      <c r="I23" s="14">
        <v>1185</v>
      </c>
      <c r="J23" s="14"/>
      <c r="K23" s="14"/>
      <c r="L23" s="14"/>
    </row>
    <row r="24" spans="1:12" x14ac:dyDescent="0.2">
      <c r="A24" s="14" t="s">
        <v>71</v>
      </c>
      <c r="B24" s="14"/>
      <c r="C24" s="14"/>
      <c r="D24" s="14">
        <v>3</v>
      </c>
      <c r="E24" s="14">
        <v>7400</v>
      </c>
      <c r="F24" s="14"/>
      <c r="G24" s="14">
        <v>7400</v>
      </c>
      <c r="H24" s="14"/>
      <c r="I24" s="14">
        <v>7400</v>
      </c>
      <c r="J24" s="14"/>
      <c r="K24" s="14"/>
      <c r="L24" s="14"/>
    </row>
    <row r="25" spans="1:12" x14ac:dyDescent="0.2">
      <c r="A25" s="14" t="s">
        <v>72</v>
      </c>
      <c r="B25" s="14"/>
      <c r="C25" s="14"/>
      <c r="D25" s="14">
        <v>4</v>
      </c>
      <c r="E25" s="14"/>
      <c r="F25" s="14">
        <v>260</v>
      </c>
      <c r="G25" s="14"/>
      <c r="H25" s="14">
        <v>260</v>
      </c>
      <c r="I25" s="14"/>
      <c r="J25" s="14"/>
      <c r="K25" s="14"/>
      <c r="L25" s="14">
        <v>260</v>
      </c>
    </row>
    <row r="26" spans="1:12" x14ac:dyDescent="0.2">
      <c r="A26" s="14" t="s">
        <v>73</v>
      </c>
      <c r="B26" s="14"/>
      <c r="C26" s="14"/>
      <c r="D26" s="14">
        <v>5</v>
      </c>
      <c r="E26" s="14"/>
      <c r="F26" s="14">
        <v>830</v>
      </c>
      <c r="G26" s="14"/>
      <c r="H26" s="14">
        <v>830</v>
      </c>
      <c r="I26" s="14"/>
      <c r="J26" s="14"/>
      <c r="K26" s="14"/>
      <c r="L26" s="14">
        <v>830</v>
      </c>
    </row>
    <row r="27" spans="1:12" x14ac:dyDescent="0.2">
      <c r="A27" s="14" t="s">
        <v>74</v>
      </c>
      <c r="B27" s="14"/>
      <c r="C27" s="14"/>
      <c r="D27" s="14">
        <v>6</v>
      </c>
      <c r="E27" s="14"/>
      <c r="F27" s="14">
        <v>425</v>
      </c>
      <c r="G27" s="14"/>
      <c r="H27" s="14">
        <v>425</v>
      </c>
      <c r="I27" s="14"/>
      <c r="J27" s="14"/>
      <c r="K27" s="14"/>
      <c r="L27" s="14">
        <v>425</v>
      </c>
    </row>
    <row r="28" spans="1:12" x14ac:dyDescent="0.2">
      <c r="A28" s="14" t="s">
        <v>75</v>
      </c>
      <c r="B28" s="14"/>
      <c r="C28" s="14"/>
      <c r="D28" s="14">
        <v>7</v>
      </c>
      <c r="E28" s="14"/>
      <c r="F28" s="14">
        <v>250</v>
      </c>
      <c r="G28" s="14"/>
      <c r="H28" s="14">
        <v>250</v>
      </c>
      <c r="I28" s="14"/>
      <c r="J28" s="14"/>
      <c r="K28" s="14"/>
      <c r="L28" s="14">
        <v>250</v>
      </c>
    </row>
    <row r="29" spans="1:12" x14ac:dyDescent="0.2">
      <c r="A29" s="14" t="s">
        <v>92</v>
      </c>
      <c r="B29" s="14"/>
      <c r="C29" s="14"/>
      <c r="D29" s="14"/>
      <c r="E29" s="14"/>
      <c r="F29" s="14"/>
      <c r="G29" s="14"/>
      <c r="H29" s="14"/>
      <c r="I29" s="14">
        <v>96945</v>
      </c>
      <c r="J29" s="14">
        <v>126500</v>
      </c>
      <c r="K29" s="14">
        <v>118860</v>
      </c>
      <c r="L29" s="14">
        <v>89305</v>
      </c>
    </row>
    <row r="30" spans="1:12" x14ac:dyDescent="0.2">
      <c r="A30" s="14" t="s">
        <v>91</v>
      </c>
      <c r="B30" s="14"/>
      <c r="C30" s="14"/>
      <c r="D30" s="14"/>
      <c r="E30" s="14"/>
      <c r="F30" s="14"/>
      <c r="G30" s="14"/>
      <c r="H30" s="14"/>
      <c r="I30" s="14">
        <v>29555</v>
      </c>
      <c r="J30" s="14"/>
      <c r="K30" s="14"/>
      <c r="L30" s="14">
        <v>29555</v>
      </c>
    </row>
    <row r="31" spans="1:12" x14ac:dyDescent="0.2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spans="1:12" x14ac:dyDescent="0.2">
      <c r="A32" s="14" t="s">
        <v>68</v>
      </c>
      <c r="B32" s="14"/>
      <c r="C32" s="14"/>
      <c r="D32" s="14"/>
      <c r="E32" s="14">
        <f>SUM(E5:E31)</f>
        <v>15290</v>
      </c>
      <c r="F32" s="14">
        <f t="shared" ref="F32:H32" si="0">SUM(F5:F31)</f>
        <v>15290</v>
      </c>
      <c r="G32" s="14">
        <f t="shared" si="0"/>
        <v>215805</v>
      </c>
      <c r="H32" s="14">
        <f t="shared" si="0"/>
        <v>215805</v>
      </c>
      <c r="I32" s="14">
        <f>SUM(I29:I30)</f>
        <v>126500</v>
      </c>
      <c r="J32" s="14">
        <f>SUM(J29:J30)</f>
        <v>126500</v>
      </c>
      <c r="K32" s="14">
        <f>SUM(K29:K30)</f>
        <v>118860</v>
      </c>
      <c r="L32" s="14">
        <f>SUM(L29:L30)</f>
        <v>118860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43036-475E-442E-9214-8F3E938FBBFF}">
  <dimension ref="A2:K39"/>
  <sheetViews>
    <sheetView workbookViewId="0">
      <selection activeCell="D30" sqref="D30"/>
    </sheetView>
  </sheetViews>
  <sheetFormatPr baseColWidth="10" defaultColWidth="8.83203125" defaultRowHeight="15" x14ac:dyDescent="0.2"/>
  <cols>
    <col min="1" max="1" width="32.6640625" customWidth="1"/>
    <col min="2" max="2" width="8.83203125" bestFit="1" customWidth="1"/>
    <col min="3" max="3" width="11.1640625" bestFit="1" customWidth="1"/>
    <col min="4" max="4" width="8.83203125" bestFit="1" customWidth="1"/>
    <col min="5" max="5" width="12" bestFit="1" customWidth="1"/>
    <col min="6" max="6" width="11" customWidth="1"/>
    <col min="7" max="7" width="11.6640625" customWidth="1"/>
    <col min="8" max="8" width="12.5" customWidth="1"/>
    <col min="9" max="9" width="11.1640625" customWidth="1"/>
    <col min="10" max="10" width="10.5" customWidth="1"/>
    <col min="11" max="11" width="10.83203125" customWidth="1"/>
  </cols>
  <sheetData>
    <row r="2" spans="1:11" ht="17" x14ac:dyDescent="0.25">
      <c r="A2" s="32"/>
      <c r="B2" s="32" t="s">
        <v>130</v>
      </c>
      <c r="C2" s="32"/>
      <c r="D2" s="32" t="s">
        <v>64</v>
      </c>
      <c r="E2" s="32"/>
      <c r="F2" s="32" t="s">
        <v>131</v>
      </c>
      <c r="G2" s="32"/>
      <c r="H2" s="32" t="s">
        <v>132</v>
      </c>
      <c r="I2" s="32"/>
      <c r="J2" s="32" t="s">
        <v>67</v>
      </c>
      <c r="K2" s="32"/>
    </row>
    <row r="3" spans="1:11" ht="17" x14ac:dyDescent="0.25">
      <c r="A3" s="32" t="s">
        <v>76</v>
      </c>
      <c r="B3" s="32" t="s">
        <v>45</v>
      </c>
      <c r="C3" s="32" t="s">
        <v>46</v>
      </c>
      <c r="D3" s="32" t="s">
        <v>45</v>
      </c>
      <c r="E3" s="32" t="s">
        <v>46</v>
      </c>
      <c r="F3" s="32" t="s">
        <v>45</v>
      </c>
      <c r="G3" s="32" t="s">
        <v>46</v>
      </c>
      <c r="H3" s="32" t="s">
        <v>133</v>
      </c>
      <c r="I3" s="32" t="s">
        <v>46</v>
      </c>
      <c r="J3" s="32" t="s">
        <v>45</v>
      </c>
      <c r="K3" s="32" t="s">
        <v>46</v>
      </c>
    </row>
    <row r="4" spans="1:11" ht="17" x14ac:dyDescent="0.25">
      <c r="A4" s="32" t="s">
        <v>77</v>
      </c>
      <c r="B4" s="32" t="s">
        <v>134</v>
      </c>
      <c r="C4" s="32"/>
      <c r="D4" s="32"/>
      <c r="E4" s="32"/>
      <c r="F4" s="32" t="s">
        <v>134</v>
      </c>
      <c r="G4" s="32"/>
      <c r="H4" s="32"/>
      <c r="I4" s="32"/>
      <c r="J4" s="32" t="s">
        <v>134</v>
      </c>
      <c r="K4" s="32"/>
    </row>
    <row r="5" spans="1:11" ht="17" x14ac:dyDescent="0.25">
      <c r="A5" s="32" t="s">
        <v>95</v>
      </c>
      <c r="B5" s="32" t="s">
        <v>107</v>
      </c>
      <c r="C5" s="32"/>
      <c r="D5" s="32"/>
      <c r="E5" s="32"/>
      <c r="F5" s="32" t="s">
        <v>107</v>
      </c>
      <c r="G5" s="32"/>
      <c r="H5" s="32"/>
      <c r="I5" s="32"/>
      <c r="J5" s="32" t="s">
        <v>107</v>
      </c>
      <c r="K5" s="32"/>
    </row>
    <row r="6" spans="1:11" ht="17" x14ac:dyDescent="0.25">
      <c r="A6" s="32" t="s">
        <v>96</v>
      </c>
      <c r="B6" s="32">
        <v>920</v>
      </c>
      <c r="C6" s="32"/>
      <c r="D6" s="32"/>
      <c r="E6" s="32"/>
      <c r="F6" s="32">
        <v>920</v>
      </c>
      <c r="G6" s="32"/>
      <c r="H6" s="32"/>
      <c r="I6" s="32"/>
      <c r="J6" s="32">
        <v>920</v>
      </c>
      <c r="K6" s="32"/>
    </row>
    <row r="7" spans="1:11" ht="17" x14ac:dyDescent="0.25">
      <c r="A7" s="32" t="s">
        <v>78</v>
      </c>
      <c r="B7" s="32" t="s">
        <v>108</v>
      </c>
      <c r="C7" s="32"/>
      <c r="D7" s="32"/>
      <c r="E7" s="32" t="s">
        <v>135</v>
      </c>
      <c r="F7" s="32">
        <v>420</v>
      </c>
      <c r="G7" s="32"/>
      <c r="H7" s="32"/>
      <c r="I7" s="32"/>
      <c r="J7" s="32">
        <v>420</v>
      </c>
      <c r="K7" s="32"/>
    </row>
    <row r="8" spans="1:11" ht="17" x14ac:dyDescent="0.25">
      <c r="A8" s="32" t="s">
        <v>97</v>
      </c>
      <c r="B8" s="32" t="s">
        <v>109</v>
      </c>
      <c r="C8" s="32"/>
      <c r="D8" s="32"/>
      <c r="E8" s="32"/>
      <c r="F8" s="32" t="s">
        <v>109</v>
      </c>
      <c r="G8" s="32"/>
      <c r="H8" s="32"/>
      <c r="I8" s="32"/>
      <c r="J8" s="32" t="s">
        <v>109</v>
      </c>
      <c r="K8" s="32"/>
    </row>
    <row r="9" spans="1:11" ht="17" x14ac:dyDescent="0.25">
      <c r="A9" s="32" t="s">
        <v>98</v>
      </c>
      <c r="B9" s="32" t="s">
        <v>110</v>
      </c>
      <c r="C9" s="32"/>
      <c r="D9" s="32"/>
      <c r="E9" s="32"/>
      <c r="F9" s="32" t="s">
        <v>110</v>
      </c>
      <c r="G9" s="32"/>
      <c r="H9" s="32"/>
      <c r="I9" s="32"/>
      <c r="J9" s="32" t="s">
        <v>110</v>
      </c>
      <c r="K9" s="32"/>
    </row>
    <row r="10" spans="1:11" ht="17" x14ac:dyDescent="0.25">
      <c r="A10" s="32" t="s">
        <v>136</v>
      </c>
      <c r="B10" s="32"/>
      <c r="C10" s="32" t="s">
        <v>137</v>
      </c>
      <c r="D10" s="32"/>
      <c r="E10" s="32" t="s">
        <v>138</v>
      </c>
      <c r="F10" s="32"/>
      <c r="G10" s="32" t="s">
        <v>139</v>
      </c>
      <c r="H10" s="32"/>
      <c r="I10" s="32"/>
      <c r="J10" s="32"/>
      <c r="K10" s="32" t="s">
        <v>139</v>
      </c>
    </row>
    <row r="11" spans="1:11" ht="17" x14ac:dyDescent="0.25">
      <c r="A11" s="32" t="s">
        <v>80</v>
      </c>
      <c r="B11" s="32" t="s">
        <v>111</v>
      </c>
      <c r="C11" s="32"/>
      <c r="D11" s="32"/>
      <c r="E11" s="32"/>
      <c r="F11" s="32" t="s">
        <v>111</v>
      </c>
      <c r="G11" s="32"/>
      <c r="H11" s="32"/>
      <c r="I11" s="32"/>
      <c r="J11" s="32" t="s">
        <v>111</v>
      </c>
      <c r="K11" s="32"/>
    </row>
    <row r="12" spans="1:11" ht="17" x14ac:dyDescent="0.25">
      <c r="A12" s="32" t="s">
        <v>140</v>
      </c>
      <c r="B12" s="32"/>
      <c r="C12" s="32" t="s">
        <v>116</v>
      </c>
      <c r="D12" s="32"/>
      <c r="E12" s="32" t="s">
        <v>141</v>
      </c>
      <c r="F12" s="32"/>
      <c r="G12" s="32" t="s">
        <v>142</v>
      </c>
      <c r="H12" s="32"/>
      <c r="I12" s="32"/>
      <c r="J12" s="32"/>
      <c r="K12" s="32" t="s">
        <v>142</v>
      </c>
    </row>
    <row r="13" spans="1:11" ht="17" x14ac:dyDescent="0.25">
      <c r="A13" s="32" t="s">
        <v>99</v>
      </c>
      <c r="B13" s="32"/>
      <c r="C13" s="32" t="s">
        <v>117</v>
      </c>
      <c r="D13" s="32"/>
      <c r="E13" s="32"/>
      <c r="F13" s="32"/>
      <c r="G13" s="32" t="s">
        <v>117</v>
      </c>
      <c r="H13" s="32"/>
      <c r="I13" s="32"/>
      <c r="J13" s="32"/>
      <c r="K13" s="32" t="s">
        <v>117</v>
      </c>
    </row>
    <row r="14" spans="1:11" ht="17" x14ac:dyDescent="0.25">
      <c r="A14" s="32" t="s">
        <v>101</v>
      </c>
      <c r="B14" s="32"/>
      <c r="C14" s="32" t="s">
        <v>119</v>
      </c>
      <c r="D14" s="32"/>
      <c r="E14" s="32"/>
      <c r="F14" s="32"/>
      <c r="G14" s="32" t="s">
        <v>119</v>
      </c>
      <c r="H14" s="32"/>
      <c r="I14" s="32"/>
      <c r="J14" s="32"/>
      <c r="K14" s="32" t="s">
        <v>119</v>
      </c>
    </row>
    <row r="15" spans="1:11" ht="17" x14ac:dyDescent="0.25">
      <c r="A15" s="32" t="s">
        <v>100</v>
      </c>
      <c r="B15" s="32"/>
      <c r="C15" s="32" t="s">
        <v>118</v>
      </c>
      <c r="D15" s="32" t="s">
        <v>143</v>
      </c>
      <c r="E15" s="32"/>
      <c r="F15" s="32"/>
      <c r="G15" s="32">
        <v>360</v>
      </c>
      <c r="H15" s="32"/>
      <c r="I15" s="32"/>
      <c r="J15" s="32"/>
      <c r="K15" s="32">
        <v>360</v>
      </c>
    </row>
    <row r="16" spans="1:11" ht="17" x14ac:dyDescent="0.25">
      <c r="A16" s="32" t="s">
        <v>102</v>
      </c>
      <c r="B16" s="32"/>
      <c r="C16" s="32" t="s">
        <v>120</v>
      </c>
      <c r="D16" s="32"/>
      <c r="E16" s="32"/>
      <c r="F16" s="32"/>
      <c r="G16" s="32" t="s">
        <v>120</v>
      </c>
      <c r="H16" s="32"/>
      <c r="I16" s="32"/>
      <c r="J16" s="32"/>
      <c r="K16" s="32" t="s">
        <v>120</v>
      </c>
    </row>
    <row r="17" spans="1:11" ht="17" x14ac:dyDescent="0.25">
      <c r="A17" s="32" t="s">
        <v>103</v>
      </c>
      <c r="B17" s="32"/>
      <c r="C17" s="32" t="s">
        <v>121</v>
      </c>
      <c r="D17" s="32"/>
      <c r="E17" s="32"/>
      <c r="F17" s="32"/>
      <c r="G17" s="32" t="s">
        <v>121</v>
      </c>
      <c r="H17" s="32"/>
      <c r="I17" s="32"/>
      <c r="J17" s="32"/>
      <c r="K17" s="32" t="s">
        <v>121</v>
      </c>
    </row>
    <row r="18" spans="1:11" ht="17" x14ac:dyDescent="0.25">
      <c r="A18" s="32" t="s">
        <v>104</v>
      </c>
      <c r="B18" s="32" t="s">
        <v>112</v>
      </c>
      <c r="C18" s="32"/>
      <c r="D18" s="32"/>
      <c r="E18" s="32"/>
      <c r="F18" s="32" t="s">
        <v>112</v>
      </c>
      <c r="G18" s="32"/>
      <c r="H18" s="32"/>
      <c r="I18" s="32"/>
      <c r="J18" s="32" t="s">
        <v>112</v>
      </c>
      <c r="K18" s="32"/>
    </row>
    <row r="19" spans="1:11" ht="17" x14ac:dyDescent="0.25">
      <c r="A19" s="32" t="s">
        <v>105</v>
      </c>
      <c r="B19" s="32"/>
      <c r="C19" s="32" t="s">
        <v>122</v>
      </c>
      <c r="D19" s="32"/>
      <c r="E19" s="32" t="s">
        <v>144</v>
      </c>
      <c r="F19" s="32"/>
      <c r="G19" s="32" t="s">
        <v>145</v>
      </c>
      <c r="H19" s="32"/>
      <c r="I19" s="32" t="s">
        <v>145</v>
      </c>
      <c r="J19" s="32"/>
      <c r="K19" s="32"/>
    </row>
    <row r="20" spans="1:11" ht="17" x14ac:dyDescent="0.25">
      <c r="A20" s="32" t="s">
        <v>70</v>
      </c>
      <c r="B20" s="32" t="s">
        <v>113</v>
      </c>
      <c r="C20" s="32"/>
      <c r="D20" s="32"/>
      <c r="E20" s="32" t="s">
        <v>146</v>
      </c>
      <c r="F20" s="32">
        <v>1075</v>
      </c>
      <c r="G20" s="32"/>
      <c r="H20" s="32">
        <v>1075</v>
      </c>
      <c r="I20" s="32"/>
      <c r="J20" s="32"/>
      <c r="K20" s="32"/>
    </row>
    <row r="21" spans="1:11" ht="17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</row>
    <row r="22" spans="1:11" ht="17" x14ac:dyDescent="0.25">
      <c r="A22" s="32" t="s">
        <v>84</v>
      </c>
      <c r="B22" s="32" t="s">
        <v>114</v>
      </c>
      <c r="C22" s="32"/>
      <c r="D22" s="32" t="s">
        <v>147</v>
      </c>
      <c r="E22" s="32"/>
      <c r="F22" s="32" t="s">
        <v>148</v>
      </c>
      <c r="G22" s="32"/>
      <c r="H22" s="32" t="s">
        <v>148</v>
      </c>
      <c r="I22" s="32"/>
      <c r="J22" s="32"/>
      <c r="K22" s="32"/>
    </row>
    <row r="23" spans="1:11" ht="17" x14ac:dyDescent="0.25">
      <c r="A23" s="32" t="s">
        <v>88</v>
      </c>
      <c r="B23" s="32">
        <v>760</v>
      </c>
      <c r="C23" s="32"/>
      <c r="D23" s="32"/>
      <c r="E23" s="32"/>
      <c r="F23" s="32">
        <v>760</v>
      </c>
      <c r="G23" s="32"/>
      <c r="H23" s="32">
        <v>760</v>
      </c>
      <c r="I23" s="32"/>
      <c r="J23" s="32"/>
      <c r="K23" s="32"/>
    </row>
    <row r="24" spans="1:11" ht="17" x14ac:dyDescent="0.25">
      <c r="A24" s="32" t="s">
        <v>90</v>
      </c>
      <c r="B24" s="32" t="s">
        <v>115</v>
      </c>
      <c r="C24" s="32"/>
      <c r="D24" s="32" t="s">
        <v>149</v>
      </c>
      <c r="E24" s="32"/>
      <c r="F24" s="32" t="s">
        <v>150</v>
      </c>
      <c r="G24" s="32"/>
      <c r="H24" s="32" t="s">
        <v>150</v>
      </c>
      <c r="I24" s="32"/>
      <c r="J24" s="32"/>
      <c r="K24" s="32"/>
    </row>
    <row r="25" spans="1:11" ht="17" x14ac:dyDescent="0.25">
      <c r="A25" s="32" t="s">
        <v>106</v>
      </c>
      <c r="B25" s="32" t="s">
        <v>151</v>
      </c>
      <c r="C25" s="32"/>
      <c r="D25" s="32" t="s">
        <v>152</v>
      </c>
      <c r="E25" s="32"/>
      <c r="F25" s="32" t="s">
        <v>153</v>
      </c>
      <c r="G25" s="32"/>
      <c r="H25" s="32" t="s">
        <v>153</v>
      </c>
      <c r="I25" s="32"/>
      <c r="J25" s="32"/>
      <c r="K25" s="32"/>
    </row>
    <row r="26" spans="1:11" ht="17" x14ac:dyDescent="0.25">
      <c r="A26" s="32"/>
      <c r="D26" s="32"/>
      <c r="E26" s="32"/>
      <c r="F26" s="32"/>
      <c r="G26" s="32"/>
      <c r="H26" s="32"/>
      <c r="I26" s="32"/>
      <c r="J26" s="32"/>
      <c r="K26" s="32"/>
    </row>
    <row r="27" spans="1:11" ht="17" x14ac:dyDescent="0.25">
      <c r="A27" s="32" t="s">
        <v>125</v>
      </c>
      <c r="B27" s="32"/>
      <c r="C27" s="32"/>
      <c r="D27" s="32" t="s">
        <v>154</v>
      </c>
      <c r="E27" s="32"/>
      <c r="F27" s="32">
        <v>720</v>
      </c>
      <c r="G27" s="32"/>
      <c r="H27" s="32">
        <v>720</v>
      </c>
      <c r="I27" s="32"/>
      <c r="J27" s="32"/>
      <c r="K27" s="32"/>
    </row>
    <row r="28" spans="1:11" ht="17" x14ac:dyDescent="0.25">
      <c r="A28" s="32" t="s">
        <v>126</v>
      </c>
      <c r="B28" s="32"/>
      <c r="C28" s="32"/>
      <c r="D28" s="32" t="s">
        <v>155</v>
      </c>
      <c r="E28" s="32"/>
      <c r="F28" s="32" t="s">
        <v>156</v>
      </c>
      <c r="G28" s="32"/>
      <c r="H28" s="32" t="s">
        <v>156</v>
      </c>
      <c r="I28" s="32"/>
      <c r="J28" s="32"/>
      <c r="K28" s="32"/>
    </row>
    <row r="29" spans="1:11" ht="17" x14ac:dyDescent="0.25">
      <c r="A29" s="32" t="s">
        <v>127</v>
      </c>
      <c r="B29" s="32"/>
      <c r="C29" s="32"/>
      <c r="D29" s="32" t="s">
        <v>157</v>
      </c>
      <c r="E29" s="32"/>
      <c r="F29" s="32" t="s">
        <v>158</v>
      </c>
      <c r="G29" s="32"/>
      <c r="H29" s="32" t="s">
        <v>158</v>
      </c>
      <c r="I29" s="32"/>
      <c r="J29" s="32"/>
      <c r="K29" s="32"/>
    </row>
    <row r="30" spans="1:11" ht="17" x14ac:dyDescent="0.25">
      <c r="A30" s="32" t="s">
        <v>79</v>
      </c>
      <c r="B30" s="32"/>
      <c r="C30" s="32"/>
      <c r="D30" s="32" t="s">
        <v>159</v>
      </c>
      <c r="E30" s="32"/>
      <c r="F30" s="32">
        <v>585</v>
      </c>
      <c r="G30" s="32"/>
      <c r="H30" s="32"/>
      <c r="I30" s="32"/>
      <c r="J30" s="32">
        <v>585</v>
      </c>
      <c r="K30" s="32"/>
    </row>
    <row r="31" spans="1:11" ht="17" x14ac:dyDescent="0.25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</row>
    <row r="32" spans="1:11" ht="17" x14ac:dyDescent="0.25">
      <c r="A32" s="32" t="s">
        <v>75</v>
      </c>
      <c r="B32" s="32"/>
      <c r="C32" s="32"/>
      <c r="D32" s="32"/>
      <c r="E32" s="32" t="s">
        <v>160</v>
      </c>
      <c r="F32" s="32"/>
      <c r="G32" s="32">
        <v>220</v>
      </c>
      <c r="H32" s="32"/>
      <c r="I32" s="32"/>
      <c r="J32" s="32"/>
      <c r="K32" s="32">
        <v>220</v>
      </c>
    </row>
    <row r="33" spans="1:11" ht="17" x14ac:dyDescent="0.25">
      <c r="A33" s="32" t="s">
        <v>128</v>
      </c>
      <c r="B33" s="32"/>
      <c r="C33" s="32"/>
      <c r="D33" s="32"/>
      <c r="E33" s="32" t="s">
        <v>161</v>
      </c>
      <c r="F33" s="32"/>
      <c r="G33" s="32">
        <v>320</v>
      </c>
      <c r="H33" s="32"/>
      <c r="I33" s="32"/>
      <c r="J33" s="32"/>
      <c r="K33" s="32">
        <v>320</v>
      </c>
    </row>
    <row r="34" spans="1:11" ht="17" x14ac:dyDescent="0.25">
      <c r="A34" s="32" t="s">
        <v>72</v>
      </c>
      <c r="B34" s="32"/>
      <c r="C34" s="32"/>
      <c r="D34" s="32"/>
      <c r="E34" s="32" t="s">
        <v>162</v>
      </c>
      <c r="F34" s="32"/>
      <c r="G34" s="32">
        <v>980</v>
      </c>
      <c r="H34" s="32"/>
      <c r="I34" s="32"/>
      <c r="J34" s="32"/>
      <c r="K34" s="32">
        <v>980</v>
      </c>
    </row>
    <row r="35" spans="1:11" ht="17" x14ac:dyDescent="0.25">
      <c r="A35" s="32"/>
      <c r="B35" s="32"/>
      <c r="C35" s="32"/>
      <c r="H35" s="32">
        <v>106745</v>
      </c>
      <c r="I35" s="32" t="s">
        <v>145</v>
      </c>
      <c r="J35" s="32" t="s">
        <v>165</v>
      </c>
      <c r="K35" s="32" t="s">
        <v>166</v>
      </c>
    </row>
    <row r="36" spans="1:11" ht="17" x14ac:dyDescent="0.25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</row>
    <row r="37" spans="1:11" ht="17" x14ac:dyDescent="0.25">
      <c r="A37" s="32" t="s">
        <v>129</v>
      </c>
      <c r="B37" s="32"/>
      <c r="C37" s="32"/>
      <c r="D37" s="32"/>
      <c r="E37" s="32"/>
      <c r="F37" s="32"/>
      <c r="G37" s="32"/>
      <c r="H37" s="32">
        <v>51315</v>
      </c>
      <c r="I37" s="32"/>
      <c r="J37" s="32"/>
      <c r="K37" s="32">
        <v>51315</v>
      </c>
    </row>
    <row r="38" spans="1:11" ht="17" x14ac:dyDescent="0.25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</row>
    <row r="39" spans="1:11" ht="17" x14ac:dyDescent="0.25">
      <c r="A39" s="32" t="s">
        <v>167</v>
      </c>
      <c r="B39" s="32" t="s">
        <v>123</v>
      </c>
      <c r="C39" s="32" t="s">
        <v>123</v>
      </c>
      <c r="D39" s="32">
        <v>14925</v>
      </c>
      <c r="E39" s="32" t="s">
        <v>163</v>
      </c>
      <c r="F39" s="32" t="s">
        <v>164</v>
      </c>
      <c r="G39" s="32" t="s">
        <v>164</v>
      </c>
      <c r="H39" s="32" t="s">
        <v>145</v>
      </c>
      <c r="I39" s="32" t="s">
        <v>145</v>
      </c>
      <c r="J39" s="32" t="s">
        <v>165</v>
      </c>
      <c r="K39" s="32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</vt:lpstr>
      <vt:lpstr>System (2)</vt:lpstr>
      <vt:lpstr>5.1Q</vt:lpstr>
      <vt:lpstr>P5.1Q</vt:lpstr>
      <vt:lpstr>P5.4Q</vt:lpstr>
      <vt:lpstr>ANSWER</vt:lpstr>
      <vt:lpstr>5.1A</vt:lpstr>
      <vt:lpstr>P5.1 Answer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Manek Mukesh</dc:creator>
  <cp:lastModifiedBy>Joseph Koh</cp:lastModifiedBy>
  <dcterms:created xsi:type="dcterms:W3CDTF">2025-04-09T22:11:37Z</dcterms:created>
  <dcterms:modified xsi:type="dcterms:W3CDTF">2026-04-15T05:32:16Z</dcterms:modified>
</cp:coreProperties>
</file>