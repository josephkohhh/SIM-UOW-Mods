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eph/Desktop/"/>
    </mc:Choice>
  </mc:AlternateContent>
  <xr:revisionPtr revIDLastSave="0" documentId="13_ncr:1_{C90D2504-EDC8-D244-9594-C08AF40C58F2}" xr6:coauthVersionLast="47" xr6:coauthVersionMax="47" xr10:uidLastSave="{00000000-0000-0000-0000-000000000000}"/>
  <bookViews>
    <workbookView xWindow="3280" yWindow="2620" windowWidth="33600" windowHeight="18760" activeTab="1" xr2:uid="{526B6F88-2697-4E2F-91B5-BDD8E44991FB}"/>
  </bookViews>
  <sheets>
    <sheet name="System" sheetId="3" r:id="rId1"/>
    <sheet name="WB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E24" i="1"/>
  <c r="F24" i="1"/>
  <c r="G24" i="1"/>
  <c r="H24" i="1"/>
  <c r="I24" i="1"/>
  <c r="J24" i="1"/>
  <c r="K24" i="1"/>
  <c r="L24" i="1"/>
  <c r="M24" i="1"/>
  <c r="N24" i="1"/>
  <c r="C24" i="1"/>
  <c r="I25" i="1" l="1"/>
  <c r="G25" i="1"/>
</calcChain>
</file>

<file path=xl/sharedStrings.xml><?xml version="1.0" encoding="utf-8"?>
<sst xmlns="http://schemas.openxmlformats.org/spreadsheetml/2006/main" count="72" uniqueCount="50">
  <si>
    <t>Ref No</t>
  </si>
  <si>
    <t>Bank</t>
  </si>
  <si>
    <t>NCA</t>
  </si>
  <si>
    <t>AP</t>
  </si>
  <si>
    <t>Vendor</t>
  </si>
  <si>
    <t>Capital</t>
  </si>
  <si>
    <t>Retained</t>
  </si>
  <si>
    <t>Profit</t>
  </si>
  <si>
    <t>Details</t>
  </si>
  <si>
    <t>Supplies</t>
  </si>
  <si>
    <t>Prepayment</t>
  </si>
  <si>
    <t>AR</t>
  </si>
  <si>
    <t>Balance</t>
  </si>
  <si>
    <t xml:space="preserve"> =</t>
  </si>
  <si>
    <t>ASSETS</t>
  </si>
  <si>
    <t>LIABILITY</t>
  </si>
  <si>
    <t>EQUITY</t>
  </si>
  <si>
    <t xml:space="preserve"> +</t>
  </si>
  <si>
    <t>Fixed Asset</t>
  </si>
  <si>
    <t>Debtors</t>
  </si>
  <si>
    <t>Creditors</t>
  </si>
  <si>
    <t>Revenue</t>
  </si>
  <si>
    <t xml:space="preserve"> (Exp)</t>
  </si>
  <si>
    <t>AIN</t>
  </si>
  <si>
    <t>ANSWER</t>
  </si>
  <si>
    <t>C) NET PROFIT FOR 2024</t>
  </si>
  <si>
    <t>REVENUE:</t>
  </si>
  <si>
    <t>LESS: Total Expenses:</t>
  </si>
  <si>
    <t>d) bank bal as at 31 dec 24</t>
  </si>
  <si>
    <t>*Transactions with cash/cheque will affect the bank balance</t>
  </si>
  <si>
    <t>Ref 4 - NCA depreciation will reduce profit</t>
  </si>
  <si>
    <t>Ref 7 - pay off expenses via check</t>
  </si>
  <si>
    <t>Ref 11 - rendered means completion</t>
  </si>
  <si>
    <t>Ref 14 - this is paying off a portion of ref 3</t>
  </si>
  <si>
    <r>
      <t xml:space="preserve">A journal is like your </t>
    </r>
    <r>
      <rPr>
        <b/>
        <sz val="11"/>
        <color theme="1"/>
        <rFont val="Calibri"/>
        <family val="2"/>
        <scheme val="minor"/>
      </rPr>
      <t>daily diary of money events</t>
    </r>
    <r>
      <rPr>
        <sz val="11"/>
        <color theme="1"/>
        <rFont val="Calibri"/>
        <family val="2"/>
        <scheme val="minor"/>
      </rPr>
      <t>.</t>
    </r>
  </si>
  <si>
    <r>
      <t xml:space="preserve">A ledger is like </t>
    </r>
    <r>
      <rPr>
        <b/>
        <sz val="11"/>
        <color theme="1"/>
        <rFont val="Calibri"/>
        <family val="2"/>
        <scheme val="minor"/>
      </rPr>
      <t>sorting your diary entries into different folders</t>
    </r>
    <r>
      <rPr>
        <sz val="11"/>
        <color theme="1"/>
        <rFont val="Calibri"/>
        <family val="2"/>
        <scheme val="minor"/>
      </rPr>
      <t>.</t>
    </r>
  </si>
  <si>
    <r>
      <t xml:space="preserve">A trial balance is like </t>
    </r>
    <r>
      <rPr>
        <b/>
        <sz val="11"/>
        <color theme="1"/>
        <rFont val="Calibri"/>
        <family val="2"/>
        <scheme val="minor"/>
      </rPr>
      <t>checking if your math is correct and nothing is missing</t>
    </r>
    <r>
      <rPr>
        <sz val="11"/>
        <color theme="1"/>
        <rFont val="Calibri"/>
        <family val="2"/>
        <scheme val="minor"/>
      </rPr>
      <t>.</t>
    </r>
  </si>
  <si>
    <t>Journal → Ledger → Trial Balance</t>
  </si>
  <si>
    <t>Write it → Sort it → Check it</t>
  </si>
  <si>
    <t>Depreciation exp</t>
  </si>
  <si>
    <t>Operating exp</t>
  </si>
  <si>
    <t>Revenue = comes from services</t>
  </si>
  <si>
    <t>Sales = come from product/merchendiase</t>
  </si>
  <si>
    <t>green = bal sheet</t>
  </si>
  <si>
    <t>orange = income statement</t>
  </si>
  <si>
    <t>blue = cashflow statement</t>
  </si>
  <si>
    <t xml:space="preserve">gold = statement of owner equity </t>
  </si>
  <si>
    <t>Debit/Credit depends on Asset vs Liability</t>
  </si>
  <si>
    <t>Asset = Dr + / Cr -</t>
  </si>
  <si>
    <t>Liabilities &amp; OE = CR + / Dr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</si>
</sst>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2" fillId="0" borderId="0" xfId="0" applyFont="1"/>
    <xf numFmtId="6" fontId="3" fillId="0" borderId="0" xfId="0" applyNumberFormat="1" applyFont="1"/>
    <xf numFmtId="6" fontId="2" fillId="0" borderId="0" xfId="0" applyNumberFormat="1" applyFont="1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/>
    <xf numFmtId="0" fontId="1" fillId="2" borderId="1" xfId="0" applyFont="1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1" fillId="3" borderId="1" xfId="0" applyFont="1" applyFill="1" applyBorder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1" fillId="4" borderId="1" xfId="0" applyFont="1" applyFill="1" applyBorder="1"/>
    <xf numFmtId="0" fontId="0" fillId="5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6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416298</xdr:colOff>
      <xdr:row>2</xdr:row>
      <xdr:rowOff>146798</xdr:rowOff>
    </xdr:from>
    <xdr:to>
      <xdr:col>10</xdr:col>
      <xdr:colOff>364395</xdr:colOff>
      <xdr:row>34</xdr:row>
      <xdr:rowOff>64098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75D3FC2-C4F6-F106-A593-9A1BC4D9FEE0}"/>
            </a:ext>
          </a:extLst>
        </xdr:cNvPr>
        <xdr:cNvGrpSpPr/>
      </xdr:nvGrpSpPr>
      <xdr:grpSpPr bwMode="auto">
        <a:xfrm>
          <a:off x="1086858" y="532878"/>
          <a:ext cx="5983137" cy="6094580"/>
          <a:chOff x="0" y="-6362"/>
          <a:chExt cx="6116694" cy="4013045"/>
        </a:xfrm>
      </xdr:grpSpPr>
      <xdr:cxnSp macro="">
        <xdr:nvCxnSpPr>
          <xdr:cNvPr id="3" name="Straight Arrow Connector 2">
            <a:extLst>
              <a:ext uri="{FF2B5EF4-FFF2-40B4-BE49-F238E27FC236}">
                <a16:creationId xmlns:a16="http://schemas.microsoft.com/office/drawing/2014/main" id="{91EA79DD-95F8-0EA4-D4C3-2DFF9299DEC8}"/>
              </a:ext>
            </a:extLst>
          </xdr:cNvPr>
          <xdr:cNvCxnSpPr>
            <a:cxnSpLocks/>
          </xdr:cNvCxnSpPr>
        </xdr:nvCxnSpPr>
        <xdr:spPr bwMode="auto">
          <a:xfrm flipH="1">
            <a:off x="0" y="417106"/>
            <a:ext cx="5477" cy="2779586"/>
          </a:xfrm>
          <a:prstGeom prst="straightConnector1">
            <a:avLst/>
          </a:prstGeom>
          <a:noFill/>
          <a:ln w="6350" algn="ctr">
            <a:solidFill>
              <a:srgbClr val="4472C4"/>
            </a:solidFill>
            <a:miter lim="800000"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863C04F2-97AC-90C7-E415-A097535F40FF}"/>
              </a:ext>
            </a:extLst>
          </xdr:cNvPr>
          <xdr:cNvGrpSpPr>
            <a:grpSpLocks/>
          </xdr:cNvGrpSpPr>
        </xdr:nvGrpSpPr>
        <xdr:grpSpPr bwMode="auto">
          <a:xfrm>
            <a:off x="7778" y="-6362"/>
            <a:ext cx="6108916" cy="4013045"/>
            <a:chOff x="7778" y="-6362"/>
            <a:chExt cx="6108916" cy="4013045"/>
          </a:xfrm>
        </xdr:grpSpPr>
        <xdr:sp macro="" textlink="">
          <xdr:nvSpPr>
            <xdr:cNvPr id="5" name="Flowchart: Alternate Process 4">
              <a:extLst>
                <a:ext uri="{FF2B5EF4-FFF2-40B4-BE49-F238E27FC236}">
                  <a16:creationId xmlns:a16="http://schemas.microsoft.com/office/drawing/2014/main" id="{1F1810E8-A7E2-437B-5E3C-4B3D6AE35B3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1494" y="-6362"/>
              <a:ext cx="6045200" cy="641350"/>
            </a:xfrm>
            <a:prstGeom prst="flowChartAlternateProcess">
              <a:avLst/>
            </a:prstGeom>
            <a:solidFill>
              <a:srgbClr val="FFFFFF"/>
            </a:solidFill>
            <a:ln w="12700">
              <a:solidFill>
                <a:srgbClr val="70AD47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pPr algn="ctr" eaLnBrk="0" fontAlgn="base" hangingPunct="0"/>
              <a:r>
                <a:rPr lang="en-GB" sz="1800" b="1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Transactions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6" name="Flowchart: Alternate Process 5">
              <a:extLst>
                <a:ext uri="{FF2B5EF4-FFF2-40B4-BE49-F238E27FC236}">
                  <a16:creationId xmlns:a16="http://schemas.microsoft.com/office/drawing/2014/main" id="{163D86C1-517F-0071-7719-22CB3901FF6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778" y="3119542"/>
              <a:ext cx="6048374" cy="887141"/>
            </a:xfrm>
            <a:prstGeom prst="flowChartAlternateProcess">
              <a:avLst/>
            </a:prstGeom>
            <a:solidFill>
              <a:srgbClr val="FFFFFF"/>
            </a:solidFill>
            <a:ln w="25400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pPr algn="ctr" eaLnBrk="0" fontAlgn="base" hangingPunct="0"/>
              <a:r>
                <a:rPr lang="en-GB" sz="1800" b="1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Financial Statements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Balance Sheet (Asset = Liability + Owners Equity)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Income Statement (Revenue – Expenses = Profit)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Statement of Cashflows ($ Receipts and $ Payments)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Statement of Changes in Owners Equity (OE at start + changes = OE at end) – sometimes viewed as a note.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7" name="Flowchart: Predefined Process 6">
              <a:extLst>
                <a:ext uri="{FF2B5EF4-FFF2-40B4-BE49-F238E27FC236}">
                  <a16:creationId xmlns:a16="http://schemas.microsoft.com/office/drawing/2014/main" id="{26AE9AFE-F15A-AC01-5EDB-02F49E56C98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778" y="1550757"/>
              <a:ext cx="6051550" cy="736600"/>
            </a:xfrm>
            <a:prstGeom prst="flowChartPredefinedProcess">
              <a:avLst/>
            </a:prstGeom>
            <a:solidFill>
              <a:srgbClr val="FFFFFF"/>
            </a:solidFill>
            <a:ln w="25400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pPr algn="ctr" eaLnBrk="0" fontAlgn="base" hangingPunct="0"/>
              <a:r>
                <a:rPr lang="en-GB" sz="1400" b="1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Asset = Liability + Owners Equity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8" name="Arrow: Down 7">
              <a:extLst>
                <a:ext uri="{FF2B5EF4-FFF2-40B4-BE49-F238E27FC236}">
                  <a16:creationId xmlns:a16="http://schemas.microsoft.com/office/drawing/2014/main" id="{0FC5CE5F-117C-11AF-7085-123FF9D218B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930292" y="2382941"/>
              <a:ext cx="201045" cy="736601"/>
            </a:xfrm>
            <a:prstGeom prst="downArrow">
              <a:avLst>
                <a:gd name="adj1" fmla="val 50000"/>
                <a:gd name="adj2" fmla="val 50005"/>
              </a:avLst>
            </a:prstGeom>
            <a:solidFill>
              <a:srgbClr val="FFFFFF"/>
            </a:solidFill>
            <a:ln w="25400" algn="ctr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endParaRPr lang="en-SG"/>
            </a:p>
          </xdr:txBody>
        </xdr:sp>
        <xdr:sp macro="" textlink="">
          <xdr:nvSpPr>
            <xdr:cNvPr id="9" name="Arrow: Down 8">
              <a:extLst>
                <a:ext uri="{FF2B5EF4-FFF2-40B4-BE49-F238E27FC236}">
                  <a16:creationId xmlns:a16="http://schemas.microsoft.com/office/drawing/2014/main" id="{6C581502-F0B7-24FC-D954-AF7C22311CD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930292" y="729956"/>
              <a:ext cx="206522" cy="736600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rgbClr val="FFFFFF"/>
            </a:solidFill>
            <a:ln w="25400" algn="ctr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endParaRPr lang="en-SG"/>
            </a:p>
          </xdr:txBody>
        </xdr:sp>
      </xdr:grpSp>
    </xdr:grpSp>
    <xdr:clientData/>
  </xdr:twoCellAnchor>
  <xdr:twoCellAnchor editAs="oneCell">
    <xdr:from>
      <xdr:col>10</xdr:col>
      <xdr:colOff>603658</xdr:colOff>
      <xdr:row>2</xdr:row>
      <xdr:rowOff>38661</xdr:rowOff>
    </xdr:from>
    <xdr:to>
      <xdr:col>25</xdr:col>
      <xdr:colOff>101853</xdr:colOff>
      <xdr:row>34</xdr:row>
      <xdr:rowOff>19611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7604E386-72AF-4F82-25A1-13AFE89D9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03070" y="397249"/>
          <a:ext cx="9247312" cy="57183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219809</xdr:colOff>
      <xdr:row>1</xdr:row>
      <xdr:rowOff>29308</xdr:rowOff>
    </xdr:from>
    <xdr:to>
      <xdr:col>34</xdr:col>
      <xdr:colOff>341924</xdr:colOff>
      <xdr:row>25</xdr:row>
      <xdr:rowOff>68384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E585DB13-328E-40C4-80A2-37159DE425E3}"/>
            </a:ext>
          </a:extLst>
        </xdr:cNvPr>
        <xdr:cNvGrpSpPr/>
      </xdr:nvGrpSpPr>
      <xdr:grpSpPr bwMode="auto">
        <a:xfrm>
          <a:off x="18482087" y="222219"/>
          <a:ext cx="4848445" cy="4668950"/>
          <a:chOff x="0" y="-6362"/>
          <a:chExt cx="6116694" cy="4013045"/>
        </a:xfrm>
      </xdr:grpSpPr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BC4A0F82-6CA3-6EB4-2E1F-9CB391D9672A}"/>
              </a:ext>
            </a:extLst>
          </xdr:cNvPr>
          <xdr:cNvCxnSpPr>
            <a:cxnSpLocks/>
          </xdr:cNvCxnSpPr>
        </xdr:nvCxnSpPr>
        <xdr:spPr bwMode="auto">
          <a:xfrm flipH="1">
            <a:off x="0" y="417106"/>
            <a:ext cx="5477" cy="2779586"/>
          </a:xfrm>
          <a:prstGeom prst="straightConnector1">
            <a:avLst/>
          </a:prstGeom>
          <a:noFill/>
          <a:ln w="6350" algn="ctr">
            <a:solidFill>
              <a:srgbClr val="4472C4"/>
            </a:solidFill>
            <a:miter lim="800000"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B65EB394-8E41-2C2E-E070-F7B14AC45ED3}"/>
              </a:ext>
            </a:extLst>
          </xdr:cNvPr>
          <xdr:cNvGrpSpPr>
            <a:grpSpLocks/>
          </xdr:cNvGrpSpPr>
        </xdr:nvGrpSpPr>
        <xdr:grpSpPr bwMode="auto">
          <a:xfrm>
            <a:off x="7778" y="-6362"/>
            <a:ext cx="6108916" cy="4013045"/>
            <a:chOff x="7778" y="-6362"/>
            <a:chExt cx="6108916" cy="4013045"/>
          </a:xfrm>
        </xdr:grpSpPr>
        <xdr:sp macro="" textlink="">
          <xdr:nvSpPr>
            <xdr:cNvPr id="13" name="Flowchart: Alternate Process 12">
              <a:extLst>
                <a:ext uri="{FF2B5EF4-FFF2-40B4-BE49-F238E27FC236}">
                  <a16:creationId xmlns:a16="http://schemas.microsoft.com/office/drawing/2014/main" id="{E5123DCD-5979-7A99-7DCD-26350EB8B89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1494" y="-6362"/>
              <a:ext cx="6045200" cy="641350"/>
            </a:xfrm>
            <a:prstGeom prst="flowChartAlternateProcess">
              <a:avLst/>
            </a:prstGeom>
            <a:solidFill>
              <a:srgbClr val="FFFFFF"/>
            </a:solidFill>
            <a:ln w="12700">
              <a:solidFill>
                <a:srgbClr val="70AD47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pPr algn="ctr" eaLnBrk="0" fontAlgn="base" hangingPunct="0"/>
              <a:r>
                <a:rPr lang="en-GB" sz="1800" b="1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Transactions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14" name="Flowchart: Alternate Process 13">
              <a:extLst>
                <a:ext uri="{FF2B5EF4-FFF2-40B4-BE49-F238E27FC236}">
                  <a16:creationId xmlns:a16="http://schemas.microsoft.com/office/drawing/2014/main" id="{2B257415-2628-B6BB-514E-2E842CA658C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778" y="3119542"/>
              <a:ext cx="6048374" cy="887141"/>
            </a:xfrm>
            <a:prstGeom prst="flowChartAlternateProcess">
              <a:avLst/>
            </a:prstGeom>
            <a:solidFill>
              <a:srgbClr val="FFFFFF"/>
            </a:solidFill>
            <a:ln w="25400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pPr algn="ctr" eaLnBrk="0" fontAlgn="base" hangingPunct="0"/>
              <a:r>
                <a:rPr lang="en-GB" sz="1800" b="1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Financial Statements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Balance Sheet (Asset = Liability + Owners Equity)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Income Statement (Revenue – Expenses = Profit)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Statement of Cashflows ($ Receipts and $ Payments)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Statement of Changes in Owners Equity (OE at start + changes = OE at end) – sometimes viewed as a note.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15" name="Flowchart: Predefined Process 14">
              <a:extLst>
                <a:ext uri="{FF2B5EF4-FFF2-40B4-BE49-F238E27FC236}">
                  <a16:creationId xmlns:a16="http://schemas.microsoft.com/office/drawing/2014/main" id="{B2030D3D-98BC-F745-F192-2BE7E3C28F7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778" y="1550757"/>
              <a:ext cx="6051550" cy="736600"/>
            </a:xfrm>
            <a:prstGeom prst="flowChartPredefinedProcess">
              <a:avLst/>
            </a:prstGeom>
            <a:solidFill>
              <a:srgbClr val="FFFFFF"/>
            </a:solidFill>
            <a:ln w="25400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pPr algn="ctr" eaLnBrk="0" fontAlgn="base" hangingPunct="0"/>
              <a:r>
                <a:rPr lang="en-GB" sz="1400" b="1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Asset = Liability + Owners Equity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16" name="Arrow: Down 15">
              <a:extLst>
                <a:ext uri="{FF2B5EF4-FFF2-40B4-BE49-F238E27FC236}">
                  <a16:creationId xmlns:a16="http://schemas.microsoft.com/office/drawing/2014/main" id="{95E4D4F7-CBDA-9F03-8CB8-3C518367649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930292" y="2382941"/>
              <a:ext cx="201045" cy="736601"/>
            </a:xfrm>
            <a:prstGeom prst="downArrow">
              <a:avLst>
                <a:gd name="adj1" fmla="val 50000"/>
                <a:gd name="adj2" fmla="val 50005"/>
              </a:avLst>
            </a:prstGeom>
            <a:solidFill>
              <a:srgbClr val="FFFFFF"/>
            </a:solidFill>
            <a:ln w="25400" algn="ctr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endParaRPr lang="en-SG"/>
            </a:p>
          </xdr:txBody>
        </xdr:sp>
        <xdr:sp macro="" textlink="">
          <xdr:nvSpPr>
            <xdr:cNvPr id="17" name="Arrow: Down 16">
              <a:extLst>
                <a:ext uri="{FF2B5EF4-FFF2-40B4-BE49-F238E27FC236}">
                  <a16:creationId xmlns:a16="http://schemas.microsoft.com/office/drawing/2014/main" id="{6D3E137D-7063-0EA8-73AC-0BBD0A1404D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930292" y="729956"/>
              <a:ext cx="206522" cy="736600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rgbClr val="FFFFFF"/>
            </a:solidFill>
            <a:ln w="25400" algn="ctr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endParaRPr lang="en-SG"/>
            </a:p>
          </xdr:txBody>
        </xdr:sp>
      </xdr:grpSp>
    </xdr:grpSp>
    <xdr:clientData/>
  </xdr:twoCellAnchor>
  <xdr:twoCellAnchor editAs="oneCell">
    <xdr:from>
      <xdr:col>15</xdr:col>
      <xdr:colOff>58616</xdr:colOff>
      <xdr:row>0</xdr:row>
      <xdr:rowOff>0</xdr:rowOff>
    </xdr:from>
    <xdr:to>
      <xdr:col>26</xdr:col>
      <xdr:colOff>357066</xdr:colOff>
      <xdr:row>49</xdr:row>
      <xdr:rowOff>139699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BA07DA-469E-FD3E-2022-B0DA43A0A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0539" y="0"/>
          <a:ext cx="7014796" cy="92348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2464C297-2E6B-3046-8E68-F29038AE11B9}">
  <we:reference id="wa200009404" version="1.0.0.8" store="en-GB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9740D391-62D5-C64D-B117-CB0BB373FC90}">
  <we:reference id="wa200005502" version="1.0.0.12" store="en-GB" storeType="OMEX"/>
  <we:alternateReferences>
    <we:reference id="wa200005502" version="1.0.0.12" store="wa200005502" storeType="OMEX"/>
  </we:alternateReferences>
  <we:properties>
    <we:property name="docId" value="&quot;lOcVA3AR1GC3jxnkNTVeC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12F3C-6231-4CB6-9A9D-455E7481F633}">
  <dimension ref="Z13:Z32"/>
  <sheetViews>
    <sheetView topLeftCell="A6" zoomScale="125" zoomScaleNormal="85" workbookViewId="0">
      <selection activeCell="Z31" sqref="Z31"/>
    </sheetView>
  </sheetViews>
  <sheetFormatPr baseColWidth="10" defaultColWidth="8.83203125" defaultRowHeight="15" x14ac:dyDescent="0.2"/>
  <sheetData>
    <row r="13" spans="26:26" x14ac:dyDescent="0.2">
      <c r="Z13" t="s">
        <v>34</v>
      </c>
    </row>
    <row r="18" spans="26:26" x14ac:dyDescent="0.2">
      <c r="Z18" t="s">
        <v>35</v>
      </c>
    </row>
    <row r="24" spans="26:26" x14ac:dyDescent="0.2">
      <c r="Z24" t="s">
        <v>36</v>
      </c>
    </row>
    <row r="30" spans="26:26" x14ac:dyDescent="0.2">
      <c r="Z30" s="4" t="s">
        <v>37</v>
      </c>
    </row>
    <row r="32" spans="26:26" x14ac:dyDescent="0.2">
      <c r="Z32" t="s">
        <v>38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D50D4-13F1-4968-AE88-B6D32945C2B9}">
  <dimension ref="A1:O51"/>
  <sheetViews>
    <sheetView tabSelected="1" zoomScale="158" zoomScaleNormal="130" workbookViewId="0">
      <pane ySplit="3" topLeftCell="A35" activePane="bottomLeft" state="frozen"/>
      <selection pane="bottomLeft" activeCell="F55" sqref="F55"/>
    </sheetView>
  </sheetViews>
  <sheetFormatPr baseColWidth="10" defaultColWidth="8.83203125" defaultRowHeight="15" x14ac:dyDescent="0.2"/>
  <cols>
    <col min="2" max="2" width="7.5" bestFit="1" customWidth="1"/>
    <col min="6" max="6" width="11" bestFit="1" customWidth="1"/>
    <col min="8" max="8" width="4.33203125" customWidth="1"/>
    <col min="11" max="11" width="4.6640625" customWidth="1"/>
    <col min="15" max="15" width="17.33203125" bestFit="1" customWidth="1"/>
  </cols>
  <sheetData>
    <row r="1" spans="1:15" x14ac:dyDescent="0.2">
      <c r="A1" t="s">
        <v>23</v>
      </c>
      <c r="B1" s="1"/>
      <c r="C1" s="1" t="s">
        <v>14</v>
      </c>
      <c r="D1" s="1"/>
      <c r="E1" s="1"/>
      <c r="F1" s="1"/>
      <c r="G1" s="1"/>
      <c r="H1" s="1"/>
      <c r="I1" s="1" t="s">
        <v>15</v>
      </c>
      <c r="J1" s="1"/>
      <c r="K1" s="1" t="s">
        <v>17</v>
      </c>
      <c r="L1" s="14" t="s">
        <v>16</v>
      </c>
      <c r="M1" s="14"/>
      <c r="N1" s="11" t="s">
        <v>7</v>
      </c>
      <c r="O1" s="12"/>
    </row>
    <row r="2" spans="1:15" x14ac:dyDescent="0.2">
      <c r="B2" s="1" t="s">
        <v>0</v>
      </c>
      <c r="C2" s="19" t="s">
        <v>1</v>
      </c>
      <c r="D2" s="2" t="s">
        <v>2</v>
      </c>
      <c r="E2" s="2" t="s">
        <v>9</v>
      </c>
      <c r="F2" s="2" t="s">
        <v>10</v>
      </c>
      <c r="G2" s="2" t="s">
        <v>11</v>
      </c>
      <c r="H2" s="17" t="s">
        <v>13</v>
      </c>
      <c r="I2" s="2" t="s">
        <v>3</v>
      </c>
      <c r="J2" s="2" t="s">
        <v>4</v>
      </c>
      <c r="K2" s="2"/>
      <c r="L2" s="15" t="s">
        <v>5</v>
      </c>
      <c r="M2" s="15" t="s">
        <v>6</v>
      </c>
      <c r="N2" s="11" t="s">
        <v>21</v>
      </c>
      <c r="O2" s="11"/>
    </row>
    <row r="3" spans="1:15" x14ac:dyDescent="0.2">
      <c r="B3" s="1"/>
      <c r="C3" s="19"/>
      <c r="D3" s="2" t="s">
        <v>18</v>
      </c>
      <c r="E3" s="2"/>
      <c r="F3" s="2"/>
      <c r="G3" s="2" t="s">
        <v>19</v>
      </c>
      <c r="H3" s="17" t="s">
        <v>13</v>
      </c>
      <c r="I3" s="2" t="s">
        <v>20</v>
      </c>
      <c r="J3" s="2"/>
      <c r="K3" s="2"/>
      <c r="L3" s="15"/>
      <c r="M3" s="15" t="s">
        <v>7</v>
      </c>
      <c r="N3" s="11" t="s">
        <v>22</v>
      </c>
      <c r="O3" s="11" t="s">
        <v>8</v>
      </c>
    </row>
    <row r="4" spans="1:15" x14ac:dyDescent="0.2">
      <c r="B4" s="1">
        <v>1</v>
      </c>
      <c r="C4" s="20">
        <v>25000</v>
      </c>
      <c r="D4" s="3"/>
      <c r="E4" s="3"/>
      <c r="F4" s="3"/>
      <c r="G4" s="3"/>
      <c r="H4" s="18" t="s">
        <v>13</v>
      </c>
      <c r="I4" s="3"/>
      <c r="J4" s="3"/>
      <c r="K4" s="3"/>
      <c r="L4" s="16">
        <v>25000</v>
      </c>
      <c r="M4" s="16"/>
      <c r="N4" s="13"/>
      <c r="O4" s="13"/>
    </row>
    <row r="5" spans="1:15" x14ac:dyDescent="0.2">
      <c r="B5" s="1">
        <v>2</v>
      </c>
      <c r="C5" s="20">
        <v>-15400</v>
      </c>
      <c r="D5" s="3">
        <v>15400</v>
      </c>
      <c r="E5" s="3"/>
      <c r="F5" s="3"/>
      <c r="G5" s="3"/>
      <c r="H5" s="18" t="s">
        <v>13</v>
      </c>
      <c r="I5" s="3"/>
      <c r="J5" s="3"/>
      <c r="K5" s="3"/>
      <c r="L5" s="16"/>
      <c r="M5" s="16"/>
      <c r="N5" s="13"/>
      <c r="O5" s="13"/>
    </row>
    <row r="6" spans="1:15" x14ac:dyDescent="0.2">
      <c r="B6" s="1">
        <v>3</v>
      </c>
      <c r="C6" s="20"/>
      <c r="D6" s="3">
        <v>6600</v>
      </c>
      <c r="E6" s="3"/>
      <c r="F6" s="3"/>
      <c r="G6" s="3"/>
      <c r="H6" s="18" t="s">
        <v>13</v>
      </c>
      <c r="I6" s="3"/>
      <c r="J6" s="3">
        <v>6600</v>
      </c>
      <c r="K6" s="3"/>
      <c r="L6" s="16"/>
      <c r="M6" s="16"/>
      <c r="N6" s="13"/>
      <c r="O6" s="13"/>
    </row>
    <row r="7" spans="1:15" x14ac:dyDescent="0.2">
      <c r="B7" s="1">
        <v>4</v>
      </c>
      <c r="C7" s="20"/>
      <c r="D7" s="3">
        <v>-800</v>
      </c>
      <c r="E7" s="3"/>
      <c r="F7" s="3"/>
      <c r="G7" s="3"/>
      <c r="H7" s="18" t="s">
        <v>13</v>
      </c>
      <c r="I7" s="3"/>
      <c r="J7" s="3"/>
      <c r="K7" s="3"/>
      <c r="L7" s="16"/>
      <c r="M7" s="16"/>
      <c r="N7" s="13">
        <v>-800</v>
      </c>
      <c r="O7" s="13" t="s">
        <v>39</v>
      </c>
    </row>
    <row r="8" spans="1:15" x14ac:dyDescent="0.2">
      <c r="B8" s="1">
        <v>5</v>
      </c>
      <c r="C8" s="20">
        <v>-2100</v>
      </c>
      <c r="D8" s="3"/>
      <c r="E8" s="3">
        <v>2100</v>
      </c>
      <c r="F8" s="3"/>
      <c r="G8" s="3"/>
      <c r="H8" s="18" t="s">
        <v>13</v>
      </c>
      <c r="I8" s="3"/>
      <c r="J8" s="3"/>
      <c r="K8" s="3"/>
      <c r="L8" s="16"/>
      <c r="M8" s="16"/>
      <c r="N8" s="13"/>
      <c r="O8" s="13"/>
    </row>
    <row r="9" spans="1:15" x14ac:dyDescent="0.2">
      <c r="B9" s="1">
        <v>6</v>
      </c>
      <c r="C9" s="20"/>
      <c r="D9" s="3"/>
      <c r="E9" s="3">
        <v>1700</v>
      </c>
      <c r="F9" s="3"/>
      <c r="G9" s="3"/>
      <c r="H9" s="18" t="s">
        <v>13</v>
      </c>
      <c r="I9" s="3">
        <v>1700</v>
      </c>
      <c r="J9" s="3"/>
      <c r="K9" s="3"/>
      <c r="L9" s="16"/>
      <c r="M9" s="16"/>
      <c r="N9" s="13"/>
      <c r="O9" s="13"/>
    </row>
    <row r="10" spans="1:15" x14ac:dyDescent="0.2">
      <c r="B10" s="1">
        <v>7</v>
      </c>
      <c r="C10" s="20">
        <v>-27900</v>
      </c>
      <c r="D10" s="3"/>
      <c r="E10" s="3"/>
      <c r="F10" s="3"/>
      <c r="G10" s="3"/>
      <c r="H10" s="18" t="s">
        <v>13</v>
      </c>
      <c r="I10" s="3"/>
      <c r="J10" s="3"/>
      <c r="K10" s="3"/>
      <c r="L10" s="16"/>
      <c r="M10" s="16"/>
      <c r="N10" s="13">
        <v>-27900</v>
      </c>
      <c r="O10" s="13" t="s">
        <v>40</v>
      </c>
    </row>
    <row r="11" spans="1:15" x14ac:dyDescent="0.2">
      <c r="B11" s="1">
        <v>8</v>
      </c>
      <c r="C11" s="20"/>
      <c r="D11" s="3"/>
      <c r="E11" s="3"/>
      <c r="F11" s="3"/>
      <c r="G11" s="3"/>
      <c r="H11" s="18" t="s">
        <v>13</v>
      </c>
      <c r="I11" s="3">
        <v>3300</v>
      </c>
      <c r="J11" s="3"/>
      <c r="K11" s="3"/>
      <c r="L11" s="16"/>
      <c r="M11" s="16"/>
      <c r="N11" s="13">
        <v>-3300</v>
      </c>
      <c r="O11" s="13" t="s">
        <v>40</v>
      </c>
    </row>
    <row r="12" spans="1:15" x14ac:dyDescent="0.2">
      <c r="B12" s="1">
        <v>9</v>
      </c>
      <c r="C12" s="20">
        <v>-1600</v>
      </c>
      <c r="D12" s="3"/>
      <c r="E12" s="3"/>
      <c r="F12" s="3">
        <v>1600</v>
      </c>
      <c r="G12" s="3"/>
      <c r="H12" s="18" t="s">
        <v>13</v>
      </c>
      <c r="I12" s="3"/>
      <c r="J12" s="3"/>
      <c r="K12" s="3"/>
      <c r="L12" s="16"/>
      <c r="M12" s="16"/>
      <c r="N12" s="13"/>
      <c r="O12" s="13"/>
    </row>
    <row r="13" spans="1:15" x14ac:dyDescent="0.2">
      <c r="B13" s="1">
        <v>10</v>
      </c>
      <c r="C13" s="20">
        <v>36000</v>
      </c>
      <c r="D13" s="3"/>
      <c r="E13" s="3"/>
      <c r="F13" s="3"/>
      <c r="G13" s="3"/>
      <c r="H13" s="18" t="s">
        <v>13</v>
      </c>
      <c r="I13" s="3"/>
      <c r="J13" s="3"/>
      <c r="K13" s="3"/>
      <c r="L13" s="16"/>
      <c r="M13" s="16"/>
      <c r="N13" s="13">
        <v>36000</v>
      </c>
      <c r="O13" s="13" t="s">
        <v>21</v>
      </c>
    </row>
    <row r="14" spans="1:15" x14ac:dyDescent="0.2">
      <c r="B14" s="1">
        <v>11</v>
      </c>
      <c r="C14" s="20"/>
      <c r="D14" s="3"/>
      <c r="E14" s="3"/>
      <c r="F14" s="3"/>
      <c r="G14" s="3">
        <v>11000</v>
      </c>
      <c r="H14" s="18" t="s">
        <v>13</v>
      </c>
      <c r="I14" s="3"/>
      <c r="J14" s="3"/>
      <c r="K14" s="3"/>
      <c r="L14" s="16"/>
      <c r="M14" s="16"/>
      <c r="N14" s="13">
        <v>11000</v>
      </c>
      <c r="O14" s="13" t="s">
        <v>21</v>
      </c>
    </row>
    <row r="15" spans="1:15" x14ac:dyDescent="0.2">
      <c r="B15" s="1">
        <v>12</v>
      </c>
      <c r="C15" s="20">
        <v>8000</v>
      </c>
      <c r="D15" s="3"/>
      <c r="E15" s="3"/>
      <c r="F15" s="3"/>
      <c r="G15" s="3">
        <v>-8000</v>
      </c>
      <c r="H15" s="18" t="s">
        <v>13</v>
      </c>
      <c r="I15" s="3"/>
      <c r="J15" s="3"/>
      <c r="K15" s="3"/>
      <c r="L15" s="16"/>
      <c r="M15" s="16"/>
      <c r="N15" s="13"/>
      <c r="O15" s="13"/>
    </row>
    <row r="16" spans="1:15" x14ac:dyDescent="0.2">
      <c r="B16" s="1">
        <v>13</v>
      </c>
      <c r="C16" s="20">
        <v>-5000</v>
      </c>
      <c r="D16" s="3"/>
      <c r="E16" s="3"/>
      <c r="F16" s="3"/>
      <c r="G16" s="3"/>
      <c r="H16" s="18" t="s">
        <v>13</v>
      </c>
      <c r="I16" s="3">
        <v>-5000</v>
      </c>
      <c r="J16" s="3"/>
      <c r="K16" s="3"/>
      <c r="L16" s="16"/>
      <c r="M16" s="16"/>
      <c r="N16" s="13"/>
      <c r="O16" s="13"/>
    </row>
    <row r="17" spans="2:15" x14ac:dyDescent="0.2">
      <c r="B17" s="1">
        <v>14</v>
      </c>
      <c r="C17" s="20">
        <v>-4500</v>
      </c>
      <c r="D17" s="3"/>
      <c r="E17" s="3"/>
      <c r="F17" s="3"/>
      <c r="G17" s="3"/>
      <c r="H17" s="18" t="s">
        <v>13</v>
      </c>
      <c r="I17" s="3"/>
      <c r="J17" s="3">
        <v>-4500</v>
      </c>
      <c r="K17" s="3"/>
      <c r="L17" s="16"/>
      <c r="M17" s="16"/>
      <c r="N17" s="13"/>
      <c r="O17" s="13"/>
    </row>
    <row r="18" spans="2:15" x14ac:dyDescent="0.2">
      <c r="B18" s="1">
        <v>15</v>
      </c>
      <c r="C18" s="20">
        <v>-1600</v>
      </c>
      <c r="D18" s="3"/>
      <c r="E18" s="3"/>
      <c r="F18" s="3"/>
      <c r="G18" s="3"/>
      <c r="H18" s="18" t="s">
        <v>13</v>
      </c>
      <c r="I18" s="3"/>
      <c r="J18" s="3"/>
      <c r="K18" s="3"/>
      <c r="L18" s="16">
        <v>-1600</v>
      </c>
      <c r="M18" s="16"/>
      <c r="N18" s="13"/>
      <c r="O18" s="13"/>
    </row>
    <row r="19" spans="2:15" x14ac:dyDescent="0.2">
      <c r="B19" s="1">
        <v>16</v>
      </c>
      <c r="C19" s="20"/>
      <c r="D19" s="3"/>
      <c r="E19" s="3">
        <v>-3200</v>
      </c>
      <c r="F19" s="3"/>
      <c r="G19" s="3"/>
      <c r="H19" s="18" t="s">
        <v>13</v>
      </c>
      <c r="I19" s="3"/>
      <c r="J19" s="3"/>
      <c r="K19" s="3"/>
      <c r="L19" s="16"/>
      <c r="M19" s="16"/>
      <c r="N19" s="13">
        <v>-3200</v>
      </c>
      <c r="O19" s="13"/>
    </row>
    <row r="20" spans="2:15" x14ac:dyDescent="0.2">
      <c r="B20" s="1">
        <v>17</v>
      </c>
      <c r="C20" s="20">
        <v>-4500</v>
      </c>
      <c r="D20" s="3"/>
      <c r="E20" s="3"/>
      <c r="F20" s="3"/>
      <c r="G20" s="3"/>
      <c r="H20" s="18" t="s">
        <v>13</v>
      </c>
      <c r="I20" s="3"/>
      <c r="J20" s="3"/>
      <c r="K20" s="3"/>
      <c r="L20" s="16"/>
      <c r="M20" s="16"/>
      <c r="N20" s="13">
        <v>-4500</v>
      </c>
      <c r="O20" s="13"/>
    </row>
    <row r="21" spans="2:15" x14ac:dyDescent="0.2">
      <c r="B21" s="1"/>
      <c r="C21" s="20"/>
      <c r="D21" s="3"/>
      <c r="E21" s="3"/>
      <c r="F21" s="3"/>
      <c r="G21" s="3"/>
      <c r="H21" s="3"/>
      <c r="I21" s="3"/>
      <c r="J21" s="3"/>
      <c r="K21" s="3"/>
      <c r="L21" s="16"/>
      <c r="M21" s="16">
        <v>7300</v>
      </c>
      <c r="N21" s="13">
        <v>-7300</v>
      </c>
      <c r="O21" s="13"/>
    </row>
    <row r="22" spans="2:15" x14ac:dyDescent="0.2">
      <c r="B22" s="1"/>
      <c r="C22" s="20"/>
      <c r="D22" s="3"/>
      <c r="E22" s="3"/>
      <c r="F22" s="3"/>
      <c r="G22" s="3"/>
      <c r="H22" s="3"/>
      <c r="I22" s="3"/>
      <c r="J22" s="3"/>
      <c r="K22" s="3"/>
      <c r="L22" s="16"/>
      <c r="M22" s="16"/>
      <c r="N22" s="3"/>
      <c r="O22" s="3"/>
    </row>
    <row r="23" spans="2:15" x14ac:dyDescent="0.2">
      <c r="B23" s="1"/>
      <c r="C23" s="20"/>
      <c r="D23" s="3"/>
      <c r="E23" s="3"/>
      <c r="F23" s="3"/>
      <c r="G23" s="3"/>
      <c r="H23" s="3"/>
      <c r="I23" s="3"/>
      <c r="J23" s="3"/>
      <c r="K23" s="3"/>
      <c r="L23" s="16"/>
      <c r="M23" s="16"/>
      <c r="N23" s="3"/>
      <c r="O23" s="3"/>
    </row>
    <row r="24" spans="2:15" x14ac:dyDescent="0.2">
      <c r="B24" s="9" t="s">
        <v>12</v>
      </c>
      <c r="C24" s="20">
        <f>SUM(C4:C23)</f>
        <v>6400</v>
      </c>
      <c r="D24" s="10">
        <f t="shared" ref="D24:N24" si="0">SUM(D4:D23)</f>
        <v>21200</v>
      </c>
      <c r="E24" s="10">
        <f t="shared" si="0"/>
        <v>600</v>
      </c>
      <c r="F24" s="10">
        <f t="shared" si="0"/>
        <v>1600</v>
      </c>
      <c r="G24" s="10">
        <f t="shared" si="0"/>
        <v>3000</v>
      </c>
      <c r="H24" s="10">
        <f t="shared" si="0"/>
        <v>0</v>
      </c>
      <c r="I24" s="10">
        <f t="shared" si="0"/>
        <v>0</v>
      </c>
      <c r="J24" s="10">
        <f t="shared" si="0"/>
        <v>2100</v>
      </c>
      <c r="K24" s="10">
        <f t="shared" si="0"/>
        <v>0</v>
      </c>
      <c r="L24" s="16">
        <f t="shared" si="0"/>
        <v>23400</v>
      </c>
      <c r="M24" s="16">
        <f t="shared" si="0"/>
        <v>7300</v>
      </c>
      <c r="N24" s="10">
        <f t="shared" si="0"/>
        <v>0</v>
      </c>
      <c r="O24" s="10"/>
    </row>
    <row r="25" spans="2:15" x14ac:dyDescent="0.2">
      <c r="B25" s="9"/>
      <c r="C25" s="9"/>
      <c r="D25" s="9"/>
      <c r="E25" s="9"/>
      <c r="F25" s="9"/>
      <c r="G25" s="9">
        <f>SUM(C24:G24)</f>
        <v>32800</v>
      </c>
      <c r="H25" s="9"/>
      <c r="I25" s="9">
        <f>SUM(I24:N24)</f>
        <v>32800</v>
      </c>
      <c r="J25" s="9"/>
      <c r="K25" s="9"/>
      <c r="L25" s="9"/>
      <c r="M25" s="9"/>
      <c r="N25" s="9"/>
      <c r="O25" s="9"/>
    </row>
    <row r="26" spans="2:15" x14ac:dyDescent="0.2">
      <c r="C26" s="8"/>
      <c r="D26" s="8"/>
      <c r="E26" s="8"/>
      <c r="F26" s="8"/>
      <c r="G26" s="8"/>
      <c r="I26" s="8"/>
      <c r="J26" s="8"/>
      <c r="K26" s="8"/>
      <c r="L26" s="8"/>
      <c r="M26" s="8"/>
      <c r="N26" s="8"/>
    </row>
    <row r="27" spans="2:15" x14ac:dyDescent="0.2">
      <c r="B27" t="s">
        <v>43</v>
      </c>
      <c r="E27" t="s">
        <v>46</v>
      </c>
    </row>
    <row r="28" spans="2:15" x14ac:dyDescent="0.2">
      <c r="B28" t="s">
        <v>44</v>
      </c>
      <c r="E28" t="s">
        <v>45</v>
      </c>
    </row>
    <row r="31" spans="2:15" x14ac:dyDescent="0.2">
      <c r="B31" s="4" t="s">
        <v>24</v>
      </c>
    </row>
    <row r="32" spans="2:15" x14ac:dyDescent="0.2">
      <c r="B32" s="4" t="s">
        <v>25</v>
      </c>
      <c r="E32" s="5">
        <v>7300</v>
      </c>
    </row>
    <row r="33" spans="2:5" x14ac:dyDescent="0.2">
      <c r="B33" s="4" t="s">
        <v>26</v>
      </c>
      <c r="E33" s="6">
        <v>47000</v>
      </c>
    </row>
    <row r="34" spans="2:5" x14ac:dyDescent="0.2">
      <c r="B34" s="4" t="s">
        <v>27</v>
      </c>
      <c r="E34" s="6">
        <v>39700</v>
      </c>
    </row>
    <row r="36" spans="2:5" x14ac:dyDescent="0.2">
      <c r="B36" s="4" t="s">
        <v>28</v>
      </c>
      <c r="E36" s="5">
        <v>6400</v>
      </c>
    </row>
    <row r="39" spans="2:5" x14ac:dyDescent="0.2">
      <c r="B39" s="7" t="s">
        <v>29</v>
      </c>
    </row>
    <row r="41" spans="2:5" x14ac:dyDescent="0.2">
      <c r="B41" s="4" t="s">
        <v>30</v>
      </c>
    </row>
    <row r="42" spans="2:5" x14ac:dyDescent="0.2">
      <c r="B42" s="4" t="s">
        <v>31</v>
      </c>
    </row>
    <row r="43" spans="2:5" x14ac:dyDescent="0.2">
      <c r="B43" s="4" t="s">
        <v>32</v>
      </c>
    </row>
    <row r="44" spans="2:5" x14ac:dyDescent="0.2">
      <c r="B44" s="4" t="s">
        <v>33</v>
      </c>
    </row>
    <row r="46" spans="2:5" x14ac:dyDescent="0.2">
      <c r="B46" s="4" t="s">
        <v>41</v>
      </c>
    </row>
    <row r="47" spans="2:5" x14ac:dyDescent="0.2">
      <c r="B47" s="4" t="s">
        <v>42</v>
      </c>
    </row>
    <row r="49" spans="2:2" x14ac:dyDescent="0.2">
      <c r="B49" s="4" t="s">
        <v>47</v>
      </c>
    </row>
    <row r="50" spans="2:2" x14ac:dyDescent="0.2">
      <c r="B50" s="4" t="s">
        <v>48</v>
      </c>
    </row>
    <row r="51" spans="2:2" x14ac:dyDescent="0.2">
      <c r="B51" s="4" t="s">
        <v>49</v>
      </c>
    </row>
  </sheetData>
  <mergeCells count="2">
    <mergeCell ref="C26:G26"/>
    <mergeCell ref="I26:N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System</vt:lpstr>
      <vt:lpstr>WB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Manek</dc:creator>
  <cp:lastModifiedBy>Joseph Koh</cp:lastModifiedBy>
  <cp:lastPrinted>2023-04-05T17:58:37Z</cp:lastPrinted>
  <dcterms:created xsi:type="dcterms:W3CDTF">2023-04-03T11:19:43Z</dcterms:created>
  <dcterms:modified xsi:type="dcterms:W3CDTF">2026-04-02T03:29:04Z</dcterms:modified>
</cp:coreProperties>
</file>