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lym\Desktop\Manek\Notes\SIM\UOW\2026 UOW\Learning Material\In Session Explanation\L3\"/>
    </mc:Choice>
  </mc:AlternateContent>
  <xr:revisionPtr revIDLastSave="0" documentId="8_{78F06FA9-3BF7-4EA7-8FFA-000AAECD6C14}" xr6:coauthVersionLast="47" xr6:coauthVersionMax="47" xr10:uidLastSave="{00000000-0000-0000-0000-000000000000}"/>
  <bookViews>
    <workbookView xWindow="-110" yWindow="-110" windowWidth="38620" windowHeight="21100" tabRatio="802" xr2:uid="{526B6F88-2697-4E2F-91B5-BDD8E44991FB}"/>
  </bookViews>
  <sheets>
    <sheet name="System" sheetId="3" r:id="rId1"/>
    <sheet name="System (2)" sheetId="15" r:id="rId2"/>
    <sheet name="P2.25" sheetId="1" r:id="rId3"/>
    <sheet name="P2.27" sheetId="10" r:id="rId4"/>
    <sheet name="Ex 3.9" sheetId="4" r:id="rId5"/>
    <sheet name="Ex 3.10" sheetId="11" r:id="rId6"/>
    <sheet name="Ex 3.11" sheetId="14" r:id="rId7"/>
    <sheet name="Ex 4.6" sheetId="5" r:id="rId8"/>
    <sheet name="Ex 4.12" sheetId="13" r:id="rId9"/>
    <sheet name="ANSWER" sheetId="6" r:id="rId10"/>
    <sheet name="Ex 4.6(A)" sheetId="7" r:id="rId11"/>
    <sheet name="P2.25 (A)" sheetId="8" r:id="rId12"/>
    <sheet name="Ex 3.9 (A)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4" l="1"/>
  <c r="E9" i="14"/>
  <c r="J9" i="14"/>
  <c r="H9" i="14"/>
  <c r="G9" i="14"/>
  <c r="D9" i="14"/>
  <c r="C9" i="14"/>
  <c r="B9" i="14"/>
  <c r="G16" i="10"/>
  <c r="K16" i="10"/>
  <c r="J16" i="10"/>
  <c r="I16" i="10"/>
  <c r="F16" i="10"/>
  <c r="D16" i="10"/>
  <c r="C16" i="10"/>
  <c r="B16" i="10"/>
  <c r="L18" i="8"/>
  <c r="K18" i="8"/>
  <c r="J18" i="8"/>
  <c r="I18" i="8"/>
  <c r="H18" i="8"/>
  <c r="G18" i="8"/>
  <c r="G19" i="8" s="1"/>
  <c r="E18" i="8"/>
  <c r="D18" i="8"/>
  <c r="C18" i="8"/>
  <c r="B18" i="8"/>
  <c r="B19" i="8" s="1"/>
  <c r="K10" i="7"/>
  <c r="K16" i="7" s="1"/>
  <c r="K16" i="5"/>
  <c r="K10" i="5"/>
  <c r="B18" i="1"/>
  <c r="H18" i="1"/>
  <c r="I18" i="1"/>
  <c r="J18" i="1"/>
  <c r="K18" i="1"/>
  <c r="L18" i="1"/>
  <c r="G18" i="1"/>
  <c r="G19" i="1" s="1"/>
  <c r="D18" i="1"/>
  <c r="E18" i="1"/>
  <c r="C18" i="1"/>
  <c r="G10" i="14" l="1"/>
  <c r="B17" i="10"/>
  <c r="F17" i="10"/>
  <c r="B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tc={6BCC7368-0BD1-4236-9744-C8228D4E2CB5}</author>
    <author>tc={3BE1C3DD-078D-4A7D-ABC6-781F6948B07A}</author>
  </authors>
  <commentList>
    <comment ref="G4" authorId="0" shapeId="0" xr:uid="{6BCC7368-0BD1-4236-9744-C8228D4E2CB5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3BE1C3DD-078D-4A7D-ABC6-781F6948B07A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<sst xmlns="http://schemas.openxmlformats.org/spreadsheetml/2006/main" count="403" uniqueCount="124">
  <si>
    <t>Bank</t>
  </si>
  <si>
    <t>Capital</t>
  </si>
  <si>
    <t>Retained</t>
  </si>
  <si>
    <t>Profit</t>
  </si>
  <si>
    <t>Details</t>
  </si>
  <si>
    <t>Supplies</t>
  </si>
  <si>
    <t>AR</t>
  </si>
  <si>
    <t>Balance</t>
  </si>
  <si>
    <t xml:space="preserve"> =</t>
  </si>
  <si>
    <t>ASSETS</t>
  </si>
  <si>
    <t>LIABILITY</t>
  </si>
  <si>
    <t>Revenue</t>
  </si>
  <si>
    <t>Assets</t>
  </si>
  <si>
    <t>=</t>
  </si>
  <si>
    <t>Liabilities</t>
  </si>
  <si>
    <t>+</t>
  </si>
  <si>
    <t>Equity</t>
  </si>
  <si>
    <t>Cash at bank</t>
  </si>
  <si>
    <t>Office supplies</t>
  </si>
  <si>
    <t>Retained Profit</t>
  </si>
  <si>
    <t>Total</t>
  </si>
  <si>
    <t>IT Equip</t>
  </si>
  <si>
    <t>Loan Pay</t>
  </si>
  <si>
    <t>AR Debtors</t>
  </si>
  <si>
    <t>AP Creditors</t>
  </si>
  <si>
    <t>Adevert exp</t>
  </si>
  <si>
    <t>Rent exp</t>
  </si>
  <si>
    <t>Wage exp</t>
  </si>
  <si>
    <t>HMW, capital</t>
  </si>
  <si>
    <t>Supplies exp</t>
  </si>
  <si>
    <r>
      <rPr>
        <sz val="12"/>
        <color rgb="FFFF0000"/>
        <rFont val="Aptos ExtraBold"/>
        <family val="2"/>
      </rPr>
      <t>Profit</t>
    </r>
    <r>
      <rPr>
        <sz val="12"/>
        <color theme="1"/>
        <rFont val="Aptos ExtraBold"/>
        <family val="2"/>
      </rPr>
      <t xml:space="preserve"> Revenue (Exp)</t>
    </r>
  </si>
  <si>
    <t>Transfer Net  Loss</t>
  </si>
  <si>
    <t>O EQUITY</t>
  </si>
  <si>
    <t>Rev (Exp)</t>
  </si>
  <si>
    <t>Cash</t>
  </si>
  <si>
    <t>June</t>
  </si>
  <si>
    <t>O Equip</t>
  </si>
  <si>
    <t>No entry</t>
  </si>
  <si>
    <t>Airfare</t>
  </si>
  <si>
    <t>Hotel</t>
  </si>
  <si>
    <t xml:space="preserve"> + Debit</t>
  </si>
  <si>
    <t xml:space="preserve"> - Credit</t>
  </si>
  <si>
    <t xml:space="preserve"> - Debit</t>
  </si>
  <si>
    <t xml:space="preserve"> + Credit</t>
  </si>
  <si>
    <t>Ret Profit</t>
  </si>
  <si>
    <t>Service Revenue</t>
  </si>
  <si>
    <t>Supplies Exp</t>
  </si>
  <si>
    <t>Elect exp</t>
  </si>
  <si>
    <t>Net Profit (1)</t>
  </si>
  <si>
    <t>Equip</t>
  </si>
  <si>
    <t>Depreciation exp</t>
  </si>
  <si>
    <t>Prepaid Ins</t>
  </si>
  <si>
    <t>Insurance exp</t>
  </si>
  <si>
    <t>W payable</t>
  </si>
  <si>
    <t>Net Profit (2)</t>
  </si>
  <si>
    <t>Net Profit</t>
  </si>
  <si>
    <t>Tran, Capital</t>
  </si>
  <si>
    <t>Dec</t>
  </si>
  <si>
    <t>Unearned</t>
  </si>
  <si>
    <t>Rental</t>
  </si>
  <si>
    <t>Salary exp exp</t>
  </si>
  <si>
    <t>Prepaid</t>
  </si>
  <si>
    <t>Insurance</t>
  </si>
  <si>
    <t>Shop</t>
  </si>
  <si>
    <t>Shelving</t>
  </si>
  <si>
    <t>MTL</t>
  </si>
  <si>
    <t>M C</t>
  </si>
  <si>
    <t>C Roast</t>
  </si>
  <si>
    <t>AP</t>
  </si>
  <si>
    <t>Office</t>
  </si>
  <si>
    <t>Build</t>
  </si>
  <si>
    <t>Land</t>
  </si>
  <si>
    <t>Acquisition of business</t>
  </si>
  <si>
    <t>R Equip on credit</t>
  </si>
  <si>
    <t>AP paid</t>
  </si>
  <si>
    <t>Cash Coffee sales</t>
  </si>
  <si>
    <t>Prepay Insurance</t>
  </si>
  <si>
    <t>Prepay</t>
  </si>
  <si>
    <t>Ins</t>
  </si>
  <si>
    <t>Avert exp</t>
  </si>
  <si>
    <t>Drawings</t>
  </si>
  <si>
    <t>Vehicle</t>
  </si>
  <si>
    <t>KL, Capital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</si>
  <si>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</si>
  <si>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</si>
  <si>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</si>
  <si>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</si>
  <si>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</si>
  <si>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</si>
  <si>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</si>
  <si>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</si>
  <si>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</si>
  <si>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</si>
  <si>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</si>
  <si>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</si>
  <si>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</si>
  <si>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</si>
  <si>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</si>
  <si>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</si>
  <si>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</si>
  <si>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</si>
  <si>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</si>
  <si>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</si>
  <si>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</si>
  <si>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</si>
  <si>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</si>
  <si>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</si>
  <si>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</si>
  <si>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</si>
  <si>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</si>
  <si>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</si>
  <si>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</si>
  <si>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</si>
  <si>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</si>
  <si>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</si>
  <si>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</si>
  <si>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Financial Statements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</si>
  <si>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</si>
  <si>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</si>
  <si>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</si>
  <si>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</si>
  <si>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</si>
  <si>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</si>
  <si>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To reset drawing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</si>
</sst>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ptos ExtraBold"/>
      <family val="2"/>
    </font>
    <font>
      <sz val="12"/>
      <color theme="1"/>
      <name val="Aptos ExtraBold"/>
      <family val="2"/>
    </font>
    <font>
      <sz val="11"/>
      <name val="Aptos ExtraBold"/>
      <family val="2"/>
    </font>
    <font>
      <b/>
      <sz val="12"/>
      <color theme="1"/>
      <name val="Stencil"/>
      <family val="5"/>
    </font>
    <font>
      <sz val="12"/>
      <color theme="1"/>
      <name val="Stencil"/>
      <family val="5"/>
    </font>
    <font>
      <sz val="12"/>
      <color rgb="FFFF0000"/>
      <name val="Aptos ExtraBold"/>
      <family val="2"/>
    </font>
    <font>
      <sz val="11"/>
      <color theme="1"/>
      <name val="Amasis MT Pro Black"/>
      <family val="1"/>
    </font>
    <font>
      <sz val="11"/>
      <color theme="1"/>
      <name val="Calibri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1" xfId="0" applyFont="1" applyBorder="1"/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1" xfId="0" applyFont="1" applyFill="1" applyBorder="1"/>
    <xf numFmtId="0" fontId="5" fillId="2" borderId="1" xfId="0" applyFont="1" applyFill="1" applyBorder="1"/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5" fillId="3" borderId="1" xfId="0" applyFont="1" applyFill="1" applyBorder="1"/>
    <xf numFmtId="0" fontId="3" fillId="3" borderId="1" xfId="0" applyFont="1" applyFill="1" applyBorder="1"/>
    <xf numFmtId="0" fontId="4" fillId="4" borderId="0" xfId="0" applyFont="1" applyFill="1" applyAlignment="1">
      <alignment vertical="center" wrapText="1"/>
    </xf>
    <xf numFmtId="0" fontId="3" fillId="4" borderId="1" xfId="0" applyFont="1" applyFill="1" applyBorder="1"/>
    <xf numFmtId="0" fontId="4" fillId="5" borderId="0" xfId="0" applyFont="1" applyFill="1" applyAlignment="1">
      <alignment vertical="center" wrapText="1"/>
    </xf>
    <xf numFmtId="0" fontId="3" fillId="5" borderId="0" xfId="0" applyFont="1" applyFill="1"/>
    <xf numFmtId="0" fontId="5" fillId="5" borderId="1" xfId="0" applyFont="1" applyFill="1" applyBorder="1"/>
    <xf numFmtId="0" fontId="9" fillId="0" borderId="0" xfId="0" applyFont="1"/>
    <xf numFmtId="164" fontId="9" fillId="0" borderId="0" xfId="1" applyNumberFormat="1" applyFont="1"/>
    <xf numFmtId="164" fontId="0" fillId="0" borderId="0" xfId="1" applyNumberFormat="1" applyFont="1"/>
    <xf numFmtId="0" fontId="0" fillId="2" borderId="0" xfId="0" applyFill="1"/>
    <xf numFmtId="164" fontId="9" fillId="2" borderId="0" xfId="1" applyNumberFormat="1" applyFont="1" applyFill="1"/>
    <xf numFmtId="0" fontId="0" fillId="6" borderId="0" xfId="0" applyFill="1"/>
    <xf numFmtId="164" fontId="9" fillId="6" borderId="0" xfId="1" applyNumberFormat="1" applyFont="1" applyFill="1"/>
    <xf numFmtId="0" fontId="3" fillId="0" borderId="0" xfId="0" applyFont="1" applyAlignment="1">
      <alignment horizontal="center"/>
    </xf>
    <xf numFmtId="0" fontId="3" fillId="6" borderId="0" xfId="0" applyFont="1" applyFill="1"/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7" xfId="0" applyFont="1" applyBorder="1"/>
    <xf numFmtId="164" fontId="9" fillId="0" borderId="0" xfId="1" applyNumberFormat="1" applyFont="1" applyFill="1"/>
    <xf numFmtId="164" fontId="0" fillId="0" borderId="0" xfId="1" applyNumberFormat="1" applyFont="1" applyFill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17" fontId="3" fillId="0" borderId="1" xfId="0" applyNumberFormat="1" applyFont="1" applyBorder="1"/>
    <xf numFmtId="0" fontId="6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0" fillId="2" borderId="0" xfId="0" applyFont="1" applyFill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2" borderId="0" xfId="0" applyFill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7" borderId="13" xfId="0" applyFill="1" applyBorder="1"/>
    <xf numFmtId="0" fontId="0" fillId="8" borderId="0" xfId="0" applyFill="1"/>
    <xf numFmtId="0" fontId="0" fillId="5" borderId="0" xfId="0" applyFill="1"/>
    <xf numFmtId="0" fontId="10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5D3FC2-C4F6-F106-A593-9A1BC4D9FEE0}"/>
            </a:ext>
          </a:extLst>
        </xdr:cNvPr>
        <xdr:cNvGrpSpPr/>
      </xdr:nvGrpSpPr>
      <xdr:grpSpPr bwMode="auto">
        <a:xfrm>
          <a:off x="1028886" y="645488"/>
          <a:ext cx="5410279" cy="5768610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91EA79DD-95F8-0EA4-D4C3-2DFF9299DEC8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63C04F2-97AC-90C7-E415-A097535F40FF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1F1810E8-A7E2-437B-5E3C-4B3D6AE35B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163D86C1-517F-0071-7719-22CB3901FF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26AE9AFE-F15A-AC01-5EDB-02F49E56C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0FC5CE5F-117C-11AF-7085-123FF9D218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6C581502-F0B7-24FC-D954-AF7C22311C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604E386-72AF-4F82-25A1-13AFE89D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3070" y="397249"/>
          <a:ext cx="9247312" cy="5718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C4FF6B-E10D-47E2-8AE8-47726A8FA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219809</xdr:colOff>
      <xdr:row>0</xdr:row>
      <xdr:rowOff>39077</xdr:rowOff>
    </xdr:from>
    <xdr:to>
      <xdr:col>20</xdr:col>
      <xdr:colOff>341924</xdr:colOff>
      <xdr:row>18</xdr:row>
      <xdr:rowOff>78154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585DB13-328E-40C4-80A2-37159DE425E3}"/>
            </a:ext>
          </a:extLst>
        </xdr:cNvPr>
        <xdr:cNvGrpSpPr/>
      </xdr:nvGrpSpPr>
      <xdr:grpSpPr bwMode="auto">
        <a:xfrm>
          <a:off x="8728809" y="39077"/>
          <a:ext cx="4396153" cy="4054231"/>
          <a:chOff x="0" y="-6362"/>
          <a:chExt cx="6116694" cy="4013045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BC4A0F82-6CA3-6EB4-2E1F-9CB391D9672A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B65EB394-8E41-2C2E-E070-F7B14AC45ED3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13" name="Flowchart: Alternate Process 12">
              <a:extLst>
                <a:ext uri="{FF2B5EF4-FFF2-40B4-BE49-F238E27FC236}">
                  <a16:creationId xmlns:a16="http://schemas.microsoft.com/office/drawing/2014/main" id="{E5123DCD-5979-7A99-7DCD-26350EB8B8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4" name="Flowchart: Alternate Process 13">
              <a:extLst>
                <a:ext uri="{FF2B5EF4-FFF2-40B4-BE49-F238E27FC236}">
                  <a16:creationId xmlns:a16="http://schemas.microsoft.com/office/drawing/2014/main" id="{2B257415-2628-B6BB-514E-2E842CA658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5" name="Flowchart: Predefined Process 14">
              <a:extLst>
                <a:ext uri="{FF2B5EF4-FFF2-40B4-BE49-F238E27FC236}">
                  <a16:creationId xmlns:a16="http://schemas.microsoft.com/office/drawing/2014/main" id="{B2030D3D-98BC-F745-F192-2BE7E3C28F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6" name="Arrow: Down 15">
              <a:extLst>
                <a:ext uri="{FF2B5EF4-FFF2-40B4-BE49-F238E27FC236}">
                  <a16:creationId xmlns:a16="http://schemas.microsoft.com/office/drawing/2014/main" id="{95E4D4F7-CBDA-9F03-8CB8-3C51836764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17" name="Arrow: Down 16">
              <a:extLst>
                <a:ext uri="{FF2B5EF4-FFF2-40B4-BE49-F238E27FC236}">
                  <a16:creationId xmlns:a16="http://schemas.microsoft.com/office/drawing/2014/main" id="{6D3E137D-7063-0EA8-73AC-0BBD0A1404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311150</xdr:colOff>
      <xdr:row>28</xdr:row>
      <xdr:rowOff>114300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DE6D09C-16F6-80F6-26A0-4B95F54BB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0250"/>
          <a:ext cx="6216650" cy="140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219809</xdr:colOff>
      <xdr:row>0</xdr:row>
      <xdr:rowOff>39077</xdr:rowOff>
    </xdr:from>
    <xdr:to>
      <xdr:col>19</xdr:col>
      <xdr:colOff>341924</xdr:colOff>
      <xdr:row>16</xdr:row>
      <xdr:rowOff>78154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5D02AB0-AED3-4636-992B-4042F7FF6FED}"/>
            </a:ext>
          </a:extLst>
        </xdr:cNvPr>
        <xdr:cNvGrpSpPr/>
      </xdr:nvGrpSpPr>
      <xdr:grpSpPr bwMode="auto">
        <a:xfrm>
          <a:off x="7668847" y="39077"/>
          <a:ext cx="4396154" cy="3937000"/>
          <a:chOff x="0" y="-6362"/>
          <a:chExt cx="6116694" cy="4013045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1FACE57C-D5AD-275A-7AB4-A11EE896F88E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213F0E9-FD21-1D9D-AF98-7DDFFC2890C3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51BBF7F5-D5BF-D465-0A2A-743A93CE47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D1EA4E76-20BE-C9EB-A328-0E1152BCF9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1D0D984F-A9AB-CE23-908E-71268041CF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D783E2E1-2B5C-2588-CAAF-561E91AD6A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9982CD27-7390-45A4-769E-A1AB707730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0</xdr:col>
      <xdr:colOff>368300</xdr:colOff>
      <xdr:row>18</xdr:row>
      <xdr:rowOff>133350</xdr:rowOff>
    </xdr:from>
    <xdr:to>
      <xdr:col>11</xdr:col>
      <xdr:colOff>95250</xdr:colOff>
      <xdr:row>27</xdr:row>
      <xdr:rowOff>127000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19811720-1E8C-84AA-F0D7-61FB52D6A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4368800"/>
          <a:ext cx="5962650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7689</xdr:colOff>
      <xdr:row>19</xdr:row>
      <xdr:rowOff>22470</xdr:rowOff>
    </xdr:from>
    <xdr:to>
      <xdr:col>11</xdr:col>
      <xdr:colOff>161229</xdr:colOff>
      <xdr:row>33</xdr:row>
      <xdr:rowOff>100569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2626A-837F-9B5B-9163-042CBCDC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783" y="5134220"/>
          <a:ext cx="6969107" cy="263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11</xdr:col>
      <xdr:colOff>57150</xdr:colOff>
      <xdr:row>29</xdr:row>
      <xdr:rowOff>76200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53BA47AF-DD5D-FCE1-C884-4D8D33395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2762250"/>
          <a:ext cx="6629400" cy="265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219809</xdr:colOff>
      <xdr:row>0</xdr:row>
      <xdr:rowOff>39077</xdr:rowOff>
    </xdr:from>
    <xdr:to>
      <xdr:col>18</xdr:col>
      <xdr:colOff>341924</xdr:colOff>
      <xdr:row>9</xdr:row>
      <xdr:rowOff>78154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DB5CFD9-F590-46A6-AB93-F2D6C717A012}"/>
            </a:ext>
          </a:extLst>
        </xdr:cNvPr>
        <xdr:cNvGrpSpPr/>
      </xdr:nvGrpSpPr>
      <xdr:grpSpPr bwMode="auto">
        <a:xfrm>
          <a:off x="6901963" y="39077"/>
          <a:ext cx="4396153" cy="2500923"/>
          <a:chOff x="0" y="-6362"/>
          <a:chExt cx="6116694" cy="4013045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45D727E-85E9-736E-CBE0-9B09719C0B23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92E829E-C66D-52EF-A8D8-A6A5DB32EF7D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EFEF05C2-3A8C-DFCA-4C80-E757436357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59EA8212-A31B-FB37-9E7B-0948D44F3B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A3B34A96-5042-D344-B89B-A34560E62F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9CD65399-1DDA-068C-0ABA-4A07C3B0E9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B2F329BE-1949-47D0-F7FE-CB7AD1963E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219809</xdr:colOff>
      <xdr:row>0</xdr:row>
      <xdr:rowOff>39077</xdr:rowOff>
    </xdr:from>
    <xdr:to>
      <xdr:col>20</xdr:col>
      <xdr:colOff>341924</xdr:colOff>
      <xdr:row>18</xdr:row>
      <xdr:rowOff>78154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3EA37-1D94-450D-8F7D-FE159DB56C17}"/>
            </a:ext>
          </a:extLst>
        </xdr:cNvPr>
        <xdr:cNvGrpSpPr/>
      </xdr:nvGrpSpPr>
      <xdr:grpSpPr bwMode="auto">
        <a:xfrm>
          <a:off x="8729454" y="39077"/>
          <a:ext cx="4386607" cy="4019915"/>
          <a:chOff x="0" y="-6362"/>
          <a:chExt cx="6116694" cy="4013045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892F7272-8305-7244-160B-F25B98E9BB5C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94D3FBC-ACA9-020A-375B-29EA6D6D2485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8F547210-70FB-96E7-AF4C-FE340F5783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DF2DA64A-2EFF-78C2-0A4D-FA58BC56AA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D9FCBF8C-CDE1-7C4E-29CC-17975BACAF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17F3FC1D-E267-4279-73CC-36E29FCB28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7D796987-11A9-6C51-419B-802561D2A7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7689</xdr:colOff>
      <xdr:row>19</xdr:row>
      <xdr:rowOff>22470</xdr:rowOff>
    </xdr:from>
    <xdr:to>
      <xdr:col>11</xdr:col>
      <xdr:colOff>161229</xdr:colOff>
      <xdr:row>33</xdr:row>
      <xdr:rowOff>100569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B5B20-960F-4408-8591-9C683865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89" y="3521320"/>
          <a:ext cx="6948040" cy="2656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20087F1A-07CA-455E-8B86-40E4B1617E6E}" userId="7baad15b6bef9919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20087F1A-07CA-455E-8B86-40E4B1617E6E}" id="{6BCC7368-0BD1-4236-9744-C8228D4E2CB5}">
    <text>BDA = Balanced Day Adjustments 
Accrual, prepayment, depreciation, bad debt exp etc.</text>
  </threadedComment>
  <threadedComment ref="H4" dT="2022-04-27T08:03:56.12" personId="{20087F1A-07CA-455E-8B86-40E4B1617E6E}" id="{3BE1C3DD-078D-4A7D-ABC6-781F6948B07A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2F3C-6231-4CB6-9A9D-455E7481F633}">
  <dimension ref="A1"/>
  <sheetViews>
    <sheetView tabSelected="1" zoomScale="85" zoomScaleNormal="85" workbookViewId="0">
      <selection activeCell="I55" sqref="I5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FB3C-3983-483F-9D0D-377B31F3A7BC}">
  <dimension ref="B1:O20"/>
  <sheetViews>
    <sheetView topLeftCell="B1" zoomScale="190" zoomScaleNormal="190" workbookViewId="0">
      <selection activeCell="G18" sqref="G18"/>
    </sheetView>
  </sheetViews>
  <sheetFormatPr defaultRowHeight="14.5" x14ac:dyDescent="0.35"/>
  <cols>
    <col min="5" max="5" width="18.81640625" bestFit="1" customWidth="1"/>
    <col min="6" max="6" width="10.453125" customWidth="1"/>
    <col min="7" max="7" width="10.453125" bestFit="1" customWidth="1"/>
    <col min="11" max="11" width="2.08984375" bestFit="1" customWidth="1"/>
    <col min="12" max="12" width="37.453125" bestFit="1" customWidth="1"/>
    <col min="13" max="13" width="22.6328125" bestFit="1" customWidth="1"/>
  </cols>
  <sheetData>
    <row r="1" spans="2:15" x14ac:dyDescent="0.35">
      <c r="G1" t="s">
        <v>83</v>
      </c>
    </row>
    <row r="2" spans="2:15" x14ac:dyDescent="0.35">
      <c r="B2" s="28" t="s">
        <v>84</v>
      </c>
    </row>
    <row r="3" spans="2:15" x14ac:dyDescent="0.35">
      <c r="F3" t="s">
        <v>85</v>
      </c>
      <c r="G3" t="s">
        <v>86</v>
      </c>
      <c r="H3" t="s">
        <v>84</v>
      </c>
      <c r="L3" t="s">
        <v>87</v>
      </c>
      <c r="M3" t="s">
        <v>88</v>
      </c>
    </row>
    <row r="4" spans="2:15" ht="15" thickBot="1" x14ac:dyDescent="0.4">
      <c r="C4" s="28" t="s">
        <v>89</v>
      </c>
      <c r="D4" s="28"/>
      <c r="E4" s="28" t="s">
        <v>90</v>
      </c>
      <c r="F4" t="s">
        <v>91</v>
      </c>
      <c r="G4" t="s">
        <v>92</v>
      </c>
      <c r="H4" t="s">
        <v>93</v>
      </c>
    </row>
    <row r="5" spans="2:15" x14ac:dyDescent="0.35">
      <c r="C5" s="28"/>
      <c r="D5" s="28"/>
      <c r="E5" s="60" t="s">
        <v>94</v>
      </c>
      <c r="M5" s="61"/>
      <c r="N5" s="62" t="s">
        <v>95</v>
      </c>
      <c r="O5" s="63" t="s">
        <v>96</v>
      </c>
    </row>
    <row r="6" spans="2:15" x14ac:dyDescent="0.35">
      <c r="C6" s="64" t="s">
        <v>97</v>
      </c>
      <c r="D6" s="28"/>
      <c r="E6" s="28" t="s">
        <v>98</v>
      </c>
      <c r="F6" t="s">
        <v>91</v>
      </c>
      <c r="H6" s="28" t="s">
        <v>99</v>
      </c>
      <c r="K6">
        <v>1</v>
      </c>
      <c r="L6" t="s">
        <v>100</v>
      </c>
      <c r="M6" s="65" t="s">
        <v>11</v>
      </c>
      <c r="N6" t="s">
        <v>101</v>
      </c>
      <c r="O6" s="66"/>
    </row>
    <row r="7" spans="2:15" x14ac:dyDescent="0.35">
      <c r="C7" s="64"/>
      <c r="D7" s="28"/>
      <c r="E7" s="60" t="s">
        <v>94</v>
      </c>
      <c r="M7" s="65" t="s">
        <v>102</v>
      </c>
      <c r="O7" s="66" t="s">
        <v>101</v>
      </c>
    </row>
    <row r="8" spans="2:15" x14ac:dyDescent="0.35">
      <c r="C8" s="64"/>
      <c r="D8" s="28"/>
      <c r="E8" s="28" t="s">
        <v>103</v>
      </c>
      <c r="F8" t="s">
        <v>91</v>
      </c>
      <c r="M8" s="65" t="s">
        <v>104</v>
      </c>
      <c r="O8" s="66"/>
    </row>
    <row r="9" spans="2:15" x14ac:dyDescent="0.35">
      <c r="C9" s="64"/>
      <c r="D9" s="28"/>
      <c r="E9" s="60" t="s">
        <v>94</v>
      </c>
      <c r="M9" s="65"/>
      <c r="O9" s="66"/>
    </row>
    <row r="10" spans="2:15" x14ac:dyDescent="0.35">
      <c r="C10" s="64"/>
      <c r="D10" s="28"/>
      <c r="E10" s="28" t="s">
        <v>105</v>
      </c>
      <c r="F10" t="s">
        <v>91</v>
      </c>
      <c r="G10" t="s">
        <v>106</v>
      </c>
      <c r="H10" t="s">
        <v>107</v>
      </c>
      <c r="K10">
        <v>2</v>
      </c>
      <c r="L10" t="s">
        <v>108</v>
      </c>
      <c r="M10" s="65" t="s">
        <v>102</v>
      </c>
      <c r="N10" t="s">
        <v>101</v>
      </c>
      <c r="O10" s="66"/>
    </row>
    <row r="11" spans="2:15" ht="15" thickBot="1" x14ac:dyDescent="0.4">
      <c r="C11" s="28"/>
      <c r="D11" s="28"/>
      <c r="E11" s="28"/>
      <c r="F11" s="67" t="s">
        <v>109</v>
      </c>
      <c r="G11" s="68" t="s">
        <v>110</v>
      </c>
      <c r="H11" s="69" t="s">
        <v>111</v>
      </c>
      <c r="M11" s="65" t="s">
        <v>112</v>
      </c>
      <c r="O11" s="66" t="s">
        <v>101</v>
      </c>
    </row>
    <row r="12" spans="2:15" ht="15" thickTop="1" x14ac:dyDescent="0.35">
      <c r="C12" s="28"/>
      <c r="D12" s="28"/>
      <c r="E12" s="60" t="s">
        <v>94</v>
      </c>
      <c r="G12" s="70" t="s">
        <v>94</v>
      </c>
      <c r="H12" t="s">
        <v>113</v>
      </c>
      <c r="M12" s="65" t="s">
        <v>114</v>
      </c>
      <c r="O12" s="66"/>
    </row>
    <row r="13" spans="2:15" x14ac:dyDescent="0.35">
      <c r="C13" s="28" t="s">
        <v>115</v>
      </c>
      <c r="D13" s="28"/>
      <c r="E13" s="28" t="s">
        <v>116</v>
      </c>
      <c r="F13" t="s">
        <v>116</v>
      </c>
      <c r="H13" t="s">
        <v>117</v>
      </c>
      <c r="M13" s="65"/>
      <c r="O13" s="66"/>
    </row>
    <row r="14" spans="2:15" x14ac:dyDescent="0.35">
      <c r="F14" t="s">
        <v>118</v>
      </c>
      <c r="K14">
        <v>3</v>
      </c>
      <c r="L14" t="s">
        <v>119</v>
      </c>
      <c r="M14" s="65" t="s">
        <v>102</v>
      </c>
      <c r="N14" t="s">
        <v>101</v>
      </c>
      <c r="O14" s="66"/>
    </row>
    <row r="15" spans="2:15" x14ac:dyDescent="0.35">
      <c r="M15" s="65" t="s">
        <v>120</v>
      </c>
      <c r="O15" s="66" t="s">
        <v>101</v>
      </c>
    </row>
    <row r="16" spans="2:15" x14ac:dyDescent="0.35">
      <c r="M16" s="65" t="s">
        <v>121</v>
      </c>
      <c r="O16" s="66"/>
    </row>
    <row r="17" spans="11:15" x14ac:dyDescent="0.35">
      <c r="M17" s="65"/>
      <c r="O17" s="66"/>
    </row>
    <row r="18" spans="11:15" x14ac:dyDescent="0.35">
      <c r="K18">
        <v>4</v>
      </c>
      <c r="L18" t="s">
        <v>122</v>
      </c>
      <c r="M18" s="65" t="s">
        <v>1</v>
      </c>
      <c r="N18" t="s">
        <v>101</v>
      </c>
      <c r="O18" s="66"/>
    </row>
    <row r="19" spans="11:15" x14ac:dyDescent="0.35">
      <c r="M19" s="65" t="s">
        <v>80</v>
      </c>
      <c r="O19" s="66" t="s">
        <v>101</v>
      </c>
    </row>
    <row r="20" spans="11:15" ht="15" thickBot="1" x14ac:dyDescent="0.4">
      <c r="M20" s="71" t="s">
        <v>123</v>
      </c>
      <c r="N20" s="72"/>
      <c r="O20" s="7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50D4-13F1-4968-AE88-B6D32945C2B9}">
  <dimension ref="A1:M20"/>
  <sheetViews>
    <sheetView zoomScale="130" zoomScaleNormal="130" workbookViewId="0">
      <pane ySplit="2" topLeftCell="A3" activePane="bottomLeft" state="frozen"/>
      <selection pane="bottomLeft" activeCell="C10" sqref="C10"/>
    </sheetView>
  </sheetViews>
  <sheetFormatPr defaultRowHeight="14.5" x14ac:dyDescent="0.35"/>
  <cols>
    <col min="2" max="2" width="9.08984375" customWidth="1"/>
    <col min="3" max="3" width="9.54296875" customWidth="1"/>
    <col min="4" max="4" width="11" bestFit="1" customWidth="1"/>
    <col min="5" max="5" width="8.90625" bestFit="1" customWidth="1"/>
    <col min="6" max="6" width="7.1796875" customWidth="1"/>
    <col min="7" max="7" width="10.54296875" customWidth="1"/>
    <col min="9" max="9" width="2.08984375" bestFit="1" customWidth="1"/>
    <col min="11" max="11" width="10.08984375" bestFit="1" customWidth="1"/>
    <col min="12" max="12" width="9.81640625" bestFit="1" customWidth="1"/>
    <col min="13" max="13" width="17.36328125" bestFit="1" customWidth="1"/>
  </cols>
  <sheetData>
    <row r="1" spans="1:13" ht="32.5" customHeight="1" x14ac:dyDescent="0.35">
      <c r="B1" s="50" t="s">
        <v>12</v>
      </c>
      <c r="C1" s="50"/>
      <c r="D1" s="50"/>
      <c r="E1" s="50"/>
      <c r="F1" s="44" t="s">
        <v>13</v>
      </c>
      <c r="G1" s="54" t="s">
        <v>14</v>
      </c>
      <c r="H1" s="54"/>
      <c r="I1" s="45" t="s">
        <v>15</v>
      </c>
      <c r="J1" s="45" t="s">
        <v>16</v>
      </c>
      <c r="M1" s="2"/>
    </row>
    <row r="2" spans="1:13" ht="48" x14ac:dyDescent="0.35">
      <c r="A2" s="4"/>
      <c r="B2" s="42" t="s">
        <v>17</v>
      </c>
      <c r="C2" s="42" t="s">
        <v>23</v>
      </c>
      <c r="D2" s="42" t="s">
        <v>18</v>
      </c>
      <c r="E2" s="42" t="s">
        <v>21</v>
      </c>
      <c r="F2" s="43" t="s">
        <v>13</v>
      </c>
      <c r="G2" s="42" t="s">
        <v>24</v>
      </c>
      <c r="H2" s="42" t="s">
        <v>22</v>
      </c>
      <c r="I2" s="42" t="s">
        <v>15</v>
      </c>
      <c r="J2" s="42" t="s">
        <v>28</v>
      </c>
      <c r="K2" s="42" t="s">
        <v>19</v>
      </c>
      <c r="L2" s="42" t="s">
        <v>30</v>
      </c>
      <c r="M2" s="35"/>
    </row>
    <row r="3" spans="1:13" ht="16" x14ac:dyDescent="0.35">
      <c r="A3" s="4" t="s">
        <v>7</v>
      </c>
      <c r="B3" s="42">
        <v>9000</v>
      </c>
      <c r="C3" s="42">
        <v>14250</v>
      </c>
      <c r="D3" s="42">
        <v>2000</v>
      </c>
      <c r="E3" s="42">
        <v>20875</v>
      </c>
      <c r="F3" s="43" t="s">
        <v>13</v>
      </c>
      <c r="G3" s="42">
        <v>3425</v>
      </c>
      <c r="H3" s="42">
        <v>9750</v>
      </c>
      <c r="I3" s="42" t="s">
        <v>15</v>
      </c>
      <c r="J3" s="42">
        <v>32950</v>
      </c>
      <c r="K3" s="6"/>
      <c r="L3" s="6"/>
      <c r="M3" s="36" t="s">
        <v>4</v>
      </c>
    </row>
    <row r="4" spans="1:13" x14ac:dyDescent="0.35">
      <c r="A4" s="6">
        <v>1</v>
      </c>
      <c r="B4" s="6"/>
      <c r="C4" s="7"/>
      <c r="D4" s="7"/>
      <c r="E4" s="6"/>
      <c r="F4" s="37"/>
      <c r="G4" s="7"/>
      <c r="H4" s="7"/>
      <c r="I4" s="7"/>
      <c r="J4" s="7"/>
      <c r="K4" s="7"/>
      <c r="L4" s="7"/>
      <c r="M4" s="7"/>
    </row>
    <row r="5" spans="1:13" x14ac:dyDescent="0.35">
      <c r="A5" s="6">
        <v>2</v>
      </c>
      <c r="B5" s="6"/>
      <c r="C5" s="7"/>
      <c r="D5" s="7"/>
      <c r="E5" s="6"/>
      <c r="F5" s="37"/>
      <c r="G5" s="7"/>
      <c r="H5" s="7"/>
      <c r="I5" s="7"/>
      <c r="J5" s="7"/>
      <c r="K5" s="7"/>
      <c r="L5" s="7"/>
      <c r="M5" s="7"/>
    </row>
    <row r="6" spans="1:13" x14ac:dyDescent="0.35">
      <c r="A6" s="6">
        <v>3</v>
      </c>
      <c r="B6" s="6"/>
      <c r="C6" s="7"/>
      <c r="D6" s="7"/>
      <c r="E6" s="6"/>
      <c r="F6" s="37"/>
      <c r="G6" s="7"/>
      <c r="H6" s="7"/>
      <c r="I6" s="7"/>
      <c r="J6" s="7"/>
      <c r="K6" s="7"/>
      <c r="L6" s="7"/>
      <c r="M6" s="7"/>
    </row>
    <row r="7" spans="1:13" x14ac:dyDescent="0.35">
      <c r="A7" s="6">
        <v>4</v>
      </c>
      <c r="B7" s="6"/>
      <c r="C7" s="7"/>
      <c r="D7" s="7"/>
      <c r="E7" s="6"/>
      <c r="F7" s="37"/>
      <c r="G7" s="7"/>
      <c r="H7" s="7"/>
      <c r="I7" s="7"/>
      <c r="J7" s="7"/>
      <c r="K7" s="7"/>
      <c r="L7" s="7"/>
      <c r="M7" s="7" t="s">
        <v>11</v>
      </c>
    </row>
    <row r="8" spans="1:13" x14ac:dyDescent="0.35">
      <c r="A8" s="6">
        <v>5</v>
      </c>
      <c r="B8" s="6"/>
      <c r="C8" s="7"/>
      <c r="D8" s="7"/>
      <c r="E8" s="6"/>
      <c r="F8" s="37"/>
      <c r="G8" s="7"/>
      <c r="H8" s="7"/>
      <c r="I8" s="7"/>
      <c r="J8" s="7"/>
      <c r="K8" s="7"/>
      <c r="L8" s="7"/>
      <c r="M8" s="7"/>
    </row>
    <row r="9" spans="1:13" x14ac:dyDescent="0.35">
      <c r="A9" s="6">
        <v>6</v>
      </c>
      <c r="B9" s="6"/>
      <c r="C9" s="7"/>
      <c r="D9" s="7"/>
      <c r="E9" s="6"/>
      <c r="F9" s="37"/>
      <c r="G9" s="7"/>
      <c r="H9" s="7"/>
      <c r="I9" s="7"/>
      <c r="J9" s="7"/>
      <c r="K9" s="7"/>
      <c r="L9" s="6"/>
      <c r="M9" s="7" t="s">
        <v>25</v>
      </c>
    </row>
    <row r="10" spans="1:13" x14ac:dyDescent="0.35">
      <c r="A10" s="6"/>
      <c r="B10" s="6"/>
      <c r="C10" s="7"/>
      <c r="D10" s="7"/>
      <c r="E10" s="6"/>
      <c r="F10" s="37"/>
      <c r="G10" s="7"/>
      <c r="H10" s="7"/>
      <c r="I10" s="7"/>
      <c r="J10" s="7"/>
      <c r="K10" s="7"/>
      <c r="L10" s="6"/>
      <c r="M10" s="7" t="s">
        <v>26</v>
      </c>
    </row>
    <row r="11" spans="1:13" x14ac:dyDescent="0.35">
      <c r="A11" s="6"/>
      <c r="B11" s="6"/>
      <c r="C11" s="7"/>
      <c r="D11" s="7"/>
      <c r="E11" s="6"/>
      <c r="F11" s="37"/>
      <c r="G11" s="7"/>
      <c r="H11" s="7"/>
      <c r="I11" s="7"/>
      <c r="J11" s="7"/>
      <c r="K11" s="7"/>
      <c r="L11" s="6"/>
      <c r="M11" s="7" t="s">
        <v>27</v>
      </c>
    </row>
    <row r="12" spans="1:13" x14ac:dyDescent="0.35">
      <c r="A12" s="6">
        <v>7</v>
      </c>
      <c r="B12" s="6"/>
      <c r="C12" s="7"/>
      <c r="D12" s="7"/>
      <c r="E12" s="6"/>
      <c r="F12" s="37"/>
      <c r="G12" s="7"/>
      <c r="H12" s="7"/>
      <c r="I12" s="7"/>
      <c r="J12" s="7"/>
      <c r="K12" s="7"/>
      <c r="L12" s="7"/>
      <c r="M12" s="7" t="s">
        <v>29</v>
      </c>
    </row>
    <row r="13" spans="1:13" x14ac:dyDescent="0.35">
      <c r="A13" s="6">
        <v>8</v>
      </c>
      <c r="B13" s="6"/>
      <c r="C13" s="7"/>
      <c r="D13" s="7"/>
      <c r="E13" s="6"/>
      <c r="F13" s="37"/>
      <c r="G13" s="7"/>
      <c r="H13" s="7"/>
      <c r="I13" s="7"/>
      <c r="J13" s="7"/>
      <c r="K13" s="7"/>
      <c r="L13" s="7"/>
      <c r="M13" s="7"/>
    </row>
    <row r="14" spans="1:13" x14ac:dyDescent="0.35">
      <c r="A14" s="6">
        <v>9</v>
      </c>
      <c r="B14" s="6"/>
      <c r="C14" s="7"/>
      <c r="D14" s="7"/>
      <c r="E14" s="6"/>
      <c r="F14" s="37"/>
      <c r="G14" s="7"/>
      <c r="H14" s="7"/>
      <c r="I14" s="7"/>
      <c r="J14" s="7"/>
      <c r="K14" s="7"/>
      <c r="L14" s="7"/>
      <c r="M14" s="7"/>
    </row>
    <row r="15" spans="1:13" x14ac:dyDescent="0.35">
      <c r="A15" s="6"/>
      <c r="B15" s="6"/>
      <c r="C15" s="7"/>
      <c r="D15" s="7"/>
      <c r="E15" s="7"/>
      <c r="F15" s="37"/>
      <c r="G15" s="7"/>
      <c r="H15" s="7"/>
      <c r="I15" s="7"/>
      <c r="J15" s="7"/>
      <c r="K15" s="7"/>
      <c r="L15" s="7"/>
      <c r="M15" s="7"/>
    </row>
    <row r="16" spans="1:13" x14ac:dyDescent="0.35">
      <c r="A16" s="6"/>
      <c r="B16" s="6"/>
      <c r="C16" s="7"/>
      <c r="D16" s="7"/>
      <c r="E16" s="7"/>
      <c r="F16" s="37"/>
      <c r="G16" s="7"/>
      <c r="H16" s="7"/>
      <c r="I16" s="7"/>
      <c r="J16" s="7"/>
      <c r="K16" s="7"/>
      <c r="L16" s="7"/>
      <c r="M16" s="7" t="s">
        <v>31</v>
      </c>
    </row>
    <row r="17" spans="1:13" x14ac:dyDescent="0.35">
      <c r="A17" s="6"/>
      <c r="B17" s="6"/>
      <c r="C17" s="7"/>
      <c r="D17" s="7"/>
      <c r="E17" s="7"/>
      <c r="F17" s="37" t="s">
        <v>8</v>
      </c>
      <c r="G17" s="7"/>
      <c r="H17" s="7"/>
      <c r="I17" s="7"/>
      <c r="J17" s="7"/>
      <c r="K17" s="7"/>
      <c r="L17" s="7"/>
      <c r="M17" s="7"/>
    </row>
    <row r="18" spans="1:13" x14ac:dyDescent="0.35">
      <c r="A18" s="6" t="s">
        <v>7</v>
      </c>
      <c r="B18" s="6">
        <f>SUM(B3:B17)</f>
        <v>9000</v>
      </c>
      <c r="C18" s="7">
        <f>SUM(C3:C17)</f>
        <v>14250</v>
      </c>
      <c r="D18" s="7">
        <f>SUM(D3:D17)</f>
        <v>2000</v>
      </c>
      <c r="E18" s="7">
        <f>SUM(E3:E17)</f>
        <v>20875</v>
      </c>
      <c r="F18" s="37" t="s">
        <v>8</v>
      </c>
      <c r="G18" s="7">
        <f>SUM(G3:G17)</f>
        <v>3425</v>
      </c>
      <c r="H18" s="7">
        <f t="shared" ref="H18:L18" si="0">SUM(H3:H17)</f>
        <v>9750</v>
      </c>
      <c r="I18" s="7">
        <f t="shared" si="0"/>
        <v>0</v>
      </c>
      <c r="J18" s="7">
        <f t="shared" si="0"/>
        <v>32950</v>
      </c>
      <c r="K18" s="7">
        <f t="shared" si="0"/>
        <v>0</v>
      </c>
      <c r="L18" s="7">
        <f t="shared" si="0"/>
        <v>0</v>
      </c>
      <c r="M18" s="7"/>
    </row>
    <row r="19" spans="1:13" x14ac:dyDescent="0.35">
      <c r="A19" s="4" t="s">
        <v>20</v>
      </c>
      <c r="B19" s="51">
        <f>SUM(B18:E18)</f>
        <v>46125</v>
      </c>
      <c r="C19" s="52"/>
      <c r="D19" s="52"/>
      <c r="E19" s="53"/>
      <c r="F19" s="37" t="s">
        <v>8</v>
      </c>
      <c r="G19" s="51">
        <f>SUM(G18:L18)</f>
        <v>46125</v>
      </c>
      <c r="H19" s="52"/>
      <c r="I19" s="52"/>
      <c r="J19" s="52"/>
      <c r="K19" s="52"/>
      <c r="L19" s="53"/>
      <c r="M19" s="6"/>
    </row>
    <row r="20" spans="1:13" x14ac:dyDescent="0.35">
      <c r="C20" s="49"/>
      <c r="D20" s="49"/>
      <c r="F20" s="49"/>
      <c r="G20" s="49"/>
      <c r="H20" s="49"/>
      <c r="I20" s="49"/>
      <c r="J20" s="49"/>
      <c r="K20" s="49"/>
      <c r="L20" s="1"/>
    </row>
  </sheetData>
  <mergeCells count="6">
    <mergeCell ref="C20:D20"/>
    <mergeCell ref="F20:K20"/>
    <mergeCell ref="B1:E1"/>
    <mergeCell ref="B19:E19"/>
    <mergeCell ref="G19:L19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D1BC-79BF-4154-B795-E817115594EB}">
  <dimension ref="A1:L18"/>
  <sheetViews>
    <sheetView zoomScale="130" zoomScaleNormal="130" workbookViewId="0">
      <pane ySplit="2" topLeftCell="A3" activePane="bottomLeft" state="frozen"/>
      <selection pane="bottomLeft" activeCell="D11" sqref="D11"/>
    </sheetView>
  </sheetViews>
  <sheetFormatPr defaultRowHeight="14.5" x14ac:dyDescent="0.35"/>
  <cols>
    <col min="2" max="2" width="9.08984375" customWidth="1"/>
    <col min="3" max="3" width="11" bestFit="1" customWidth="1"/>
    <col min="4" max="4" width="8.90625" bestFit="1" customWidth="1"/>
    <col min="5" max="5" width="2.26953125" bestFit="1" customWidth="1"/>
    <col min="6" max="6" width="8.08984375" customWidth="1"/>
    <col min="7" max="7" width="10.453125" customWidth="1"/>
    <col min="8" max="8" width="2.08984375" bestFit="1" customWidth="1"/>
    <col min="10" max="10" width="10.08984375" bestFit="1" customWidth="1"/>
    <col min="11" max="11" width="9.81640625" bestFit="1" customWidth="1"/>
    <col min="12" max="12" width="17.36328125" bestFit="1" customWidth="1"/>
  </cols>
  <sheetData>
    <row r="1" spans="1:12" ht="32.5" customHeight="1" thickBot="1" x14ac:dyDescent="0.4">
      <c r="B1" s="55" t="s">
        <v>12</v>
      </c>
      <c r="C1" s="55"/>
      <c r="D1" s="55"/>
      <c r="E1" s="34" t="s">
        <v>13</v>
      </c>
      <c r="F1" s="56" t="s">
        <v>14</v>
      </c>
      <c r="G1" s="56"/>
      <c r="H1" s="9" t="s">
        <v>15</v>
      </c>
      <c r="I1" s="9" t="s">
        <v>16</v>
      </c>
      <c r="L1" s="2"/>
    </row>
    <row r="2" spans="1:12" ht="48" x14ac:dyDescent="0.35">
      <c r="A2" s="4"/>
      <c r="B2" s="5" t="s">
        <v>17</v>
      </c>
      <c r="C2" s="5" t="s">
        <v>18</v>
      </c>
      <c r="D2" s="5" t="s">
        <v>49</v>
      </c>
      <c r="E2" s="34" t="s">
        <v>13</v>
      </c>
      <c r="F2" s="5" t="s">
        <v>22</v>
      </c>
      <c r="G2" s="5" t="s">
        <v>24</v>
      </c>
      <c r="H2" s="5" t="s">
        <v>15</v>
      </c>
      <c r="I2" s="5" t="s">
        <v>56</v>
      </c>
      <c r="J2" s="5" t="s">
        <v>19</v>
      </c>
      <c r="K2" s="5" t="s">
        <v>30</v>
      </c>
      <c r="L2" s="35"/>
    </row>
    <row r="3" spans="1:12" ht="16" x14ac:dyDescent="0.35">
      <c r="A3" s="4" t="s">
        <v>7</v>
      </c>
      <c r="B3" s="5"/>
      <c r="C3" s="5"/>
      <c r="D3" s="5"/>
      <c r="E3" s="34"/>
      <c r="F3" s="5"/>
      <c r="H3" s="5"/>
      <c r="I3" s="5"/>
      <c r="J3" s="4"/>
      <c r="K3" s="4"/>
      <c r="L3" s="36" t="s">
        <v>4</v>
      </c>
    </row>
    <row r="4" spans="1:12" ht="16" x14ac:dyDescent="0.35">
      <c r="A4" s="6">
        <v>1</v>
      </c>
      <c r="B4" s="6"/>
      <c r="C4" s="7"/>
      <c r="D4" s="6"/>
      <c r="E4" s="34" t="s">
        <v>13</v>
      </c>
      <c r="F4" s="7"/>
      <c r="G4" s="7"/>
      <c r="H4" s="5" t="s">
        <v>15</v>
      </c>
      <c r="I4" s="7"/>
      <c r="J4" s="7"/>
      <c r="K4" s="7"/>
      <c r="L4" s="7"/>
    </row>
    <row r="5" spans="1:12" ht="16" x14ac:dyDescent="0.35">
      <c r="A5" s="6">
        <v>2</v>
      </c>
      <c r="B5" s="6"/>
      <c r="C5" s="7"/>
      <c r="D5" s="6"/>
      <c r="E5" s="34" t="s">
        <v>13</v>
      </c>
      <c r="F5" s="7"/>
      <c r="G5" s="7"/>
      <c r="H5" s="5" t="s">
        <v>15</v>
      </c>
      <c r="I5" s="7"/>
      <c r="J5" s="7"/>
      <c r="K5" s="7"/>
      <c r="L5" s="7"/>
    </row>
    <row r="6" spans="1:12" ht="16" x14ac:dyDescent="0.35">
      <c r="A6" s="6">
        <v>3</v>
      </c>
      <c r="B6" s="6"/>
      <c r="C6" s="7"/>
      <c r="D6" s="6"/>
      <c r="E6" s="34" t="s">
        <v>13</v>
      </c>
      <c r="F6" s="7"/>
      <c r="G6" s="7"/>
      <c r="H6" s="5" t="s">
        <v>15</v>
      </c>
      <c r="I6" s="7"/>
      <c r="J6" s="7"/>
      <c r="K6" s="7"/>
      <c r="L6" s="7"/>
    </row>
    <row r="7" spans="1:12" ht="16" x14ac:dyDescent="0.35">
      <c r="A7" s="6">
        <v>4</v>
      </c>
      <c r="B7" s="6"/>
      <c r="C7" s="7"/>
      <c r="D7" s="6"/>
      <c r="E7" s="34" t="s">
        <v>13</v>
      </c>
      <c r="F7" s="7"/>
      <c r="G7" s="7"/>
      <c r="H7" s="5" t="s">
        <v>15</v>
      </c>
      <c r="I7" s="7"/>
      <c r="J7" s="7"/>
      <c r="K7" s="7"/>
      <c r="L7" s="7" t="s">
        <v>11</v>
      </c>
    </row>
    <row r="8" spans="1:12" ht="16" x14ac:dyDescent="0.35">
      <c r="A8" s="6">
        <v>5</v>
      </c>
      <c r="B8" s="6"/>
      <c r="C8" s="7"/>
      <c r="D8" s="6"/>
      <c r="E8" s="34" t="s">
        <v>13</v>
      </c>
      <c r="F8" s="7"/>
      <c r="G8" s="7"/>
      <c r="H8" s="5" t="s">
        <v>15</v>
      </c>
      <c r="I8" s="7"/>
      <c r="J8" s="7"/>
      <c r="K8" s="7"/>
      <c r="L8" s="7"/>
    </row>
    <row r="9" spans="1:12" ht="16" x14ac:dyDescent="0.35">
      <c r="A9" s="6">
        <v>6</v>
      </c>
      <c r="B9" s="6"/>
      <c r="C9" s="7"/>
      <c r="D9" s="6"/>
      <c r="E9" s="34" t="s">
        <v>13</v>
      </c>
      <c r="F9" s="7"/>
      <c r="G9" s="7"/>
      <c r="H9" s="5" t="s">
        <v>15</v>
      </c>
      <c r="I9" s="7"/>
      <c r="J9" s="7"/>
      <c r="K9" s="6"/>
      <c r="L9" s="7" t="s">
        <v>25</v>
      </c>
    </row>
    <row r="10" spans="1:12" ht="16" x14ac:dyDescent="0.35">
      <c r="A10" s="6">
        <v>7</v>
      </c>
      <c r="B10" s="6"/>
      <c r="C10" s="7"/>
      <c r="D10" s="6"/>
      <c r="E10" s="34" t="s">
        <v>13</v>
      </c>
      <c r="F10" s="7"/>
      <c r="G10" s="7"/>
      <c r="H10" s="5" t="s">
        <v>15</v>
      </c>
      <c r="I10" s="7"/>
      <c r="J10" s="7"/>
      <c r="K10" s="7"/>
      <c r="L10" s="7" t="s">
        <v>29</v>
      </c>
    </row>
    <row r="11" spans="1:12" ht="16" x14ac:dyDescent="0.35">
      <c r="A11" s="6">
        <v>8</v>
      </c>
      <c r="B11" s="6"/>
      <c r="C11" s="7"/>
      <c r="D11" s="6"/>
      <c r="E11" s="34" t="s">
        <v>13</v>
      </c>
      <c r="F11" s="7"/>
      <c r="G11" s="7"/>
      <c r="H11" s="5" t="s">
        <v>15</v>
      </c>
      <c r="I11" s="7"/>
      <c r="J11" s="7"/>
      <c r="K11" s="7"/>
      <c r="L11" s="7"/>
    </row>
    <row r="12" spans="1:12" ht="16" x14ac:dyDescent="0.35">
      <c r="A12" s="6"/>
      <c r="B12" s="6"/>
      <c r="C12" s="7"/>
      <c r="D12" s="6"/>
      <c r="E12" s="34" t="s">
        <v>13</v>
      </c>
      <c r="F12" s="7"/>
      <c r="G12" s="7"/>
      <c r="H12" s="5" t="s">
        <v>15</v>
      </c>
      <c r="I12" s="7"/>
      <c r="J12" s="7"/>
      <c r="K12" s="7"/>
      <c r="L12" s="7"/>
    </row>
    <row r="13" spans="1:12" ht="16" x14ac:dyDescent="0.35">
      <c r="A13" s="6"/>
      <c r="B13" s="6"/>
      <c r="C13" s="7"/>
      <c r="D13" s="7"/>
      <c r="E13" s="34" t="s">
        <v>13</v>
      </c>
      <c r="F13" s="7"/>
      <c r="G13" s="7"/>
      <c r="H13" s="5" t="s">
        <v>15</v>
      </c>
      <c r="I13" s="7"/>
      <c r="L13" s="39" t="s">
        <v>55</v>
      </c>
    </row>
    <row r="14" spans="1:12" ht="16" x14ac:dyDescent="0.35">
      <c r="A14" s="6"/>
      <c r="B14" s="6"/>
      <c r="C14" s="7"/>
      <c r="D14" s="7"/>
      <c r="E14" s="34" t="s">
        <v>13</v>
      </c>
      <c r="F14" s="7"/>
      <c r="G14" s="7"/>
      <c r="H14" s="5" t="s">
        <v>15</v>
      </c>
      <c r="I14" s="7"/>
      <c r="J14" s="7"/>
      <c r="K14" s="7"/>
      <c r="L14" s="7" t="s">
        <v>31</v>
      </c>
    </row>
    <row r="15" spans="1:12" ht="16" x14ac:dyDescent="0.35">
      <c r="A15" s="6"/>
      <c r="B15" s="6"/>
      <c r="C15" s="7"/>
      <c r="D15" s="7"/>
      <c r="E15" s="37" t="s">
        <v>8</v>
      </c>
      <c r="F15" s="7"/>
      <c r="G15" s="7"/>
      <c r="H15" s="5" t="s">
        <v>15</v>
      </c>
      <c r="I15" s="7"/>
      <c r="J15" s="7"/>
      <c r="K15" s="7"/>
      <c r="L15" s="7"/>
    </row>
    <row r="16" spans="1:12" ht="16" x14ac:dyDescent="0.35">
      <c r="A16" s="6" t="s">
        <v>7</v>
      </c>
      <c r="B16" s="6">
        <f>SUM(B3:B15)</f>
        <v>0</v>
      </c>
      <c r="C16" s="7">
        <f>SUM(C3:C15)</f>
        <v>0</v>
      </c>
      <c r="D16" s="7">
        <f>SUM(D3:D15)</f>
        <v>0</v>
      </c>
      <c r="E16" s="37" t="s">
        <v>8</v>
      </c>
      <c r="F16" s="7">
        <f>SUM(F3:F15)</f>
        <v>0</v>
      </c>
      <c r="G16" s="7">
        <f>SUM(G3:G15)</f>
        <v>0</v>
      </c>
      <c r="H16" s="5" t="s">
        <v>15</v>
      </c>
      <c r="I16" s="7">
        <f t="shared" ref="I16:K16" si="0">SUM(I3:I15)</f>
        <v>0</v>
      </c>
      <c r="J16" s="7">
        <f t="shared" si="0"/>
        <v>0</v>
      </c>
      <c r="K16" s="7">
        <f t="shared" si="0"/>
        <v>0</v>
      </c>
      <c r="L16" s="7"/>
    </row>
    <row r="17" spans="1:12" x14ac:dyDescent="0.35">
      <c r="A17" s="4" t="s">
        <v>20</v>
      </c>
      <c r="B17" s="51">
        <f>SUM(B16:D16)</f>
        <v>0</v>
      </c>
      <c r="C17" s="52"/>
      <c r="D17" s="53"/>
      <c r="E17" s="37" t="s">
        <v>8</v>
      </c>
      <c r="F17" s="51">
        <f>SUM(F16:K16)</f>
        <v>0</v>
      </c>
      <c r="G17" s="52"/>
      <c r="H17" s="52"/>
      <c r="I17" s="52"/>
      <c r="J17" s="52"/>
      <c r="K17" s="53"/>
      <c r="L17" s="6"/>
    </row>
    <row r="18" spans="1:12" x14ac:dyDescent="0.35">
      <c r="C18" s="1"/>
      <c r="E18" s="49"/>
      <c r="F18" s="49"/>
      <c r="G18" s="49"/>
      <c r="H18" s="49"/>
      <c r="I18" s="49"/>
      <c r="J18" s="49"/>
      <c r="K18" s="1"/>
    </row>
  </sheetData>
  <mergeCells count="5">
    <mergeCell ref="B1:D1"/>
    <mergeCell ref="F1:G1"/>
    <mergeCell ref="B17:D17"/>
    <mergeCell ref="F17:K17"/>
    <mergeCell ref="E18:J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CB14-58B2-4176-B406-2DD0650926F7}">
  <dimension ref="A1:J15"/>
  <sheetViews>
    <sheetView zoomScale="115" zoomScaleNormal="115" workbookViewId="0">
      <pane ySplit="4" topLeftCell="A5" activePane="bottomLeft" state="frozen"/>
      <selection pane="bottomLeft" activeCell="G41" sqref="G41"/>
    </sheetView>
  </sheetViews>
  <sheetFormatPr defaultRowHeight="14.5" x14ac:dyDescent="0.35"/>
  <cols>
    <col min="1" max="1" width="5.26953125" customWidth="1"/>
    <col min="2" max="2" width="10.26953125" bestFit="1" customWidth="1"/>
    <col min="3" max="3" width="9.08984375" bestFit="1" customWidth="1"/>
    <col min="4" max="4" width="3.7265625" customWidth="1"/>
    <col min="5" max="5" width="11.7265625" bestFit="1" customWidth="1"/>
    <col min="6" max="6" width="7.90625" bestFit="1" customWidth="1"/>
    <col min="7" max="7" width="11.453125" bestFit="1" customWidth="1"/>
    <col min="9" max="9" width="11" bestFit="1" customWidth="1"/>
    <col min="10" max="10" width="14.6328125" customWidth="1"/>
  </cols>
  <sheetData>
    <row r="1" spans="1:10" x14ac:dyDescent="0.35">
      <c r="B1" s="28" t="s">
        <v>40</v>
      </c>
      <c r="C1" s="30" t="s">
        <v>41</v>
      </c>
      <c r="E1" s="28" t="s">
        <v>42</v>
      </c>
      <c r="F1" s="30" t="s">
        <v>43</v>
      </c>
    </row>
    <row r="2" spans="1:10" x14ac:dyDescent="0.35">
      <c r="A2" s="25"/>
      <c r="B2" s="25"/>
      <c r="C2" s="25" t="s">
        <v>9</v>
      </c>
      <c r="D2" s="25" t="s">
        <v>8</v>
      </c>
      <c r="E2" s="25" t="s">
        <v>10</v>
      </c>
      <c r="F2" s="25"/>
      <c r="G2" s="25" t="s">
        <v>32</v>
      </c>
      <c r="H2" s="25"/>
      <c r="I2" s="25"/>
      <c r="J2" s="25"/>
    </row>
    <row r="3" spans="1:10" x14ac:dyDescent="0.35">
      <c r="A3" s="25"/>
      <c r="B3" s="25" t="s">
        <v>34</v>
      </c>
      <c r="C3" s="25"/>
      <c r="D3" s="25" t="s">
        <v>8</v>
      </c>
      <c r="E3" s="25"/>
      <c r="F3" s="25"/>
      <c r="G3" t="s">
        <v>65</v>
      </c>
      <c r="H3" s="25" t="s">
        <v>2</v>
      </c>
      <c r="I3" s="25" t="s">
        <v>3</v>
      </c>
      <c r="J3" s="25"/>
    </row>
    <row r="4" spans="1:10" x14ac:dyDescent="0.35">
      <c r="A4" s="25"/>
      <c r="B4" s="25" t="s">
        <v>0</v>
      </c>
      <c r="C4" s="25" t="s">
        <v>36</v>
      </c>
      <c r="D4" s="25" t="s">
        <v>8</v>
      </c>
      <c r="E4" s="25" t="s">
        <v>38</v>
      </c>
      <c r="F4" s="25" t="s">
        <v>39</v>
      </c>
      <c r="G4" s="25" t="s">
        <v>1</v>
      </c>
      <c r="H4" s="25" t="s">
        <v>3</v>
      </c>
      <c r="I4" s="25" t="s">
        <v>33</v>
      </c>
      <c r="J4" s="25" t="s">
        <v>4</v>
      </c>
    </row>
    <row r="5" spans="1:10" x14ac:dyDescent="0.35">
      <c r="A5" s="25" t="s">
        <v>35</v>
      </c>
      <c r="C5" s="25"/>
      <c r="D5" s="25"/>
      <c r="E5" s="25"/>
      <c r="F5" s="25"/>
      <c r="G5" s="25"/>
      <c r="H5" s="25"/>
      <c r="I5" s="25"/>
      <c r="J5" s="25"/>
    </row>
    <row r="6" spans="1:10" x14ac:dyDescent="0.35">
      <c r="A6" s="25">
        <v>1</v>
      </c>
      <c r="B6" s="40"/>
      <c r="C6" s="40"/>
      <c r="D6" s="40"/>
      <c r="E6" s="40"/>
      <c r="F6" s="40"/>
      <c r="G6" s="40"/>
      <c r="H6" s="40"/>
      <c r="I6" s="40"/>
      <c r="J6" s="25"/>
    </row>
    <row r="7" spans="1:10" x14ac:dyDescent="0.35">
      <c r="A7" s="25">
        <v>2</v>
      </c>
      <c r="B7" s="40"/>
      <c r="C7" s="40"/>
      <c r="D7" s="40"/>
      <c r="E7" s="40"/>
      <c r="F7" s="40"/>
      <c r="G7" s="40"/>
      <c r="H7" s="40"/>
      <c r="I7" s="40"/>
      <c r="J7" s="25"/>
    </row>
    <row r="8" spans="1:10" x14ac:dyDescent="0.35">
      <c r="A8" s="25">
        <v>3</v>
      </c>
      <c r="B8" s="40"/>
      <c r="C8" s="40"/>
      <c r="D8" s="40"/>
      <c r="E8" s="40"/>
      <c r="F8" s="40"/>
      <c r="G8" s="40"/>
      <c r="H8" s="40"/>
      <c r="I8" s="40"/>
      <c r="J8" s="25" t="s">
        <v>37</v>
      </c>
    </row>
    <row r="9" spans="1:10" x14ac:dyDescent="0.35">
      <c r="A9" s="25">
        <v>6</v>
      </c>
      <c r="B9" s="40"/>
      <c r="C9" s="40"/>
      <c r="D9" s="40"/>
      <c r="E9" s="40"/>
      <c r="F9" s="40"/>
      <c r="G9" s="40"/>
      <c r="H9" s="40"/>
      <c r="I9" s="40"/>
      <c r="J9" s="25" t="s">
        <v>37</v>
      </c>
    </row>
    <row r="10" spans="1:10" x14ac:dyDescent="0.35">
      <c r="A10" s="25">
        <v>15</v>
      </c>
      <c r="B10" s="40"/>
      <c r="C10" s="40"/>
      <c r="D10" s="40"/>
      <c r="E10" s="40"/>
      <c r="F10" s="40"/>
      <c r="G10" s="40"/>
      <c r="H10" s="40"/>
      <c r="I10" s="40"/>
      <c r="J10" s="25" t="s">
        <v>11</v>
      </c>
    </row>
    <row r="11" spans="1:10" x14ac:dyDescent="0.35">
      <c r="A11" s="25">
        <v>22</v>
      </c>
      <c r="B11" s="40"/>
      <c r="C11" s="40"/>
      <c r="D11" s="40"/>
      <c r="E11" s="40"/>
      <c r="F11" s="41"/>
      <c r="G11" s="41"/>
      <c r="H11" s="41"/>
      <c r="I11" s="41"/>
    </row>
    <row r="12" spans="1:10" x14ac:dyDescent="0.35">
      <c r="A12" s="25">
        <v>25</v>
      </c>
      <c r="B12" s="40"/>
      <c r="C12" s="40"/>
      <c r="D12" s="40"/>
      <c r="E12" s="40"/>
      <c r="F12" s="40"/>
      <c r="G12" s="40"/>
      <c r="H12" s="40"/>
      <c r="I12" s="40"/>
      <c r="J12" s="25"/>
    </row>
    <row r="13" spans="1:10" x14ac:dyDescent="0.35">
      <c r="A13" s="25">
        <v>30</v>
      </c>
      <c r="B13" s="40"/>
      <c r="C13" s="41"/>
      <c r="D13" s="40"/>
      <c r="E13" s="41"/>
      <c r="F13" s="41"/>
      <c r="G13" s="41"/>
      <c r="H13" s="41"/>
      <c r="I13" s="40"/>
      <c r="J13" s="25" t="s">
        <v>27</v>
      </c>
    </row>
    <row r="14" spans="1:10" x14ac:dyDescent="0.35">
      <c r="D14" s="25"/>
    </row>
    <row r="15" spans="1:10" x14ac:dyDescent="0.35">
      <c r="A15" s="25"/>
      <c r="B15" s="25"/>
      <c r="C15" s="25"/>
      <c r="E15" s="25"/>
      <c r="F15" s="25"/>
      <c r="G15" s="25"/>
      <c r="H15" s="25"/>
      <c r="I15" s="25"/>
      <c r="J15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E296-4F3D-4E57-9EBB-EEDEFC85043C}">
  <dimension ref="A1:N15"/>
  <sheetViews>
    <sheetView zoomScale="70" zoomScaleNormal="70" workbookViewId="0">
      <pane ySplit="4" topLeftCell="A5" activePane="bottomLeft" state="frozen"/>
      <selection pane="bottomLeft" activeCell="M64" sqref="M64"/>
    </sheetView>
  </sheetViews>
  <sheetFormatPr defaultRowHeight="14.5" x14ac:dyDescent="0.35"/>
  <cols>
    <col min="1" max="1" width="5.26953125" customWidth="1"/>
    <col min="2" max="2" width="10.26953125" bestFit="1" customWidth="1"/>
    <col min="3" max="5" width="10.26953125" customWidth="1"/>
    <col min="6" max="6" width="9.08984375" bestFit="1" customWidth="1"/>
    <col min="7" max="7" width="9.08984375" customWidth="1"/>
    <col min="8" max="8" width="3.7265625" customWidth="1"/>
    <col min="9" max="9" width="11.7265625" bestFit="1" customWidth="1"/>
    <col min="10" max="10" width="7.90625" bestFit="1" customWidth="1"/>
    <col min="11" max="11" width="11.453125" bestFit="1" customWidth="1"/>
    <col min="13" max="13" width="11" bestFit="1" customWidth="1"/>
    <col min="14" max="14" width="25" bestFit="1" customWidth="1"/>
  </cols>
  <sheetData>
    <row r="1" spans="1:14" x14ac:dyDescent="0.35">
      <c r="D1" s="28" t="s">
        <v>40</v>
      </c>
      <c r="E1" s="30" t="s">
        <v>41</v>
      </c>
      <c r="I1" s="28" t="s">
        <v>42</v>
      </c>
      <c r="J1" s="30" t="s">
        <v>43</v>
      </c>
    </row>
    <row r="2" spans="1:14" x14ac:dyDescent="0.35">
      <c r="A2" s="25"/>
      <c r="B2" s="25"/>
      <c r="C2" s="25"/>
      <c r="D2" s="25" t="s">
        <v>9</v>
      </c>
      <c r="E2" s="25"/>
      <c r="H2" s="25" t="s">
        <v>8</v>
      </c>
      <c r="I2" s="25" t="s">
        <v>10</v>
      </c>
      <c r="J2" s="25"/>
      <c r="K2" s="25" t="s">
        <v>32</v>
      </c>
      <c r="L2" s="25"/>
      <c r="M2" s="25"/>
      <c r="N2" s="25"/>
    </row>
    <row r="3" spans="1:14" x14ac:dyDescent="0.35">
      <c r="A3" s="25"/>
      <c r="B3" s="25" t="s">
        <v>34</v>
      </c>
      <c r="C3" s="25" t="s">
        <v>71</v>
      </c>
      <c r="D3" s="25" t="s">
        <v>70</v>
      </c>
      <c r="E3" s="25" t="s">
        <v>67</v>
      </c>
      <c r="F3" s="25" t="s">
        <v>69</v>
      </c>
      <c r="G3" s="25" t="s">
        <v>77</v>
      </c>
      <c r="H3" s="25" t="s">
        <v>8</v>
      </c>
      <c r="I3" s="25"/>
      <c r="J3" s="25"/>
      <c r="K3" s="25" t="s">
        <v>1</v>
      </c>
      <c r="L3" s="25" t="s">
        <v>2</v>
      </c>
      <c r="M3" s="25" t="s">
        <v>3</v>
      </c>
      <c r="N3" s="25"/>
    </row>
    <row r="4" spans="1:14" x14ac:dyDescent="0.35">
      <c r="A4" s="25"/>
      <c r="B4" s="25" t="s">
        <v>0</v>
      </c>
      <c r="C4" s="25"/>
      <c r="D4" s="25"/>
      <c r="E4" s="25" t="s">
        <v>49</v>
      </c>
      <c r="F4" s="25" t="s">
        <v>49</v>
      </c>
      <c r="G4" s="25" t="s">
        <v>78</v>
      </c>
      <c r="H4" s="25" t="s">
        <v>8</v>
      </c>
      <c r="I4" s="25" t="s">
        <v>68</v>
      </c>
      <c r="J4" s="25" t="s">
        <v>39</v>
      </c>
      <c r="K4" s="25" t="s">
        <v>66</v>
      </c>
      <c r="L4" s="25" t="s">
        <v>3</v>
      </c>
      <c r="M4" s="25" t="s">
        <v>33</v>
      </c>
      <c r="N4" s="25" t="s">
        <v>4</v>
      </c>
    </row>
    <row r="5" spans="1:14" x14ac:dyDescent="0.35">
      <c r="A5" s="25" t="s">
        <v>57</v>
      </c>
      <c r="F5" s="25"/>
      <c r="G5" s="25"/>
      <c r="H5" s="25"/>
      <c r="I5" s="25"/>
      <c r="J5" s="25"/>
      <c r="K5" s="25"/>
      <c r="L5" s="25"/>
      <c r="M5" s="25"/>
      <c r="N5" s="25"/>
    </row>
    <row r="6" spans="1:14" x14ac:dyDescent="0.35">
      <c r="A6" s="25">
        <v>2</v>
      </c>
      <c r="B6" s="40"/>
      <c r="C6" s="40"/>
      <c r="D6" s="40"/>
      <c r="E6" s="40"/>
      <c r="H6" s="40"/>
      <c r="I6" s="40"/>
      <c r="J6" s="40"/>
      <c r="K6" s="40"/>
      <c r="L6" s="40"/>
      <c r="M6" s="40"/>
      <c r="N6" s="25" t="s">
        <v>72</v>
      </c>
    </row>
    <row r="7" spans="1:14" x14ac:dyDescent="0.35">
      <c r="A7" s="25">
        <v>5</v>
      </c>
      <c r="B7" s="40"/>
      <c r="C7" s="40"/>
      <c r="D7" s="40"/>
      <c r="E7" s="40"/>
      <c r="H7" s="40"/>
      <c r="I7" s="40"/>
      <c r="J7" s="40"/>
      <c r="K7" s="40"/>
      <c r="L7" s="40"/>
      <c r="M7" s="40"/>
      <c r="N7" s="25" t="s">
        <v>73</v>
      </c>
    </row>
    <row r="8" spans="1:14" x14ac:dyDescent="0.35">
      <c r="A8" s="25">
        <v>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25" t="s">
        <v>75</v>
      </c>
    </row>
    <row r="9" spans="1:14" x14ac:dyDescent="0.35">
      <c r="A9" s="25">
        <v>12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25" t="s">
        <v>74</v>
      </c>
    </row>
    <row r="10" spans="1:14" x14ac:dyDescent="0.35">
      <c r="A10" s="25">
        <v>14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25" t="s">
        <v>76</v>
      </c>
    </row>
    <row r="11" spans="1:14" x14ac:dyDescent="0.35">
      <c r="A11" s="25">
        <v>18</v>
      </c>
      <c r="B11" s="40"/>
      <c r="C11" s="40"/>
      <c r="D11" s="40"/>
      <c r="E11" s="40"/>
      <c r="F11" s="40"/>
      <c r="G11" s="40"/>
      <c r="H11" s="40"/>
      <c r="I11" s="40"/>
      <c r="J11" s="41"/>
      <c r="K11" s="41"/>
      <c r="L11" s="41"/>
      <c r="M11" s="41"/>
      <c r="N11" s="25" t="s">
        <v>79</v>
      </c>
    </row>
    <row r="12" spans="1:14" x14ac:dyDescent="0.35">
      <c r="A12" s="25">
        <v>23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25" t="s">
        <v>75</v>
      </c>
    </row>
    <row r="13" spans="1:14" x14ac:dyDescent="0.35">
      <c r="A13" s="25">
        <v>30</v>
      </c>
      <c r="B13" s="40"/>
      <c r="C13" s="40"/>
      <c r="D13" s="40"/>
      <c r="E13" s="40"/>
      <c r="F13" s="41"/>
      <c r="G13" s="41"/>
      <c r="H13" s="40"/>
      <c r="I13" s="41"/>
      <c r="J13" s="41"/>
      <c r="K13" s="41"/>
      <c r="L13" s="41"/>
      <c r="M13" s="40"/>
      <c r="N13" s="25" t="s">
        <v>80</v>
      </c>
    </row>
    <row r="14" spans="1:14" x14ac:dyDescent="0.35">
      <c r="H14" s="25"/>
    </row>
    <row r="15" spans="1:14" x14ac:dyDescent="0.35">
      <c r="A15" s="25"/>
      <c r="B15" s="25"/>
      <c r="C15" s="25"/>
      <c r="D15" s="25"/>
      <c r="E15" s="25"/>
      <c r="F15" s="25"/>
      <c r="G15" s="25"/>
      <c r="I15" s="25"/>
      <c r="J15" s="25"/>
      <c r="K15" s="25"/>
      <c r="L15" s="25"/>
      <c r="M15" s="25"/>
      <c r="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0940-BE68-4C76-9FD9-88AA74550F85}">
  <dimension ref="A1:K11"/>
  <sheetViews>
    <sheetView zoomScale="130" zoomScaleNormal="130" workbookViewId="0">
      <pane ySplit="2" topLeftCell="A3" activePane="bottomLeft" state="frozen"/>
      <selection pane="bottomLeft" activeCell="E28" sqref="E28"/>
    </sheetView>
  </sheetViews>
  <sheetFormatPr defaultRowHeight="14.5" x14ac:dyDescent="0.35"/>
  <cols>
    <col min="2" max="2" width="9.08984375" customWidth="1"/>
    <col min="3" max="3" width="11" bestFit="1" customWidth="1"/>
    <col min="4" max="4" width="8.90625" bestFit="1" customWidth="1"/>
    <col min="5" max="5" width="8.90625" customWidth="1"/>
    <col min="6" max="6" width="2.26953125" bestFit="1" customWidth="1"/>
    <col min="7" max="7" width="8.08984375" customWidth="1"/>
    <col min="8" max="8" width="10.453125" customWidth="1"/>
    <col min="9" max="9" width="2.08984375" bestFit="1" customWidth="1"/>
    <col min="11" max="11" width="17.36328125" bestFit="1" customWidth="1"/>
  </cols>
  <sheetData>
    <row r="1" spans="1:11" ht="32.5" customHeight="1" thickBot="1" x14ac:dyDescent="0.4">
      <c r="B1" s="55" t="s">
        <v>12</v>
      </c>
      <c r="C1" s="55"/>
      <c r="D1" s="55"/>
      <c r="E1" s="47"/>
      <c r="F1" s="34" t="s">
        <v>13</v>
      </c>
      <c r="G1" s="56" t="s">
        <v>14</v>
      </c>
      <c r="H1" s="56"/>
      <c r="I1" s="9" t="s">
        <v>15</v>
      </c>
      <c r="J1" s="9" t="s">
        <v>16</v>
      </c>
      <c r="K1" s="2"/>
    </row>
    <row r="2" spans="1:11" ht="48" x14ac:dyDescent="0.35">
      <c r="A2" s="4"/>
      <c r="B2" s="5" t="s">
        <v>17</v>
      </c>
      <c r="C2" s="5" t="s">
        <v>18</v>
      </c>
      <c r="D2" s="5" t="s">
        <v>49</v>
      </c>
      <c r="E2" s="5" t="s">
        <v>81</v>
      </c>
      <c r="F2" s="34" t="s">
        <v>13</v>
      </c>
      <c r="G2" s="5" t="s">
        <v>22</v>
      </c>
      <c r="H2" s="5" t="s">
        <v>24</v>
      </c>
      <c r="I2" s="5" t="s">
        <v>15</v>
      </c>
      <c r="J2" s="5" t="s">
        <v>82</v>
      </c>
      <c r="K2" s="35"/>
    </row>
    <row r="3" spans="1:11" ht="16" x14ac:dyDescent="0.35">
      <c r="A3" s="4" t="s">
        <v>7</v>
      </c>
      <c r="B3" s="5"/>
      <c r="C3" s="5"/>
      <c r="D3" s="5"/>
      <c r="E3" s="5"/>
      <c r="F3" s="34"/>
      <c r="G3" s="5"/>
      <c r="I3" s="5"/>
      <c r="J3" s="5"/>
      <c r="K3" s="36" t="s">
        <v>4</v>
      </c>
    </row>
    <row r="4" spans="1:11" ht="16" x14ac:dyDescent="0.35">
      <c r="A4" s="46">
        <v>37500</v>
      </c>
      <c r="B4" s="6">
        <v>40000</v>
      </c>
      <c r="C4" s="7"/>
      <c r="D4" s="6"/>
      <c r="E4" s="6"/>
      <c r="F4" s="34" t="s">
        <v>13</v>
      </c>
      <c r="G4" s="7"/>
      <c r="H4" s="7"/>
      <c r="I4" s="5" t="s">
        <v>15</v>
      </c>
      <c r="J4" s="7">
        <v>40000</v>
      </c>
      <c r="K4" s="7"/>
    </row>
    <row r="5" spans="1:11" ht="16" x14ac:dyDescent="0.35">
      <c r="A5" s="6">
        <v>6</v>
      </c>
      <c r="B5" s="6">
        <v>-7000</v>
      </c>
      <c r="C5" s="7"/>
      <c r="D5" s="6">
        <v>22000</v>
      </c>
      <c r="E5" s="6"/>
      <c r="F5" s="34" t="s">
        <v>13</v>
      </c>
      <c r="G5" s="7">
        <v>15000</v>
      </c>
      <c r="H5" s="7"/>
      <c r="I5" s="5" t="s">
        <v>15</v>
      </c>
      <c r="J5" s="7"/>
      <c r="K5" s="7"/>
    </row>
    <row r="6" spans="1:11" ht="16" x14ac:dyDescent="0.35">
      <c r="A6" s="6">
        <v>13</v>
      </c>
      <c r="B6" s="6">
        <v>-12000</v>
      </c>
      <c r="C6" s="7"/>
      <c r="D6" s="6"/>
      <c r="E6" s="6">
        <v>40000</v>
      </c>
      <c r="F6" s="34" t="s">
        <v>13</v>
      </c>
      <c r="G6" s="7">
        <v>28000</v>
      </c>
      <c r="H6" s="7"/>
      <c r="I6" s="5" t="s">
        <v>15</v>
      </c>
      <c r="J6" s="7"/>
      <c r="K6" s="7"/>
    </row>
    <row r="7" spans="1:11" ht="16" x14ac:dyDescent="0.35">
      <c r="A7" s="6">
        <v>22</v>
      </c>
      <c r="B7" s="6">
        <v>-2300</v>
      </c>
      <c r="C7" s="7">
        <v>2300</v>
      </c>
      <c r="D7" s="6"/>
      <c r="E7" s="6"/>
      <c r="F7" s="34" t="s">
        <v>13</v>
      </c>
      <c r="G7" s="7"/>
      <c r="H7" s="7"/>
      <c r="I7" s="5" t="s">
        <v>15</v>
      </c>
      <c r="J7" s="7"/>
      <c r="K7" s="7"/>
    </row>
    <row r="8" spans="1:11" ht="16" x14ac:dyDescent="0.35">
      <c r="A8" s="6"/>
      <c r="B8" s="6"/>
      <c r="C8" s="7"/>
      <c r="D8" s="7"/>
      <c r="E8" s="7"/>
      <c r="F8" s="48" t="s">
        <v>8</v>
      </c>
      <c r="G8" s="7"/>
      <c r="H8" s="7"/>
      <c r="I8" s="5" t="s">
        <v>15</v>
      </c>
      <c r="J8" s="7"/>
      <c r="K8" s="7"/>
    </row>
    <row r="9" spans="1:11" ht="16" x14ac:dyDescent="0.35">
      <c r="A9" s="6" t="s">
        <v>7</v>
      </c>
      <c r="B9" s="6">
        <f>SUM(B3:B8)</f>
        <v>18700</v>
      </c>
      <c r="C9" s="7">
        <f>SUM(C3:C8)</f>
        <v>2300</v>
      </c>
      <c r="D9" s="7">
        <f>SUM(D3:D8)</f>
        <v>22000</v>
      </c>
      <c r="E9" s="7">
        <f>SUM(E3:E8)</f>
        <v>40000</v>
      </c>
      <c r="F9" s="37" t="s">
        <v>8</v>
      </c>
      <c r="G9" s="7">
        <f>SUM(G3:G8)</f>
        <v>43000</v>
      </c>
      <c r="H9" s="7">
        <f>SUM(H3:H8)</f>
        <v>0</v>
      </c>
      <c r="I9" s="5" t="s">
        <v>15</v>
      </c>
      <c r="J9" s="7">
        <f>SUM(J3:J8)</f>
        <v>40000</v>
      </c>
      <c r="K9" s="7"/>
    </row>
    <row r="10" spans="1:11" x14ac:dyDescent="0.35">
      <c r="A10" s="4" t="s">
        <v>20</v>
      </c>
      <c r="B10" s="51">
        <f>SUM(B9:E9)</f>
        <v>83000</v>
      </c>
      <c r="C10" s="52"/>
      <c r="D10" s="53"/>
      <c r="E10" s="38"/>
      <c r="F10" s="37" t="s">
        <v>8</v>
      </c>
      <c r="G10" s="51">
        <f>SUM(G9:J9)</f>
        <v>83000</v>
      </c>
      <c r="H10" s="52"/>
      <c r="I10" s="52"/>
      <c r="J10" s="52"/>
      <c r="K10" s="6"/>
    </row>
    <row r="11" spans="1:11" x14ac:dyDescent="0.35">
      <c r="C11" s="1"/>
      <c r="F11" s="49"/>
      <c r="G11" s="49"/>
      <c r="H11" s="49"/>
      <c r="I11" s="49"/>
      <c r="J11" s="49"/>
    </row>
  </sheetData>
  <mergeCells count="5">
    <mergeCell ref="B1:D1"/>
    <mergeCell ref="G1:H1"/>
    <mergeCell ref="B10:D10"/>
    <mergeCell ref="G10:J10"/>
    <mergeCell ref="F11:J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D159-12E5-40C1-B142-47DD76BC2831}">
  <dimension ref="A1:L18"/>
  <sheetViews>
    <sheetView zoomScale="145" zoomScaleNormal="145" workbookViewId="0">
      <selection activeCell="G17" sqref="G17"/>
    </sheetView>
  </sheetViews>
  <sheetFormatPr defaultRowHeight="14.5" x14ac:dyDescent="0.35"/>
  <cols>
    <col min="4" max="4" width="10.90625" customWidth="1"/>
    <col min="6" max="6" width="3.54296875" customWidth="1"/>
    <col min="12" max="12" width="14.54296875" customWidth="1"/>
  </cols>
  <sheetData>
    <row r="1" spans="1:12" x14ac:dyDescent="0.35">
      <c r="B1" s="28" t="s">
        <v>40</v>
      </c>
      <c r="C1" s="30" t="s">
        <v>41</v>
      </c>
      <c r="G1" s="28" t="s">
        <v>42</v>
      </c>
      <c r="H1" s="30" t="s">
        <v>43</v>
      </c>
    </row>
    <row r="3" spans="1:12" x14ac:dyDescent="0.35">
      <c r="B3" s="4" t="s">
        <v>9</v>
      </c>
      <c r="C3" s="4"/>
      <c r="D3" s="4"/>
      <c r="E3" s="4"/>
      <c r="F3" s="4" t="s">
        <v>8</v>
      </c>
      <c r="G3" s="4" t="s">
        <v>10</v>
      </c>
      <c r="H3" s="4"/>
      <c r="I3" s="4" t="s">
        <v>32</v>
      </c>
      <c r="J3" s="4"/>
      <c r="K3" s="4"/>
      <c r="L3" s="4"/>
    </row>
    <row r="4" spans="1:12" x14ac:dyDescent="0.35">
      <c r="B4" s="4" t="s">
        <v>49</v>
      </c>
      <c r="C4" s="4" t="s">
        <v>5</v>
      </c>
      <c r="D4" s="4" t="s">
        <v>51</v>
      </c>
      <c r="E4" s="32" t="s">
        <v>6</v>
      </c>
      <c r="F4" s="4"/>
      <c r="G4" s="4" t="s">
        <v>53</v>
      </c>
      <c r="H4" s="4"/>
      <c r="I4" s="4" t="s">
        <v>1</v>
      </c>
      <c r="J4" s="4" t="s">
        <v>44</v>
      </c>
      <c r="K4" s="4" t="s">
        <v>3</v>
      </c>
      <c r="L4" s="4"/>
    </row>
    <row r="5" spans="1:12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 t="s">
        <v>33</v>
      </c>
      <c r="L5" s="4" t="s">
        <v>4</v>
      </c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>
        <v>15200</v>
      </c>
      <c r="L6" s="4" t="s">
        <v>45</v>
      </c>
    </row>
    <row r="7" spans="1:12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>
        <v>-6400</v>
      </c>
      <c r="L7" s="4" t="s">
        <v>27</v>
      </c>
    </row>
    <row r="8" spans="1:12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>
        <v>-1100</v>
      </c>
      <c r="L8" s="4" t="s">
        <v>46</v>
      </c>
    </row>
    <row r="9" spans="1:12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>
        <v>-900</v>
      </c>
      <c r="L9" s="4" t="s">
        <v>47</v>
      </c>
    </row>
    <row r="10" spans="1:12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>
        <f>SUM(K6:K9)</f>
        <v>6800</v>
      </c>
      <c r="L10" s="4" t="s">
        <v>48</v>
      </c>
    </row>
    <row r="11" spans="1:12" x14ac:dyDescent="0.35">
      <c r="A11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 t="s">
        <v>50</v>
      </c>
    </row>
    <row r="12" spans="1:12" x14ac:dyDescent="0.35">
      <c r="A12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 t="s">
        <v>46</v>
      </c>
    </row>
    <row r="13" spans="1:12" x14ac:dyDescent="0.35">
      <c r="A13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 t="s">
        <v>52</v>
      </c>
    </row>
    <row r="14" spans="1:12" x14ac:dyDescent="0.35">
      <c r="A14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 t="s">
        <v>27</v>
      </c>
    </row>
    <row r="15" spans="1:12" x14ac:dyDescent="0.35">
      <c r="A15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 t="s">
        <v>11</v>
      </c>
    </row>
    <row r="16" spans="1:12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>
        <f>SUM(K10:K15)</f>
        <v>6800</v>
      </c>
      <c r="L16" s="4" t="s">
        <v>54</v>
      </c>
    </row>
    <row r="17" spans="1:1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6606-B15E-42D6-85A8-458904C4FE75}">
  <dimension ref="A1:I19"/>
  <sheetViews>
    <sheetView zoomScale="160" zoomScaleNormal="160" workbookViewId="0">
      <selection activeCell="G11" sqref="G11"/>
    </sheetView>
  </sheetViews>
  <sheetFormatPr defaultRowHeight="14.5" x14ac:dyDescent="0.35"/>
  <cols>
    <col min="2" max="2" width="10.1796875" bestFit="1" customWidth="1"/>
    <col min="4" max="4" width="10.90625" customWidth="1"/>
    <col min="5" max="5" width="3.54296875" customWidth="1"/>
    <col min="6" max="6" width="9.90625" bestFit="1" customWidth="1"/>
    <col min="9" max="9" width="14.54296875" customWidth="1"/>
  </cols>
  <sheetData>
    <row r="1" spans="1:9" x14ac:dyDescent="0.35">
      <c r="B1" s="28" t="s">
        <v>40</v>
      </c>
      <c r="C1" s="30" t="s">
        <v>41</v>
      </c>
      <c r="F1" s="28" t="s">
        <v>42</v>
      </c>
      <c r="G1" s="30" t="s">
        <v>43</v>
      </c>
    </row>
    <row r="3" spans="1:9" x14ac:dyDescent="0.35">
      <c r="B3" s="4" t="s">
        <v>9</v>
      </c>
      <c r="C3" s="4"/>
      <c r="D3" s="4"/>
      <c r="E3" s="4" t="s">
        <v>8</v>
      </c>
      <c r="F3" s="4" t="s">
        <v>10</v>
      </c>
      <c r="G3" s="4" t="s">
        <v>32</v>
      </c>
      <c r="H3" s="4"/>
      <c r="I3" s="4"/>
    </row>
    <row r="4" spans="1:9" x14ac:dyDescent="0.35">
      <c r="B4" s="4" t="s">
        <v>61</v>
      </c>
      <c r="C4" s="4" t="s">
        <v>5</v>
      </c>
      <c r="D4" s="32" t="s">
        <v>63</v>
      </c>
      <c r="E4" s="4"/>
      <c r="F4" s="4" t="s">
        <v>58</v>
      </c>
      <c r="G4" s="4" t="s">
        <v>1</v>
      </c>
      <c r="H4" s="4" t="s">
        <v>3</v>
      </c>
      <c r="I4" s="4"/>
    </row>
    <row r="5" spans="1:9" x14ac:dyDescent="0.35">
      <c r="B5" s="4" t="s">
        <v>62</v>
      </c>
      <c r="C5" s="4"/>
      <c r="D5" s="4" t="s">
        <v>64</v>
      </c>
      <c r="E5" s="4"/>
      <c r="F5" s="4" t="s">
        <v>59</v>
      </c>
      <c r="G5" s="4"/>
      <c r="H5" s="4"/>
      <c r="I5" s="4"/>
    </row>
    <row r="6" spans="1:9" x14ac:dyDescent="0.35">
      <c r="A6" s="4"/>
      <c r="B6" s="4">
        <v>4500</v>
      </c>
      <c r="C6" s="4">
        <v>720</v>
      </c>
      <c r="D6" s="4">
        <v>24000</v>
      </c>
      <c r="E6" s="4"/>
      <c r="F6" s="4">
        <v>4800</v>
      </c>
      <c r="G6" s="4"/>
      <c r="H6" s="4" t="s">
        <v>33</v>
      </c>
      <c r="I6" s="4" t="s">
        <v>4</v>
      </c>
    </row>
    <row r="7" spans="1:9" x14ac:dyDescent="0.35">
      <c r="A7" s="4"/>
      <c r="B7" s="4"/>
      <c r="C7" s="4"/>
      <c r="D7" s="4"/>
      <c r="E7" s="4"/>
      <c r="F7" s="4"/>
      <c r="G7" s="4"/>
      <c r="H7" s="4">
        <v>-32600</v>
      </c>
      <c r="I7" s="4" t="s">
        <v>60</v>
      </c>
    </row>
    <row r="8" spans="1:9" x14ac:dyDescent="0.35">
      <c r="A8" s="4"/>
      <c r="B8" s="4"/>
      <c r="C8" s="4"/>
      <c r="D8" s="4"/>
      <c r="E8" s="4"/>
      <c r="F8" s="4"/>
      <c r="G8" s="4"/>
      <c r="H8" s="4">
        <v>13200</v>
      </c>
      <c r="I8" s="4" t="s">
        <v>45</v>
      </c>
    </row>
    <row r="9" spans="1:9" x14ac:dyDescent="0.35">
      <c r="A9" s="4">
        <v>1</v>
      </c>
      <c r="B9" s="4"/>
      <c r="C9" s="4"/>
      <c r="D9" s="4"/>
      <c r="E9" s="4"/>
      <c r="F9" s="4"/>
      <c r="G9" s="4"/>
    </row>
    <row r="10" spans="1:9" x14ac:dyDescent="0.35">
      <c r="A10" s="4">
        <v>2</v>
      </c>
      <c r="C10" s="4"/>
      <c r="D10" s="4"/>
      <c r="E10" s="4"/>
      <c r="F10" s="4"/>
      <c r="G10" s="4"/>
      <c r="H10" s="4"/>
      <c r="I10" s="4"/>
    </row>
    <row r="11" spans="1:9" x14ac:dyDescent="0.35">
      <c r="A11" s="4">
        <v>3</v>
      </c>
      <c r="B11" s="4"/>
      <c r="C11" s="4"/>
      <c r="D11" s="4"/>
      <c r="E11" s="4"/>
      <c r="F11" s="4"/>
      <c r="G11" s="4"/>
      <c r="H11" s="4"/>
      <c r="I11" s="4"/>
    </row>
    <row r="12" spans="1:9" x14ac:dyDescent="0.35">
      <c r="A12" s="4">
        <v>4</v>
      </c>
      <c r="B12" s="4"/>
      <c r="C12" s="4"/>
      <c r="D12" s="4"/>
      <c r="E12" s="4"/>
      <c r="F12" s="4"/>
      <c r="G12" s="4"/>
      <c r="H12" s="4"/>
      <c r="I12" s="4"/>
    </row>
    <row r="13" spans="1:9" x14ac:dyDescent="0.35">
      <c r="A13" s="4">
        <v>5</v>
      </c>
      <c r="B13" s="4"/>
      <c r="C13" s="4"/>
      <c r="D13" s="4"/>
      <c r="E13" s="4"/>
      <c r="F13" s="4"/>
      <c r="G13" s="4"/>
      <c r="H13" s="4"/>
      <c r="I13" s="4"/>
    </row>
    <row r="14" spans="1:9" x14ac:dyDescent="0.35">
      <c r="B14" s="4"/>
      <c r="C14" s="4"/>
      <c r="D14" s="4"/>
      <c r="E14" s="4"/>
      <c r="F14" s="4"/>
      <c r="G14" s="4"/>
      <c r="H14" s="4"/>
      <c r="I14" s="4"/>
    </row>
    <row r="15" spans="1:9" x14ac:dyDescent="0.35">
      <c r="B15" s="4"/>
      <c r="C15" s="4"/>
      <c r="D15" s="4"/>
      <c r="E15" s="4"/>
      <c r="F15" s="4"/>
      <c r="G15" s="4"/>
      <c r="H15" s="4"/>
      <c r="I15" s="4"/>
    </row>
    <row r="16" spans="1:9" x14ac:dyDescent="0.35">
      <c r="B16" s="4"/>
      <c r="C16" s="4"/>
      <c r="D16" s="4"/>
      <c r="E16" s="4"/>
      <c r="F16" s="4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</row>
    <row r="19" spans="1:9" x14ac:dyDescent="0.35">
      <c r="A19" s="4"/>
      <c r="B19" s="4"/>
      <c r="C19" s="4"/>
      <c r="D19" s="4"/>
      <c r="E19" s="4"/>
      <c r="F19" s="4"/>
      <c r="G19" s="4"/>
      <c r="H1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2ECF-5158-4A9E-83E4-200E432755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3B45-9284-4B4E-82AD-E7DB231EC9B1}">
  <dimension ref="A1:L18"/>
  <sheetViews>
    <sheetView zoomScale="207" workbookViewId="0">
      <selection activeCell="F9" sqref="F9"/>
    </sheetView>
  </sheetViews>
  <sheetFormatPr defaultRowHeight="14.5" x14ac:dyDescent="0.35"/>
  <cols>
    <col min="4" max="4" width="10.90625" customWidth="1"/>
    <col min="6" max="6" width="3.54296875" customWidth="1"/>
    <col min="12" max="12" width="14.54296875" customWidth="1"/>
  </cols>
  <sheetData>
    <row r="1" spans="1:12" x14ac:dyDescent="0.35">
      <c r="B1" s="28" t="s">
        <v>40</v>
      </c>
      <c r="C1" s="30" t="s">
        <v>41</v>
      </c>
      <c r="G1" s="28" t="s">
        <v>42</v>
      </c>
      <c r="H1" s="30" t="s">
        <v>43</v>
      </c>
    </row>
    <row r="3" spans="1:12" x14ac:dyDescent="0.35">
      <c r="B3" s="4" t="s">
        <v>9</v>
      </c>
      <c r="C3" s="4"/>
      <c r="D3" s="4"/>
      <c r="E3" s="4"/>
      <c r="F3" s="4" t="s">
        <v>8</v>
      </c>
      <c r="G3" s="4" t="s">
        <v>10</v>
      </c>
      <c r="H3" s="4"/>
      <c r="I3" s="4" t="s">
        <v>32</v>
      </c>
      <c r="J3" s="4"/>
      <c r="K3" s="4"/>
      <c r="L3" s="4"/>
    </row>
    <row r="4" spans="1:12" x14ac:dyDescent="0.35">
      <c r="B4" s="4" t="s">
        <v>49</v>
      </c>
      <c r="C4" s="4" t="s">
        <v>5</v>
      </c>
      <c r="D4" s="4" t="s">
        <v>51</v>
      </c>
      <c r="E4" s="32" t="s">
        <v>6</v>
      </c>
      <c r="F4" s="4"/>
      <c r="G4" s="4" t="s">
        <v>53</v>
      </c>
      <c r="H4" s="4"/>
      <c r="I4" s="4" t="s">
        <v>1</v>
      </c>
      <c r="J4" s="4" t="s">
        <v>44</v>
      </c>
      <c r="K4" s="4" t="s">
        <v>3</v>
      </c>
      <c r="L4" s="4"/>
    </row>
    <row r="5" spans="1:12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 t="s">
        <v>33</v>
      </c>
      <c r="L5" s="4" t="s">
        <v>4</v>
      </c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>
        <v>15200</v>
      </c>
      <c r="L6" s="4" t="s">
        <v>45</v>
      </c>
    </row>
    <row r="7" spans="1:12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>
        <v>-6400</v>
      </c>
      <c r="L7" s="4" t="s">
        <v>27</v>
      </c>
    </row>
    <row r="8" spans="1:12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>
        <v>-1100</v>
      </c>
      <c r="L8" s="4" t="s">
        <v>46</v>
      </c>
    </row>
    <row r="9" spans="1:12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>
        <v>-900</v>
      </c>
      <c r="L9" s="4" t="s">
        <v>47</v>
      </c>
    </row>
    <row r="10" spans="1:12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>
        <f>SUM(K6:K9)</f>
        <v>6800</v>
      </c>
      <c r="L10" s="4" t="s">
        <v>48</v>
      </c>
    </row>
    <row r="11" spans="1:12" x14ac:dyDescent="0.35">
      <c r="A11" s="4">
        <v>1</v>
      </c>
      <c r="B11" s="33">
        <v>-460</v>
      </c>
      <c r="C11" s="4"/>
      <c r="D11" s="4"/>
      <c r="E11" s="4"/>
      <c r="F11" s="4" t="s">
        <v>8</v>
      </c>
      <c r="G11" s="4"/>
      <c r="H11" s="4"/>
      <c r="I11" s="4"/>
      <c r="J11" s="4"/>
      <c r="K11" s="13">
        <v>-460</v>
      </c>
      <c r="L11" s="4" t="s">
        <v>50</v>
      </c>
    </row>
    <row r="12" spans="1:12" x14ac:dyDescent="0.35">
      <c r="A12" s="4">
        <v>2</v>
      </c>
      <c r="B12" s="4"/>
      <c r="C12" s="13">
        <v>320</v>
      </c>
      <c r="D12" s="4"/>
      <c r="E12" s="4"/>
      <c r="F12" s="4" t="s">
        <v>8</v>
      </c>
      <c r="G12" s="4"/>
      <c r="H12" s="4"/>
      <c r="I12" s="4"/>
      <c r="J12" s="4"/>
      <c r="K12" s="33">
        <v>320</v>
      </c>
      <c r="L12" s="4" t="s">
        <v>46</v>
      </c>
    </row>
    <row r="13" spans="1:12" x14ac:dyDescent="0.35">
      <c r="A13" s="4">
        <v>3</v>
      </c>
      <c r="B13" s="4"/>
      <c r="C13" s="4"/>
      <c r="D13" s="33">
        <v>-400</v>
      </c>
      <c r="E13" s="4"/>
      <c r="F13" s="4" t="s">
        <v>8</v>
      </c>
      <c r="G13" s="4"/>
      <c r="H13" s="4"/>
      <c r="I13" s="4"/>
      <c r="J13" s="4"/>
      <c r="K13" s="13">
        <v>-400</v>
      </c>
      <c r="L13" s="4" t="s">
        <v>52</v>
      </c>
    </row>
    <row r="14" spans="1:12" x14ac:dyDescent="0.35">
      <c r="A14" s="4">
        <v>4</v>
      </c>
      <c r="B14" s="4"/>
      <c r="C14" s="4"/>
      <c r="D14" s="4"/>
      <c r="E14" s="4"/>
      <c r="F14" s="4" t="s">
        <v>8</v>
      </c>
      <c r="G14" s="33">
        <v>260</v>
      </c>
      <c r="H14" s="4"/>
      <c r="I14" s="4"/>
      <c r="J14" s="4"/>
      <c r="K14" s="13">
        <v>-260</v>
      </c>
      <c r="L14" s="4" t="s">
        <v>27</v>
      </c>
    </row>
    <row r="15" spans="1:12" x14ac:dyDescent="0.35">
      <c r="A15" s="4">
        <v>5</v>
      </c>
      <c r="B15" s="4"/>
      <c r="C15" s="4"/>
      <c r="D15" s="4"/>
      <c r="E15" s="13">
        <v>1600</v>
      </c>
      <c r="F15" s="4" t="s">
        <v>8</v>
      </c>
      <c r="G15" s="4"/>
      <c r="H15" s="4"/>
      <c r="I15" s="4"/>
      <c r="J15" s="4"/>
      <c r="K15" s="33">
        <v>1600</v>
      </c>
      <c r="L15" s="4" t="s">
        <v>11</v>
      </c>
    </row>
    <row r="16" spans="1:12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>
        <f>SUM(K10:K15)</f>
        <v>7600</v>
      </c>
      <c r="L16" s="4" t="s">
        <v>54</v>
      </c>
    </row>
    <row r="17" spans="1:1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E170-E699-4DE6-856C-101236F720BF}">
  <dimension ref="A1:M20"/>
  <sheetViews>
    <sheetView zoomScale="197" zoomScaleNormal="130" workbookViewId="0">
      <pane ySplit="2" topLeftCell="A8" activePane="bottomLeft" state="frozen"/>
      <selection pane="bottomLeft" activeCell="H18" sqref="H18"/>
    </sheetView>
  </sheetViews>
  <sheetFormatPr defaultRowHeight="14.5" x14ac:dyDescent="0.35"/>
  <cols>
    <col min="2" max="2" width="9.08984375" customWidth="1"/>
    <col min="3" max="3" width="9.54296875" customWidth="1"/>
    <col min="4" max="4" width="11" bestFit="1" customWidth="1"/>
    <col min="5" max="5" width="8.90625" bestFit="1" customWidth="1"/>
    <col min="6" max="6" width="7.1796875" customWidth="1"/>
    <col min="7" max="7" width="10.54296875" customWidth="1"/>
    <col min="9" max="9" width="2.08984375" bestFit="1" customWidth="1"/>
    <col min="11" max="11" width="10.08984375" bestFit="1" customWidth="1"/>
    <col min="12" max="12" width="9.81640625" bestFit="1" customWidth="1"/>
    <col min="13" max="13" width="17.36328125" bestFit="1" customWidth="1"/>
  </cols>
  <sheetData>
    <row r="1" spans="1:13" ht="32.5" customHeight="1" thickBot="1" x14ac:dyDescent="0.4">
      <c r="B1" s="55" t="s">
        <v>12</v>
      </c>
      <c r="C1" s="55"/>
      <c r="D1" s="55"/>
      <c r="E1" s="55"/>
      <c r="F1" s="3" t="s">
        <v>13</v>
      </c>
      <c r="G1" s="56" t="s">
        <v>14</v>
      </c>
      <c r="H1" s="56"/>
      <c r="I1" s="9" t="s">
        <v>15</v>
      </c>
      <c r="J1" s="9" t="s">
        <v>16</v>
      </c>
      <c r="M1" s="2"/>
    </row>
    <row r="2" spans="1:13" ht="48" x14ac:dyDescent="0.35">
      <c r="A2" s="4"/>
      <c r="B2" s="20" t="s">
        <v>17</v>
      </c>
      <c r="C2" s="5" t="s">
        <v>23</v>
      </c>
      <c r="D2" s="5" t="s">
        <v>18</v>
      </c>
      <c r="E2" s="5" t="s">
        <v>21</v>
      </c>
      <c r="F2" s="10" t="s">
        <v>13</v>
      </c>
      <c r="G2" s="5" t="s">
        <v>24</v>
      </c>
      <c r="H2" s="5" t="s">
        <v>22</v>
      </c>
      <c r="I2" s="5" t="s">
        <v>15</v>
      </c>
      <c r="J2" s="22" t="s">
        <v>28</v>
      </c>
      <c r="K2" s="22" t="s">
        <v>19</v>
      </c>
      <c r="L2" s="14" t="s">
        <v>30</v>
      </c>
      <c r="M2" s="15"/>
    </row>
    <row r="3" spans="1:13" ht="16" x14ac:dyDescent="0.35">
      <c r="A3" s="4" t="s">
        <v>7</v>
      </c>
      <c r="B3" s="20">
        <v>9000</v>
      </c>
      <c r="C3" s="5">
        <v>14250</v>
      </c>
      <c r="D3" s="5">
        <v>2000</v>
      </c>
      <c r="E3" s="5">
        <v>20875</v>
      </c>
      <c r="F3" s="10" t="s">
        <v>13</v>
      </c>
      <c r="G3" s="5">
        <v>3425</v>
      </c>
      <c r="H3" s="5">
        <v>9750</v>
      </c>
      <c r="I3" s="5" t="s">
        <v>15</v>
      </c>
      <c r="J3" s="22">
        <v>32950</v>
      </c>
      <c r="K3" s="23"/>
      <c r="L3" s="16"/>
      <c r="M3" s="17" t="s">
        <v>4</v>
      </c>
    </row>
    <row r="4" spans="1:13" x14ac:dyDescent="0.35">
      <c r="A4" s="6">
        <v>1</v>
      </c>
      <c r="B4" s="21">
        <v>-3260</v>
      </c>
      <c r="C4" s="7"/>
      <c r="D4" s="7"/>
      <c r="E4" s="6"/>
      <c r="F4" s="8" t="s">
        <v>8</v>
      </c>
      <c r="G4" s="7">
        <v>-3260</v>
      </c>
      <c r="H4" s="7"/>
      <c r="I4" s="7"/>
      <c r="J4" s="24"/>
      <c r="K4" s="24"/>
      <c r="L4" s="18"/>
      <c r="M4" s="18"/>
    </row>
    <row r="5" spans="1:13" x14ac:dyDescent="0.35">
      <c r="A5" s="6">
        <v>2</v>
      </c>
      <c r="B5" s="21">
        <v>4600</v>
      </c>
      <c r="C5" s="7">
        <v>-4600</v>
      </c>
      <c r="D5" s="7"/>
      <c r="E5" s="6"/>
      <c r="F5" s="8" t="s">
        <v>8</v>
      </c>
      <c r="G5" s="7"/>
      <c r="H5" s="7"/>
      <c r="I5" s="7"/>
      <c r="J5" s="24"/>
      <c r="K5" s="24"/>
      <c r="L5" s="18"/>
      <c r="M5" s="18"/>
    </row>
    <row r="6" spans="1:13" x14ac:dyDescent="0.35">
      <c r="A6" s="6">
        <v>3</v>
      </c>
      <c r="B6" s="21">
        <v>-1200</v>
      </c>
      <c r="C6" s="7"/>
      <c r="D6" s="7"/>
      <c r="E6" s="6">
        <v>11200</v>
      </c>
      <c r="F6" s="8" t="s">
        <v>8</v>
      </c>
      <c r="G6" s="7"/>
      <c r="H6" s="7">
        <v>10000</v>
      </c>
      <c r="I6" s="7"/>
      <c r="J6" s="24"/>
      <c r="K6" s="24"/>
      <c r="L6" s="18"/>
      <c r="M6" s="18"/>
    </row>
    <row r="7" spans="1:13" x14ac:dyDescent="0.35">
      <c r="A7" s="6">
        <v>4</v>
      </c>
      <c r="B7" s="21"/>
      <c r="C7" s="7">
        <v>9820</v>
      </c>
      <c r="D7" s="7"/>
      <c r="E7" s="6"/>
      <c r="F7" s="8" t="s">
        <v>8</v>
      </c>
      <c r="G7" s="7"/>
      <c r="H7" s="7"/>
      <c r="I7" s="7"/>
      <c r="J7" s="24"/>
      <c r="K7" s="24"/>
      <c r="L7" s="18">
        <v>9820</v>
      </c>
      <c r="M7" s="18" t="s">
        <v>11</v>
      </c>
    </row>
    <row r="8" spans="1:13" x14ac:dyDescent="0.35">
      <c r="A8" s="6">
        <v>5</v>
      </c>
      <c r="B8" s="21"/>
      <c r="C8" s="7"/>
      <c r="D8" s="7">
        <v>2100</v>
      </c>
      <c r="E8" s="6"/>
      <c r="F8" s="8" t="s">
        <v>8</v>
      </c>
      <c r="G8" s="7">
        <v>2100</v>
      </c>
      <c r="H8" s="7"/>
      <c r="I8" s="7"/>
      <c r="J8" s="24"/>
      <c r="K8" s="24"/>
      <c r="L8" s="18"/>
      <c r="M8" s="18"/>
    </row>
    <row r="9" spans="1:13" x14ac:dyDescent="0.35">
      <c r="A9" s="6">
        <v>6</v>
      </c>
      <c r="B9" s="21">
        <v>-2000</v>
      </c>
      <c r="C9" s="7"/>
      <c r="D9" s="7"/>
      <c r="E9" s="6"/>
      <c r="F9" s="8" t="s">
        <v>8</v>
      </c>
      <c r="G9" s="7"/>
      <c r="H9" s="7"/>
      <c r="I9" s="7"/>
      <c r="J9" s="24"/>
      <c r="K9" s="24"/>
      <c r="L9" s="19">
        <v>-2000</v>
      </c>
      <c r="M9" s="18" t="s">
        <v>25</v>
      </c>
    </row>
    <row r="10" spans="1:13" x14ac:dyDescent="0.35">
      <c r="A10" s="6"/>
      <c r="B10" s="21">
        <v>-6000</v>
      </c>
      <c r="C10" s="7"/>
      <c r="D10" s="7"/>
      <c r="E10" s="6"/>
      <c r="F10" s="8" t="s">
        <v>8</v>
      </c>
      <c r="G10" s="7"/>
      <c r="H10" s="7"/>
      <c r="I10" s="7"/>
      <c r="J10" s="24"/>
      <c r="K10" s="24"/>
      <c r="L10" s="19">
        <v>-6000</v>
      </c>
      <c r="M10" s="18" t="s">
        <v>26</v>
      </c>
    </row>
    <row r="11" spans="1:13" x14ac:dyDescent="0.35">
      <c r="A11" s="6"/>
      <c r="B11" s="21">
        <v>-1400</v>
      </c>
      <c r="C11" s="7"/>
      <c r="D11" s="7"/>
      <c r="E11" s="6"/>
      <c r="F11" s="8" t="s">
        <v>8</v>
      </c>
      <c r="G11" s="7"/>
      <c r="H11" s="7"/>
      <c r="I11" s="7"/>
      <c r="J11" s="24"/>
      <c r="K11" s="24"/>
      <c r="L11" s="19">
        <v>-1400</v>
      </c>
      <c r="M11" s="18" t="s">
        <v>27</v>
      </c>
    </row>
    <row r="12" spans="1:13" x14ac:dyDescent="0.35">
      <c r="A12" s="6">
        <v>7</v>
      </c>
      <c r="B12" s="21"/>
      <c r="C12" s="7"/>
      <c r="D12" s="7">
        <v>-600</v>
      </c>
      <c r="E12" s="6"/>
      <c r="F12" s="8" t="s">
        <v>8</v>
      </c>
      <c r="G12" s="7"/>
      <c r="H12" s="7"/>
      <c r="I12" s="7"/>
      <c r="J12" s="24"/>
      <c r="K12" s="24"/>
      <c r="L12" s="18">
        <v>-600</v>
      </c>
      <c r="M12" s="18" t="s">
        <v>29</v>
      </c>
    </row>
    <row r="13" spans="1:13" x14ac:dyDescent="0.35">
      <c r="A13" s="6">
        <v>8</v>
      </c>
      <c r="B13" s="21">
        <v>9650</v>
      </c>
      <c r="C13" s="7">
        <v>-9650</v>
      </c>
      <c r="D13" s="7"/>
      <c r="E13" s="6"/>
      <c r="F13" s="8" t="s">
        <v>8</v>
      </c>
      <c r="G13" s="7"/>
      <c r="H13" s="7"/>
      <c r="I13" s="7"/>
      <c r="J13" s="24"/>
      <c r="K13" s="24"/>
      <c r="L13" s="18"/>
      <c r="M13" s="18"/>
    </row>
    <row r="14" spans="1:13" x14ac:dyDescent="0.35">
      <c r="A14" s="6">
        <v>9</v>
      </c>
      <c r="B14" s="21">
        <v>-21000</v>
      </c>
      <c r="C14" s="7"/>
      <c r="D14" s="7"/>
      <c r="E14" s="6"/>
      <c r="F14" s="8" t="s">
        <v>8</v>
      </c>
      <c r="G14" s="7"/>
      <c r="H14" s="7"/>
      <c r="I14" s="7"/>
      <c r="J14" s="24">
        <v>-21000</v>
      </c>
      <c r="K14" s="24"/>
      <c r="L14" s="18"/>
      <c r="M14" s="18"/>
    </row>
    <row r="15" spans="1:13" x14ac:dyDescent="0.35">
      <c r="A15" s="6"/>
      <c r="B15" s="21"/>
      <c r="C15" s="7"/>
      <c r="D15" s="7"/>
      <c r="E15" s="7"/>
      <c r="F15" s="8" t="s">
        <v>8</v>
      </c>
      <c r="G15" s="7"/>
      <c r="H15" s="7"/>
      <c r="I15" s="7"/>
      <c r="J15" s="24"/>
      <c r="K15" s="24">
        <v>-180</v>
      </c>
      <c r="L15" s="18">
        <v>180</v>
      </c>
      <c r="M15" s="18" t="s">
        <v>31</v>
      </c>
    </row>
    <row r="16" spans="1:13" x14ac:dyDescent="0.35">
      <c r="A16" s="6"/>
      <c r="B16" s="21"/>
      <c r="C16" s="7"/>
      <c r="D16" s="7"/>
      <c r="E16" s="7"/>
      <c r="F16" s="8" t="s">
        <v>8</v>
      </c>
      <c r="G16" s="7"/>
      <c r="H16" s="7"/>
      <c r="I16" s="7"/>
      <c r="J16" s="24"/>
      <c r="K16" s="24"/>
      <c r="L16" s="7"/>
      <c r="M16" s="7"/>
    </row>
    <row r="17" spans="1:13" x14ac:dyDescent="0.35">
      <c r="A17" s="6"/>
      <c r="B17" s="21"/>
      <c r="C17" s="7"/>
      <c r="D17" s="7"/>
      <c r="E17" s="7"/>
      <c r="F17" s="8" t="s">
        <v>8</v>
      </c>
      <c r="G17" s="7"/>
      <c r="H17" s="7"/>
      <c r="I17" s="7"/>
      <c r="J17" s="24"/>
      <c r="K17" s="24"/>
      <c r="L17" s="7"/>
      <c r="M17" s="7"/>
    </row>
    <row r="18" spans="1:13" x14ac:dyDescent="0.35">
      <c r="A18" s="11" t="s">
        <v>7</v>
      </c>
      <c r="B18" s="21">
        <f>SUM(B3:B17)</f>
        <v>-11610</v>
      </c>
      <c r="C18" s="12">
        <f>SUM(C3:C17)</f>
        <v>9820</v>
      </c>
      <c r="D18" s="12">
        <f>SUM(D3:D17)</f>
        <v>3500</v>
      </c>
      <c r="E18" s="12">
        <f>SUM(E3:E17)</f>
        <v>32075</v>
      </c>
      <c r="F18" s="8" t="s">
        <v>8</v>
      </c>
      <c r="G18" s="12">
        <f>SUM(G3:G17)</f>
        <v>2265</v>
      </c>
      <c r="H18" s="12">
        <f t="shared" ref="H18:L18" si="0">SUM(H3:H17)</f>
        <v>19750</v>
      </c>
      <c r="I18" s="12">
        <f t="shared" si="0"/>
        <v>0</v>
      </c>
      <c r="J18" s="24">
        <f t="shared" si="0"/>
        <v>11950</v>
      </c>
      <c r="K18" s="24">
        <f t="shared" si="0"/>
        <v>-180</v>
      </c>
      <c r="L18" s="12">
        <f t="shared" si="0"/>
        <v>0</v>
      </c>
      <c r="M18" s="7"/>
    </row>
    <row r="19" spans="1:13" x14ac:dyDescent="0.35">
      <c r="A19" s="13" t="s">
        <v>20</v>
      </c>
      <c r="B19" s="57">
        <f>SUM(B18:E18)</f>
        <v>33785</v>
      </c>
      <c r="C19" s="58"/>
      <c r="D19" s="58"/>
      <c r="E19" s="59"/>
      <c r="F19" s="8" t="s">
        <v>8</v>
      </c>
      <c r="G19" s="57">
        <f>SUM(G18:L18)</f>
        <v>33785</v>
      </c>
      <c r="H19" s="58"/>
      <c r="I19" s="58"/>
      <c r="J19" s="58"/>
      <c r="K19" s="58"/>
      <c r="L19" s="59"/>
      <c r="M19" s="6"/>
    </row>
    <row r="20" spans="1:13" x14ac:dyDescent="0.35">
      <c r="C20" s="49"/>
      <c r="D20" s="49"/>
      <c r="F20" s="49"/>
      <c r="G20" s="49"/>
      <c r="H20" s="49"/>
      <c r="I20" s="49"/>
      <c r="J20" s="49"/>
      <c r="K20" s="49"/>
      <c r="L20" s="1"/>
    </row>
  </sheetData>
  <mergeCells count="6">
    <mergeCell ref="B1:E1"/>
    <mergeCell ref="G1:H1"/>
    <mergeCell ref="B19:E19"/>
    <mergeCell ref="G19:L19"/>
    <mergeCell ref="C20:D20"/>
    <mergeCell ref="F20:K2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8C59-ED1D-4D91-A2B5-CF5B3D70AE7E}">
  <dimension ref="A1:J15"/>
  <sheetViews>
    <sheetView zoomScale="160" zoomScaleNormal="160" workbookViewId="0">
      <pane ySplit="4" topLeftCell="A5" activePane="bottomLeft" state="frozen"/>
      <selection pane="bottomLeft" activeCell="B1" sqref="B1:F1"/>
    </sheetView>
  </sheetViews>
  <sheetFormatPr defaultRowHeight="14.5" x14ac:dyDescent="0.35"/>
  <cols>
    <col min="1" max="1" width="5.26953125" customWidth="1"/>
    <col min="2" max="2" width="10.26953125" bestFit="1" customWidth="1"/>
    <col min="3" max="3" width="9.08984375" bestFit="1" customWidth="1"/>
    <col min="4" max="4" width="3.7265625" customWidth="1"/>
    <col min="5" max="5" width="11.7265625" bestFit="1" customWidth="1"/>
    <col min="6" max="6" width="7.90625" bestFit="1" customWidth="1"/>
    <col min="7" max="7" width="11.453125" bestFit="1" customWidth="1"/>
    <col min="9" max="9" width="11" bestFit="1" customWidth="1"/>
    <col min="10" max="10" width="14.6328125" customWidth="1"/>
  </cols>
  <sheetData>
    <row r="1" spans="1:10" x14ac:dyDescent="0.35">
      <c r="B1" s="28" t="s">
        <v>40</v>
      </c>
      <c r="C1" s="30" t="s">
        <v>41</v>
      </c>
      <c r="E1" s="28" t="s">
        <v>42</v>
      </c>
      <c r="F1" s="30" t="s">
        <v>43</v>
      </c>
    </row>
    <row r="2" spans="1:10" x14ac:dyDescent="0.35">
      <c r="A2" s="25"/>
      <c r="B2" s="25"/>
      <c r="C2" s="25" t="s">
        <v>9</v>
      </c>
      <c r="D2" s="25" t="s">
        <v>8</v>
      </c>
      <c r="E2" s="25" t="s">
        <v>10</v>
      </c>
      <c r="F2" s="25"/>
      <c r="G2" s="25" t="s">
        <v>32</v>
      </c>
      <c r="H2" s="25"/>
      <c r="I2" s="25"/>
      <c r="J2" s="25"/>
    </row>
    <row r="3" spans="1:10" x14ac:dyDescent="0.35">
      <c r="A3" s="25"/>
      <c r="B3" s="25" t="s">
        <v>34</v>
      </c>
      <c r="C3" s="25"/>
      <c r="D3" s="25" t="s">
        <v>8</v>
      </c>
      <c r="E3" s="25"/>
      <c r="F3" s="25"/>
      <c r="G3" s="25" t="s">
        <v>1</v>
      </c>
      <c r="H3" s="25" t="s">
        <v>2</v>
      </c>
      <c r="I3" s="25" t="s">
        <v>3</v>
      </c>
      <c r="J3" s="25"/>
    </row>
    <row r="4" spans="1:10" x14ac:dyDescent="0.35">
      <c r="A4" s="25"/>
      <c r="B4" s="25" t="s">
        <v>0</v>
      </c>
      <c r="C4" s="25" t="s">
        <v>36</v>
      </c>
      <c r="D4" s="25" t="s">
        <v>8</v>
      </c>
      <c r="E4" s="25" t="s">
        <v>38</v>
      </c>
      <c r="F4" s="25" t="s">
        <v>39</v>
      </c>
      <c r="G4" s="25"/>
      <c r="H4" s="25" t="s">
        <v>3</v>
      </c>
      <c r="I4" s="25" t="s">
        <v>33</v>
      </c>
      <c r="J4" s="25" t="s">
        <v>4</v>
      </c>
    </row>
    <row r="5" spans="1:10" x14ac:dyDescent="0.35">
      <c r="A5" s="25" t="s">
        <v>35</v>
      </c>
      <c r="C5" s="25"/>
      <c r="D5" s="25" t="s">
        <v>8</v>
      </c>
      <c r="E5" s="25"/>
      <c r="F5" s="25"/>
      <c r="G5" s="25"/>
      <c r="H5" s="25"/>
      <c r="I5" s="25"/>
      <c r="J5" s="25"/>
    </row>
    <row r="6" spans="1:10" x14ac:dyDescent="0.35">
      <c r="A6" s="25">
        <v>1</v>
      </c>
      <c r="B6" s="29">
        <v>120000</v>
      </c>
      <c r="C6" s="26"/>
      <c r="D6" s="26" t="s">
        <v>8</v>
      </c>
      <c r="E6" s="26"/>
      <c r="F6" s="26"/>
      <c r="G6" s="31">
        <v>120000</v>
      </c>
      <c r="H6" s="26"/>
      <c r="I6" s="26"/>
      <c r="J6" s="25"/>
    </row>
    <row r="7" spans="1:10" x14ac:dyDescent="0.35">
      <c r="A7" s="25">
        <v>2</v>
      </c>
      <c r="B7" s="31">
        <v>-36000</v>
      </c>
      <c r="C7" s="29">
        <v>36000</v>
      </c>
      <c r="D7" s="26" t="s">
        <v>8</v>
      </c>
      <c r="E7" s="26"/>
      <c r="F7" s="26"/>
      <c r="G7" s="26"/>
      <c r="H7" s="26"/>
      <c r="I7" s="26"/>
      <c r="J7" s="25"/>
    </row>
    <row r="8" spans="1:10" x14ac:dyDescent="0.35">
      <c r="A8" s="25">
        <v>3</v>
      </c>
      <c r="B8" s="26"/>
      <c r="C8" s="26"/>
      <c r="D8" s="26" t="s">
        <v>8</v>
      </c>
      <c r="E8" s="26"/>
      <c r="F8" s="26"/>
      <c r="G8" s="26"/>
      <c r="H8" s="26"/>
      <c r="I8" s="26"/>
      <c r="J8" s="25" t="s">
        <v>37</v>
      </c>
    </row>
    <row r="9" spans="1:10" x14ac:dyDescent="0.35">
      <c r="A9" s="25">
        <v>6</v>
      </c>
      <c r="B9" s="26"/>
      <c r="C9" s="26"/>
      <c r="D9" s="26" t="s">
        <v>8</v>
      </c>
      <c r="E9" s="26"/>
      <c r="F9" s="26"/>
      <c r="G9" s="26"/>
      <c r="H9" s="26"/>
      <c r="I9" s="26"/>
      <c r="J9" s="25" t="s">
        <v>37</v>
      </c>
    </row>
    <row r="10" spans="1:10" x14ac:dyDescent="0.35">
      <c r="A10" s="25">
        <v>15</v>
      </c>
      <c r="B10" s="29">
        <v>10000</v>
      </c>
      <c r="C10" s="26"/>
      <c r="D10" s="26" t="s">
        <v>8</v>
      </c>
      <c r="E10" s="31">
        <v>4200</v>
      </c>
      <c r="F10" s="31">
        <v>4800</v>
      </c>
      <c r="G10" s="26"/>
      <c r="H10" s="26"/>
      <c r="I10" s="31">
        <v>1000</v>
      </c>
      <c r="J10" s="25" t="s">
        <v>11</v>
      </c>
    </row>
    <row r="11" spans="1:10" x14ac:dyDescent="0.35">
      <c r="A11" s="25">
        <v>22</v>
      </c>
      <c r="B11" s="31">
        <v>-4200</v>
      </c>
      <c r="C11" s="26"/>
      <c r="D11" s="26" t="s">
        <v>8</v>
      </c>
      <c r="E11" s="29">
        <v>-4200</v>
      </c>
      <c r="F11" s="27"/>
      <c r="G11" s="27"/>
      <c r="H11" s="27"/>
      <c r="I11" s="27"/>
    </row>
    <row r="12" spans="1:10" x14ac:dyDescent="0.35">
      <c r="A12" s="25">
        <v>25</v>
      </c>
      <c r="B12" s="31">
        <v>-4800</v>
      </c>
      <c r="C12" s="26"/>
      <c r="D12" s="26" t="s">
        <v>8</v>
      </c>
      <c r="E12" s="26"/>
      <c r="F12" s="29">
        <v>-4800</v>
      </c>
      <c r="G12" s="26"/>
      <c r="H12" s="26"/>
      <c r="I12" s="26"/>
      <c r="J12" s="25"/>
    </row>
    <row r="13" spans="1:10" x14ac:dyDescent="0.35">
      <c r="A13" s="25">
        <v>30</v>
      </c>
      <c r="B13" s="31">
        <v>-3500</v>
      </c>
      <c r="C13" s="27"/>
      <c r="D13" s="26" t="s">
        <v>8</v>
      </c>
      <c r="E13" s="27"/>
      <c r="F13" s="27"/>
      <c r="G13" s="27"/>
      <c r="H13" s="27"/>
      <c r="I13" s="29">
        <v>-3500</v>
      </c>
      <c r="J13" s="25" t="s">
        <v>27</v>
      </c>
    </row>
    <row r="14" spans="1:10" x14ac:dyDescent="0.35">
      <c r="D14" s="25"/>
    </row>
    <row r="15" spans="1:10" x14ac:dyDescent="0.35">
      <c r="A15" s="25"/>
      <c r="B15" s="25"/>
      <c r="C15" s="25"/>
      <c r="E15" s="25"/>
      <c r="F15" s="25"/>
      <c r="G15" s="25"/>
      <c r="H15" s="25"/>
      <c r="I15" s="25"/>
      <c r="J15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System</vt:lpstr>
      <vt:lpstr>System (2)</vt:lpstr>
      <vt:lpstr>P2.25</vt:lpstr>
      <vt:lpstr>P2.27</vt:lpstr>
      <vt:lpstr>Ex 3.9</vt:lpstr>
      <vt:lpstr>Ex 3.10</vt:lpstr>
      <vt:lpstr>Ex 3.11</vt:lpstr>
      <vt:lpstr>Ex 4.6</vt:lpstr>
      <vt:lpstr>Ex 4.12</vt:lpstr>
      <vt:lpstr>ANSWER</vt:lpstr>
      <vt:lpstr>Ex 4.6(A)</vt:lpstr>
      <vt:lpstr>P2.25 (A)</vt:lpstr>
      <vt:lpstr>Ex 3.9 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Manek Mukesh</cp:lastModifiedBy>
  <cp:lastPrinted>2023-04-05T17:58:37Z</cp:lastPrinted>
  <dcterms:created xsi:type="dcterms:W3CDTF">2023-04-03T11:19:43Z</dcterms:created>
  <dcterms:modified xsi:type="dcterms:W3CDTF">2026-04-05T12:16:03Z</dcterms:modified>
</cp:coreProperties>
</file>