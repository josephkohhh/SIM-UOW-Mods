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lym\Desktop\Manek\Notes\SIM\UOW\2025 UOW\Learning Material\In Session Explanation\2025\L9\"/>
    </mc:Choice>
  </mc:AlternateContent>
  <xr:revisionPtr revIDLastSave="0" documentId="13_ncr:1_{2ECBA5B0-5438-4F25-A117-F8FD6CE5D1B6}" xr6:coauthVersionLast="47" xr6:coauthVersionMax="47" xr10:uidLastSave="{00000000-0000-0000-0000-000000000000}"/>
  <bookViews>
    <workbookView xWindow="-110" yWindow="-110" windowWidth="29020" windowHeight="18700" activeTab="4" xr2:uid="{BB81D00E-B7BD-4C7E-833A-F8ECA5DA9AD9}"/>
  </bookViews>
  <sheets>
    <sheet name="System" sheetId="7" r:id="rId1"/>
    <sheet name="System (2)" sheetId="8" r:id="rId2"/>
    <sheet name="NCA Explain" sheetId="14" r:id="rId3"/>
    <sheet name="Sheet1" sheetId="15" r:id="rId4"/>
    <sheet name="Sheet2" sheetId="16" r:id="rId5"/>
    <sheet name="NCA Explain (2)" sheetId="17" r:id="rId6"/>
  </sheets>
  <externalReferences>
    <externalReference r:id="rId7"/>
  </externalReferences>
  <definedNames>
    <definedName name="BLPH1" hidden="1">'[1]Template (XFA)'!#REF!</definedName>
    <definedName name="BLPH2" hidden="1">#REF!</definedName>
    <definedName name="BLPH3" hidden="1">#REF!</definedName>
    <definedName name="x" hidden="1">'[1]Template (XFA)'!#REF!</definedName>
    <definedName name="xx" hidden="1">#REF!</definedName>
    <definedName name="xxxx" hidden="1">#REF!</definedName>
    <definedName name="xxxxx" hidden="1">'[1]Template (XFA)'!#REF!</definedName>
    <definedName name="yy" hidden="1">#REF!</definedName>
    <definedName name="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3" i="17" l="1"/>
  <c r="F113" i="17"/>
  <c r="E113" i="17"/>
  <c r="D113" i="17"/>
  <c r="J112" i="17"/>
  <c r="J113" i="17" s="1"/>
  <c r="J114" i="17" s="1"/>
  <c r="J115" i="17" s="1"/>
  <c r="E101" i="17"/>
  <c r="F100" i="17"/>
  <c r="F99" i="17"/>
  <c r="F98" i="17"/>
  <c r="F97" i="17"/>
  <c r="D92" i="17"/>
  <c r="F91" i="17"/>
  <c r="F64" i="17" s="1"/>
  <c r="F90" i="17"/>
  <c r="F89" i="17"/>
  <c r="F88" i="17"/>
  <c r="L76" i="17"/>
  <c r="L66" i="17"/>
  <c r="G66" i="17"/>
  <c r="G64" i="17"/>
  <c r="G63" i="17"/>
  <c r="F63" i="17"/>
  <c r="G62" i="17"/>
  <c r="F62" i="17"/>
  <c r="G61" i="17"/>
  <c r="F61" i="17"/>
  <c r="J40" i="17"/>
  <c r="E34" i="17"/>
  <c r="D41" i="17" s="1"/>
  <c r="H33" i="17"/>
  <c r="G33" i="17"/>
  <c r="H32" i="17"/>
  <c r="G32" i="17"/>
  <c r="E24" i="16"/>
  <c r="E21" i="16"/>
  <c r="E22" i="16"/>
  <c r="E23" i="16"/>
  <c r="E20" i="16"/>
  <c r="F24" i="16"/>
  <c r="D24" i="16"/>
  <c r="D16" i="16"/>
  <c r="D15" i="16"/>
  <c r="D12" i="16"/>
  <c r="C11" i="15"/>
  <c r="C12" i="15"/>
  <c r="C10" i="15"/>
  <c r="C13" i="15"/>
  <c r="F14" i="15"/>
  <c r="B13" i="15"/>
  <c r="J113" i="14"/>
  <c r="J114" i="14" s="1"/>
  <c r="J115" i="14" s="1"/>
  <c r="G113" i="14"/>
  <c r="F113" i="14"/>
  <c r="E113" i="14"/>
  <c r="D113" i="14"/>
  <c r="J112" i="14"/>
  <c r="E101" i="14"/>
  <c r="F100" i="14"/>
  <c r="F99" i="14"/>
  <c r="F98" i="14"/>
  <c r="F97" i="14"/>
  <c r="D92" i="14"/>
  <c r="F91" i="14"/>
  <c r="F90" i="14"/>
  <c r="F89" i="14"/>
  <c r="F62" i="14" s="1"/>
  <c r="F66" i="14" s="1"/>
  <c r="F88" i="14"/>
  <c r="L76" i="14"/>
  <c r="L66" i="14"/>
  <c r="G66" i="14"/>
  <c r="G64" i="14"/>
  <c r="F64" i="14"/>
  <c r="G63" i="14"/>
  <c r="F63" i="14"/>
  <c r="G62" i="14"/>
  <c r="G61" i="14"/>
  <c r="F61" i="14"/>
  <c r="J40" i="14"/>
  <c r="E34" i="14"/>
  <c r="D41" i="14" s="1"/>
  <c r="H33" i="14"/>
  <c r="G33" i="14"/>
  <c r="H32" i="14"/>
  <c r="G32" i="14"/>
  <c r="D43" i="17" l="1"/>
  <c r="D61" i="17" s="1"/>
  <c r="F74" i="17"/>
  <c r="F66" i="17"/>
  <c r="D43" i="14"/>
  <c r="D61" i="14" s="1"/>
  <c r="F74" i="14"/>
  <c r="F75" i="17" l="1"/>
  <c r="I74" i="17"/>
  <c r="D62" i="17"/>
  <c r="D63" i="17" s="1"/>
  <c r="D64" i="17" s="1"/>
  <c r="D66" i="17"/>
  <c r="I74" i="14"/>
  <c r="F75" i="14"/>
  <c r="D62" i="14"/>
  <c r="D63" i="14" s="1"/>
  <c r="D64" i="14" s="1"/>
  <c r="E61" i="17" l="1"/>
  <c r="I75" i="17"/>
  <c r="I76" i="17" s="1"/>
  <c r="G75" i="17"/>
  <c r="O75" i="17"/>
  <c r="J74" i="17"/>
  <c r="K74" i="17" s="1"/>
  <c r="L74" i="17" s="1"/>
  <c r="F76" i="17"/>
  <c r="D66" i="14"/>
  <c r="I75" i="14"/>
  <c r="I76" i="14" s="1"/>
  <c r="E61" i="14"/>
  <c r="G75" i="14"/>
  <c r="F76" i="14"/>
  <c r="O75" i="14"/>
  <c r="J74" i="14"/>
  <c r="K74" i="14" s="1"/>
  <c r="L74" i="14" s="1"/>
  <c r="F77" i="17" l="1"/>
  <c r="Q75" i="17"/>
  <c r="P77" i="17"/>
  <c r="P77" i="14"/>
  <c r="Q75" i="14" s="1"/>
  <c r="F77" i="14"/>
  <c r="G77" i="14"/>
  <c r="E62" i="17" l="1"/>
  <c r="J75" i="17"/>
  <c r="F78" i="17"/>
  <c r="G77" i="17"/>
  <c r="R77" i="17"/>
  <c r="S75" i="17"/>
  <c r="R77" i="14"/>
  <c r="S75" i="14"/>
  <c r="E62" i="14"/>
  <c r="J75" i="14"/>
  <c r="F78" i="14"/>
  <c r="T77" i="17" l="1"/>
  <c r="U75" i="17" s="1"/>
  <c r="J76" i="17"/>
  <c r="F79" i="17"/>
  <c r="E63" i="17" s="1"/>
  <c r="J76" i="14"/>
  <c r="F79" i="14"/>
  <c r="K75" i="14"/>
  <c r="T77" i="14"/>
  <c r="U75" i="14"/>
  <c r="V77" i="17" l="1"/>
  <c r="W75" i="17" s="1"/>
  <c r="W78" i="17" s="1"/>
  <c r="G79" i="17"/>
  <c r="K75" i="17"/>
  <c r="F80" i="17"/>
  <c r="V77" i="14"/>
  <c r="W75" i="14"/>
  <c r="W78" i="14" s="1"/>
  <c r="E63" i="14"/>
  <c r="G79" i="14"/>
  <c r="F80" i="14"/>
  <c r="K76" i="17" l="1"/>
  <c r="F81" i="17"/>
  <c r="E64" i="17" s="1"/>
  <c r="E66" i="17" s="1"/>
  <c r="G81" i="17"/>
  <c r="K76" i="14"/>
  <c r="F81" i="14"/>
  <c r="E64" i="14" s="1"/>
  <c r="G81" i="14"/>
  <c r="E66" i="14"/>
  <c r="F83" i="17" l="1"/>
  <c r="L75" i="17" s="1"/>
  <c r="F83" i="14"/>
  <c r="L7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tc={7BD3673E-5DEC-460D-819F-F91D4F44C705}</author>
    <author>tc={32491463-3731-4558-951D-9906450FEF36}</author>
  </authors>
  <commentList>
    <comment ref="G4" authorId="0" shapeId="0" xr:uid="{7BD3673E-5DEC-460D-819F-F91D4F44C705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32491463-3731-4558-951D-9906450FEF36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tc={C69013E3-7272-4E0A-90F3-66A9739B2D33}</author>
  </authors>
  <commentList>
    <comment ref="E24" authorId="0" shapeId="0" xr:uid="{C69013E3-7272-4E0A-90F3-66A9739B2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self generated positive experiences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tc={4387BE97-3B86-49F8-BF0C-36218F42BFC3}</author>
  </authors>
  <commentList>
    <comment ref="E24" authorId="0" shapeId="0" xr:uid="{4387BE97-3B86-49F8-BF0C-36218F42BFC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self generated positive experiences</t>
      </text>
    </comment>
  </commentList>
</comments>
</file>

<file path=xl/sharedStrings.xml><?xml version="1.0" encoding="utf-8"?>
<sst xmlns="http://schemas.openxmlformats.org/spreadsheetml/2006/main" count="516" uniqueCount="207">
  <si>
    <t>Transactions</t>
  </si>
  <si>
    <t>Financial Statements</t>
  </si>
  <si>
    <t>↓</t>
  </si>
  <si>
    <t>$</t>
  </si>
  <si>
    <t>JOURNAL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</si>
  <si>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</si>
  <si>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</si>
  <si>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</si>
  <si>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</si>
  <si>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</si>
  <si>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</si>
  <si>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</si>
  <si>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Daily</t>
  </si>
  <si>
    <t>BDA</t>
  </si>
  <si>
    <t>Closing Entries</t>
  </si>
  <si>
    <t>$ Debit</t>
  </si>
  <si>
    <t>Credit $</t>
  </si>
  <si>
    <t>PROCESS</t>
  </si>
  <si>
    <t>1,2,3,4</t>
  </si>
  <si>
    <t>Reset revenue to 0</t>
  </si>
  <si>
    <t>Revenue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</si>
  <si>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</si>
  <si>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</si>
  <si>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</si>
  <si>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</si>
  <si>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</si>
  <si>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</si>
  <si>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</si>
  <si>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</si>
  <si>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</si>
  <si>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</si>
  <si>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</si>
  <si>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</si>
  <si>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</si>
  <si>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</si>
  <si>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</si>
  <si>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</si>
  <si>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</si>
  <si>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</si>
  <si>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</si>
  <si>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</si>
  <si>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Capital</t>
  </si>
  <si>
    <t>Drawings</t>
  </si>
  <si>
    <t>To reset drawing to 0</t>
  </si>
  <si>
    <t>Assets</t>
  </si>
  <si>
    <t>Equal</t>
  </si>
  <si>
    <t>Liability</t>
  </si>
  <si>
    <t>plus</t>
  </si>
  <si>
    <t>Equity</t>
  </si>
  <si>
    <t>Today</t>
  </si>
  <si>
    <t>NCA</t>
  </si>
  <si>
    <t>CA</t>
  </si>
  <si>
    <t>Next</t>
  </si>
  <si>
    <t>Inventory</t>
  </si>
  <si>
    <t>AR</t>
  </si>
  <si>
    <t>Cash</t>
  </si>
  <si>
    <t>Meaning</t>
  </si>
  <si>
    <t>NCA are held for long term use in business.</t>
  </si>
  <si>
    <t>Examples</t>
  </si>
  <si>
    <t>Furniture Land equipment machines plant building etc.</t>
  </si>
  <si>
    <t>Types</t>
  </si>
  <si>
    <t>Tangible, PPE</t>
  </si>
  <si>
    <t>Physical existance. Furniture Land equipment machines plant building etc.</t>
  </si>
  <si>
    <t>Intangible</t>
  </si>
  <si>
    <t>No physical existance. Usually evidenced by document or transaction.</t>
  </si>
  <si>
    <t>i</t>
  </si>
  <si>
    <t>ii</t>
  </si>
  <si>
    <t>Patent, Trademark, copyright, goodwill etc.</t>
  </si>
  <si>
    <t>Goodwill</t>
  </si>
  <si>
    <t>reputation</t>
  </si>
  <si>
    <t>Paid / acquired</t>
  </si>
  <si>
    <t>ignore</t>
  </si>
  <si>
    <t>record</t>
  </si>
  <si>
    <t>Total cost</t>
  </si>
  <si>
    <t>Purchase cost plus incidental or related expenses incurred to bring the asset to its current location and ready for use.</t>
  </si>
  <si>
    <t>Asset</t>
  </si>
  <si>
    <t xml:space="preserve"> =</t>
  </si>
  <si>
    <t>S$</t>
  </si>
  <si>
    <t>Profit</t>
  </si>
  <si>
    <t>Purchase Cost</t>
  </si>
  <si>
    <t>Transport</t>
  </si>
  <si>
    <t>Installation</t>
  </si>
  <si>
    <t>Trial run(s)</t>
  </si>
  <si>
    <t>Estimates</t>
  </si>
  <si>
    <t>Useful or economic life (different from physical life)</t>
  </si>
  <si>
    <t>Resale , terminal, salvage, disposal, end of life, scrap etc value</t>
  </si>
  <si>
    <t>Example 1</t>
  </si>
  <si>
    <t>Total cost (1 Jan Year 1)</t>
  </si>
  <si>
    <t>a</t>
  </si>
  <si>
    <t>Resale value Estimated</t>
  </si>
  <si>
    <t>b</t>
  </si>
  <si>
    <t>TDA</t>
  </si>
  <si>
    <r>
      <t xml:space="preserve">Total </t>
    </r>
    <r>
      <rPr>
        <sz val="11"/>
        <color rgb="FFFF0000"/>
        <rFont val="Calibri"/>
        <family val="2"/>
        <scheme val="minor"/>
      </rPr>
      <t>depreciable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/ cost</t>
    </r>
  </si>
  <si>
    <t>c=a-b</t>
  </si>
  <si>
    <t>Useful or economic life in years estimated</t>
  </si>
  <si>
    <t>Useful life - productive capacity estimated</t>
  </si>
  <si>
    <t>machine hours</t>
  </si>
  <si>
    <t>Mining asset</t>
  </si>
  <si>
    <t>Oil reserve, gold mine etc</t>
  </si>
  <si>
    <t>$100m, 1000mb</t>
  </si>
  <si>
    <t>Issue???</t>
  </si>
  <si>
    <t>Depreciation exp per month</t>
  </si>
  <si>
    <t>Cost allocation</t>
  </si>
  <si>
    <t>Depreciation</t>
  </si>
  <si>
    <t>Process of cost allocation.</t>
  </si>
  <si>
    <t>Rev - Exp = Profit</t>
  </si>
  <si>
    <t>Methods</t>
  </si>
  <si>
    <t>To calculate annual depreciation expense</t>
  </si>
  <si>
    <t>Logic, reason , rationale</t>
  </si>
  <si>
    <t>Straight line method</t>
  </si>
  <si>
    <t>Equal depreciation per year assumption is equal use.</t>
  </si>
  <si>
    <t>Furniture, building, phone etc.</t>
  </si>
  <si>
    <t>Reducing, diminishing, declining  balance method</t>
  </si>
  <si>
    <t>Depreciation as a constant % of carrying amount</t>
  </si>
  <si>
    <t>Equipment, vehicle</t>
  </si>
  <si>
    <t>% of carrying amount</t>
  </si>
  <si>
    <r>
      <t xml:space="preserve">Sum </t>
    </r>
    <r>
      <rPr>
        <sz val="11"/>
        <color theme="1"/>
        <rFont val="Calibri"/>
        <family val="2"/>
      </rPr>
      <t>∑</t>
    </r>
    <r>
      <rPr>
        <sz val="11"/>
        <color theme="1"/>
        <rFont val="Calibri"/>
        <family val="2"/>
        <scheme val="minor"/>
      </rPr>
      <t xml:space="preserve"> of digit method</t>
    </r>
  </si>
  <si>
    <t>Proportionate method.</t>
  </si>
  <si>
    <t>4:3:2:1</t>
  </si>
  <si>
    <t>Output, production, units of service potential method</t>
  </si>
  <si>
    <t>Based on usage.</t>
  </si>
  <si>
    <t>e.g. mining asset</t>
  </si>
  <si>
    <t>Prorata Method</t>
  </si>
  <si>
    <t xml:space="preserve">Straight line </t>
  </si>
  <si>
    <t xml:space="preserve">Reducing balance </t>
  </si>
  <si>
    <t xml:space="preserve">Sum of digit </t>
  </si>
  <si>
    <t xml:space="preserve">Output </t>
  </si>
  <si>
    <t>Date</t>
  </si>
  <si>
    <t>Year</t>
  </si>
  <si>
    <t>1.10.N</t>
  </si>
  <si>
    <t>Use/Total</t>
  </si>
  <si>
    <t>Total</t>
  </si>
  <si>
    <t>31.12.N</t>
  </si>
  <si>
    <t>*3/12</t>
  </si>
  <si>
    <t>31.12.N+1</t>
  </si>
  <si>
    <t>*12/12</t>
  </si>
  <si>
    <t>31.12.N+2</t>
  </si>
  <si>
    <t>31.12.N+3</t>
  </si>
  <si>
    <t>30.9.N+4</t>
  </si>
  <si>
    <t>*9/12</t>
  </si>
  <si>
    <t>Annual Depreciation exp = (Total cost - estimated resale value) / Useful life in years</t>
  </si>
  <si>
    <t>(43000-3000)/4 years</t>
  </si>
  <si>
    <r>
      <t xml:space="preserve">If the NCA is purchased </t>
    </r>
    <r>
      <rPr>
        <sz val="11"/>
        <color rgb="FFFF0000"/>
        <rFont val="Calibri"/>
        <family val="2"/>
        <scheme val="minor"/>
      </rPr>
      <t>during the year</t>
    </r>
    <r>
      <rPr>
        <sz val="11"/>
        <color theme="1"/>
        <rFont val="Calibri"/>
        <family val="2"/>
        <scheme val="minor"/>
      </rPr>
      <t>, use proportionate method to calculate depreciation expense.</t>
    </r>
  </si>
  <si>
    <t>Prorata Temporis</t>
  </si>
  <si>
    <t>∑ Acc Dep</t>
  </si>
  <si>
    <t>BALANCE SHEET</t>
  </si>
  <si>
    <t>Equipment cost</t>
  </si>
  <si>
    <t>Income statement</t>
  </si>
  <si>
    <t>Dep Exp 1</t>
  </si>
  <si>
    <t>Equip Acc Dep</t>
  </si>
  <si>
    <t>Carry Amt</t>
  </si>
  <si>
    <t>Balance sheet</t>
  </si>
  <si>
    <t>Book value, Depreciated value</t>
  </si>
  <si>
    <t>Carrying amount</t>
  </si>
  <si>
    <t>Equipment book value</t>
  </si>
  <si>
    <t>Dep Rate</t>
  </si>
  <si>
    <t>Dep Exp 2</t>
  </si>
  <si>
    <t>Dep Exp</t>
  </si>
  <si>
    <t>Dep Exp 3</t>
  </si>
  <si>
    <t>Dep Exp 4</t>
  </si>
  <si>
    <t>Dep Exp 4 Adjust</t>
  </si>
  <si>
    <t>Depreciation exp</t>
  </si>
  <si>
    <t>Dep @</t>
  </si>
  <si>
    <t>4/10</t>
  </si>
  <si>
    <t>3/10</t>
  </si>
  <si>
    <t>2/10</t>
  </si>
  <si>
    <t>1/10</t>
  </si>
  <si>
    <t>Output</t>
  </si>
  <si>
    <t>Dep @ $4 per hour</t>
  </si>
  <si>
    <t>(Actuals)</t>
  </si>
  <si>
    <t>Accounting Entry</t>
  </si>
  <si>
    <t>Depreciation Exp Debit</t>
  </si>
  <si>
    <t>($)</t>
  </si>
  <si>
    <t>Accumulated Depreciation or NCA Credit</t>
  </si>
  <si>
    <t>Credit</t>
  </si>
  <si>
    <t>Debit</t>
  </si>
  <si>
    <t>(To record depreciation expense for the year)</t>
  </si>
  <si>
    <t>Bank</t>
  </si>
  <si>
    <t>Gain or loss on disposal</t>
  </si>
  <si>
    <t>Net Book value, Book Value,  Depreciated value, Carrying Amount</t>
  </si>
  <si>
    <t>Gain (Loss on dosposal)</t>
  </si>
  <si>
    <t>Loss on Discard</t>
  </si>
  <si>
    <t>Disposal, Resale, value or sale proceeds</t>
  </si>
  <si>
    <t>Gain on Disposal</t>
  </si>
  <si>
    <t>Discard</t>
  </si>
  <si>
    <t>Loss on Disposal</t>
  </si>
  <si>
    <t>Land</t>
  </si>
  <si>
    <t>Building</t>
  </si>
  <si>
    <t>Equipment</t>
  </si>
  <si>
    <t>LBE</t>
  </si>
  <si>
    <t>Legal fees</t>
  </si>
  <si>
    <t>Commission</t>
  </si>
  <si>
    <t>Appraisal</t>
  </si>
  <si>
    <t>d</t>
  </si>
  <si>
    <t>e</t>
  </si>
  <si>
    <t>Useful life - units estimated</t>
  </si>
  <si>
    <t>Depreciation exp per year - St line method</t>
  </si>
  <si>
    <t>f=c/d</t>
  </si>
  <si>
    <t>Depreciation exp per year - output method</t>
  </si>
  <si>
    <t>g=c/e</t>
  </si>
  <si>
    <t>Depreciation Schedule</t>
  </si>
  <si>
    <t>Year 1</t>
  </si>
  <si>
    <t>Year 2</t>
  </si>
  <si>
    <t>Year 3</t>
  </si>
  <si>
    <t>Year 4</t>
  </si>
  <si>
    <t>St Line</t>
  </si>
  <si>
    <t>U of P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</si>
</sst>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1" fillId="2" borderId="0" xfId="0" applyFont="1" applyFill="1"/>
    <xf numFmtId="0" fontId="0" fillId="3" borderId="9" xfId="0" applyFill="1" applyBorder="1"/>
    <xf numFmtId="0" fontId="0" fillId="4" borderId="0" xfId="0" applyFill="1"/>
    <xf numFmtId="0" fontId="0" fillId="5" borderId="0" xfId="0" applyFill="1"/>
    <xf numFmtId="9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0" fillId="6" borderId="0" xfId="0" applyFill="1" applyAlignment="1">
      <alignment wrapText="1"/>
    </xf>
    <xf numFmtId="0" fontId="0" fillId="0" borderId="3" xfId="0" applyBorder="1" applyAlignment="1">
      <alignment horizontal="right"/>
    </xf>
    <xf numFmtId="0" fontId="0" fillId="0" borderId="0" xfId="0" applyAlignment="1">
      <alignment horizontal="left"/>
    </xf>
    <xf numFmtId="3" fontId="0" fillId="0" borderId="5" xfId="0" applyNumberFormat="1" applyBorder="1"/>
    <xf numFmtId="3" fontId="0" fillId="0" borderId="8" xfId="0" applyNumberFormat="1" applyBorder="1"/>
    <xf numFmtId="3" fontId="0" fillId="0" borderId="0" xfId="0" applyNumberFormat="1"/>
    <xf numFmtId="3" fontId="0" fillId="7" borderId="0" xfId="0" applyNumberFormat="1" applyFill="1"/>
    <xf numFmtId="0" fontId="0" fillId="7" borderId="0" xfId="0" applyFill="1"/>
    <xf numFmtId="20" fontId="0" fillId="0" borderId="0" xfId="0" applyNumberFormat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164" fontId="0" fillId="0" borderId="0" xfId="1" applyNumberFormat="1" applyFont="1"/>
    <xf numFmtId="164" fontId="6" fillId="0" borderId="0" xfId="1" applyNumberFormat="1" applyFont="1"/>
    <xf numFmtId="164" fontId="6" fillId="0" borderId="5" xfId="1" applyNumberFormat="1" applyFont="1" applyBorder="1"/>
    <xf numFmtId="3" fontId="0" fillId="0" borderId="7" xfId="0" applyNumberFormat="1" applyBorder="1"/>
    <xf numFmtId="164" fontId="6" fillId="8" borderId="7" xfId="1" applyNumberFormat="1" applyFont="1" applyFill="1" applyBorder="1"/>
    <xf numFmtId="164" fontId="6" fillId="8" borderId="8" xfId="1" applyNumberFormat="1" applyFont="1" applyFill="1" applyBorder="1"/>
    <xf numFmtId="0" fontId="3" fillId="0" borderId="3" xfId="0" applyFont="1" applyBorder="1"/>
    <xf numFmtId="0" fontId="3" fillId="0" borderId="5" xfId="0" applyFont="1" applyBorder="1"/>
    <xf numFmtId="0" fontId="6" fillId="0" borderId="4" xfId="0" applyFont="1" applyBorder="1"/>
    <xf numFmtId="3" fontId="6" fillId="0" borderId="0" xfId="0" applyNumberFormat="1" applyFont="1"/>
    <xf numFmtId="165" fontId="6" fillId="0" borderId="0" xfId="0" applyNumberFormat="1" applyFont="1"/>
    <xf numFmtId="3" fontId="3" fillId="0" borderId="5" xfId="0" applyNumberFormat="1" applyFont="1" applyBorder="1"/>
    <xf numFmtId="3" fontId="0" fillId="6" borderId="0" xfId="0" applyNumberFormat="1" applyFill="1"/>
    <xf numFmtId="3" fontId="6" fillId="2" borderId="0" xfId="0" applyNumberFormat="1" applyFont="1" applyFill="1"/>
    <xf numFmtId="0" fontId="3" fillId="0" borderId="4" xfId="0" applyFont="1" applyBorder="1"/>
    <xf numFmtId="0" fontId="3" fillId="0" borderId="0" xfId="0" applyFont="1"/>
    <xf numFmtId="10" fontId="3" fillId="0" borderId="0" xfId="0" applyNumberFormat="1" applyFont="1"/>
    <xf numFmtId="1" fontId="0" fillId="0" borderId="0" xfId="0" applyNumberFormat="1"/>
    <xf numFmtId="3" fontId="0" fillId="6" borderId="8" xfId="0" applyNumberFormat="1" applyFill="1" applyBorder="1"/>
    <xf numFmtId="0" fontId="0" fillId="0" borderId="10" xfId="0" applyBorder="1"/>
    <xf numFmtId="3" fontId="0" fillId="0" borderId="11" xfId="0" applyNumberFormat="1" applyBorder="1"/>
    <xf numFmtId="0" fontId="0" fillId="0" borderId="12" xfId="0" applyBorder="1"/>
    <xf numFmtId="3" fontId="6" fillId="0" borderId="5" xfId="0" applyNumberFormat="1" applyFont="1" applyBorder="1"/>
    <xf numFmtId="0" fontId="6" fillId="0" borderId="7" xfId="0" applyFont="1" applyBorder="1"/>
    <xf numFmtId="164" fontId="6" fillId="2" borderId="7" xfId="1" applyNumberFormat="1" applyFont="1" applyFill="1" applyBorder="1"/>
    <xf numFmtId="0" fontId="6" fillId="0" borderId="8" xfId="0" applyFont="1" applyBorder="1"/>
    <xf numFmtId="49" fontId="0" fillId="0" borderId="0" xfId="0" applyNumberFormat="1"/>
    <xf numFmtId="164" fontId="0" fillId="0" borderId="0" xfId="1" applyNumberFormat="1" applyFont="1" applyBorder="1"/>
    <xf numFmtId="16" fontId="0" fillId="0" borderId="0" xfId="0" applyNumberFormat="1"/>
    <xf numFmtId="0" fontId="0" fillId="0" borderId="6" xfId="0" applyBorder="1" applyAlignment="1">
      <alignment horizontal="right"/>
    </xf>
    <xf numFmtId="164" fontId="0" fillId="0" borderId="7" xfId="1" applyNumberFormat="1" applyFont="1" applyBorder="1"/>
    <xf numFmtId="1" fontId="0" fillId="0" borderId="5" xfId="0" applyNumberFormat="1" applyBorder="1"/>
    <xf numFmtId="0" fontId="0" fillId="2" borderId="7" xfId="0" applyFill="1" applyBorder="1"/>
    <xf numFmtId="0" fontId="0" fillId="9" borderId="7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9" fontId="0" fillId="0" borderId="2" xfId="0" applyNumberFormat="1" applyBorder="1"/>
    <xf numFmtId="164" fontId="0" fillId="0" borderId="3" xfId="0" applyNumberFormat="1" applyBorder="1"/>
    <xf numFmtId="9" fontId="0" fillId="0" borderId="0" xfId="0" applyNumberFormat="1" applyBorder="1"/>
    <xf numFmtId="164" fontId="0" fillId="0" borderId="5" xfId="0" applyNumberFormat="1" applyBorder="1"/>
    <xf numFmtId="9" fontId="0" fillId="0" borderId="7" xfId="0" applyNumberFormat="1" applyBorder="1"/>
    <xf numFmtId="164" fontId="0" fillId="0" borderId="8" xfId="0" applyNumberFormat="1" applyBorder="1"/>
    <xf numFmtId="0" fontId="0" fillId="1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B3AF655-3EDB-44B0-89E7-1F75B7D34AE9}"/>
            </a:ext>
          </a:extLst>
        </xdr:cNvPr>
        <xdr:cNvGrpSpPr/>
      </xdr:nvGrpSpPr>
      <xdr:grpSpPr bwMode="auto">
        <a:xfrm>
          <a:off x="1023447" y="636641"/>
          <a:ext cx="5361327" cy="5677194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FBA6C3D8-D9D5-AA72-B0C9-FEC7CF824C10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3C483CA-B884-880B-DE3A-1339F443B23C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A290A4B2-90F6-46DB-4A80-45E8523CBD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8849367B-DE69-674A-BB47-374C0089C60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01AC6408-3B66-C6D3-BE57-98759A1F74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66E51340-1A48-B16D-24EE-2418C1A962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477B212B-D64C-C92F-B09B-B569394FF2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BB8972-A693-4121-897D-5A50A9BEA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CB5AF-EE56-4F1D-AD64-221E17FD5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boxgrenobleem-my.sharepoint.com/Mac/Home/Mac/Mac/Mac/Mac/Mac/Mac/Home/Users/anaji1/AppData/Local/BLOOMB~1/data/v1.1%20XF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(XFA)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EAD7B708-3F04-4908-A591-1BCBA73A0877}" userId="7baad15b6bef9919" providerId="Windows Live"/>
  <person displayName="MUKESHPRATAP-EXTERNAL Manek" id="{2A25757B-C2DA-418E-94DA-EC6DEBB4B76A}" userId="MUKESHPRATAP-EXTERNAL Manek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EAD7B708-3F04-4908-A591-1BCBA73A0877}" id="{7BD3673E-5DEC-460D-819F-F91D4F44C705}">
    <text>BDA = Balanced Day Adjustments 
Accrual, prepayment, depreciation, bad debt exp etc.</text>
  </threadedComment>
  <threadedComment ref="H4" dT="2022-04-27T08:03:56.12" personId="{EAD7B708-3F04-4908-A591-1BCBA73A0877}" id="{32491463-3731-4558-951D-9906450FEF36}">
    <text>At end of accounting year; Close books for current year and prepare for next year.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4" dT="2021-12-29T04:45:46.02" personId="{2A25757B-C2DA-418E-94DA-EC6DEBB4B76A}" id="{C69013E3-7272-4E0A-90F3-66A9739B2D33}">
    <text>self generated positive experiences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4" dT="2021-12-29T04:45:46.02" personId="{2A25757B-C2DA-418E-94DA-EC6DEBB4B76A}" id="{4387BE97-3B86-49F8-BF0C-36218F42BFC3}">
    <text>self generated positive experiences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626B-C14C-46B5-8E1C-4CA9F7E39F10}">
  <dimension ref="A1"/>
  <sheetViews>
    <sheetView zoomScale="114" zoomScaleNormal="85" workbookViewId="0">
      <selection activeCell="G46" sqref="G4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C239-724E-42F6-AF35-C0937B854444}">
  <dimension ref="B1:O20"/>
  <sheetViews>
    <sheetView zoomScale="222" zoomScaleNormal="130" workbookViewId="0">
      <selection activeCell="D12" sqref="D12"/>
    </sheetView>
  </sheetViews>
  <sheetFormatPr defaultRowHeight="14.5" x14ac:dyDescent="0.35"/>
  <cols>
    <col min="5" max="5" width="18.81640625" bestFit="1" customWidth="1"/>
    <col min="6" max="6" width="10.453125" customWidth="1"/>
    <col min="7" max="7" width="10.453125" bestFit="1" customWidth="1"/>
    <col min="11" max="11" width="2.08984375" bestFit="1" customWidth="1"/>
    <col min="12" max="12" width="37.453125" bestFit="1" customWidth="1"/>
    <col min="13" max="13" width="22.6328125" bestFit="1" customWidth="1"/>
  </cols>
  <sheetData>
    <row r="1" spans="2:15" x14ac:dyDescent="0.35">
      <c r="G1" t="s">
        <v>5</v>
      </c>
    </row>
    <row r="2" spans="2:15" x14ac:dyDescent="0.35">
      <c r="B2" s="10" t="s">
        <v>6</v>
      </c>
    </row>
    <row r="3" spans="2:15" x14ac:dyDescent="0.35">
      <c r="F3" t="s">
        <v>7</v>
      </c>
      <c r="G3" t="s">
        <v>8</v>
      </c>
      <c r="H3" t="s">
        <v>6</v>
      </c>
      <c r="L3" t="s">
        <v>9</v>
      </c>
      <c r="M3" t="s">
        <v>10</v>
      </c>
    </row>
    <row r="4" spans="2:15" ht="15" thickBot="1" x14ac:dyDescent="0.4">
      <c r="C4" s="10" t="s">
        <v>11</v>
      </c>
      <c r="D4" s="10"/>
      <c r="E4" s="10" t="s">
        <v>0</v>
      </c>
      <c r="F4" t="s">
        <v>12</v>
      </c>
      <c r="G4" t="s">
        <v>13</v>
      </c>
      <c r="H4" t="s">
        <v>14</v>
      </c>
    </row>
    <row r="5" spans="2:15" x14ac:dyDescent="0.35">
      <c r="C5" s="10"/>
      <c r="D5" s="10"/>
      <c r="E5" s="11" t="s">
        <v>2</v>
      </c>
      <c r="M5" s="2"/>
      <c r="N5" s="3" t="s">
        <v>15</v>
      </c>
      <c r="O5" s="4" t="s">
        <v>16</v>
      </c>
    </row>
    <row r="6" spans="2:15" x14ac:dyDescent="0.35">
      <c r="C6" s="71" t="s">
        <v>17</v>
      </c>
      <c r="D6" s="10"/>
      <c r="E6" s="10" t="s">
        <v>4</v>
      </c>
      <c r="F6" t="s">
        <v>12</v>
      </c>
      <c r="H6" s="10" t="s">
        <v>18</v>
      </c>
      <c r="K6">
        <v>1</v>
      </c>
      <c r="L6" t="s">
        <v>19</v>
      </c>
      <c r="M6" s="5" t="s">
        <v>20</v>
      </c>
      <c r="N6" t="s">
        <v>3</v>
      </c>
      <c r="O6" s="6"/>
    </row>
    <row r="7" spans="2:15" x14ac:dyDescent="0.35">
      <c r="C7" s="71"/>
      <c r="D7" s="10"/>
      <c r="E7" s="11" t="s">
        <v>2</v>
      </c>
      <c r="M7" s="5" t="s">
        <v>21</v>
      </c>
      <c r="O7" s="6" t="s">
        <v>3</v>
      </c>
    </row>
    <row r="8" spans="2:15" x14ac:dyDescent="0.35">
      <c r="C8" s="71"/>
      <c r="D8" s="10"/>
      <c r="E8" s="10" t="s">
        <v>22</v>
      </c>
      <c r="F8" t="s">
        <v>12</v>
      </c>
      <c r="M8" s="5" t="s">
        <v>23</v>
      </c>
      <c r="O8" s="6"/>
    </row>
    <row r="9" spans="2:15" x14ac:dyDescent="0.35">
      <c r="C9" s="71"/>
      <c r="D9" s="10"/>
      <c r="E9" s="11" t="s">
        <v>2</v>
      </c>
      <c r="M9" s="5"/>
      <c r="O9" s="6"/>
    </row>
    <row r="10" spans="2:15" x14ac:dyDescent="0.35">
      <c r="C10" s="71"/>
      <c r="D10" s="10"/>
      <c r="E10" s="10" t="s">
        <v>24</v>
      </c>
      <c r="F10" t="s">
        <v>12</v>
      </c>
      <c r="G10" t="s">
        <v>25</v>
      </c>
      <c r="H10" t="s">
        <v>26</v>
      </c>
      <c r="K10">
        <v>2</v>
      </c>
      <c r="L10" t="s">
        <v>27</v>
      </c>
      <c r="M10" s="5" t="s">
        <v>21</v>
      </c>
      <c r="N10" t="s">
        <v>3</v>
      </c>
      <c r="O10" s="6"/>
    </row>
    <row r="11" spans="2:15" ht="15" thickBot="1" x14ac:dyDescent="0.4">
      <c r="C11" s="10"/>
      <c r="D11" s="10"/>
      <c r="E11" s="10"/>
      <c r="F11" s="12" t="s">
        <v>28</v>
      </c>
      <c r="G11" s="13" t="s">
        <v>29</v>
      </c>
      <c r="H11" s="14" t="s">
        <v>30</v>
      </c>
      <c r="M11" s="5" t="s">
        <v>31</v>
      </c>
      <c r="O11" s="6" t="s">
        <v>3</v>
      </c>
    </row>
    <row r="12" spans="2:15" ht="15" thickTop="1" x14ac:dyDescent="0.35">
      <c r="C12" s="10"/>
      <c r="D12" s="10"/>
      <c r="E12" s="11" t="s">
        <v>2</v>
      </c>
      <c r="G12" s="1" t="s">
        <v>2</v>
      </c>
      <c r="H12" t="s">
        <v>32</v>
      </c>
      <c r="M12" s="5" t="s">
        <v>33</v>
      </c>
      <c r="O12" s="6"/>
    </row>
    <row r="13" spans="2:15" x14ac:dyDescent="0.35">
      <c r="C13" s="10" t="s">
        <v>34</v>
      </c>
      <c r="D13" s="10"/>
      <c r="E13" s="10" t="s">
        <v>1</v>
      </c>
      <c r="F13" t="s">
        <v>1</v>
      </c>
      <c r="H13" t="s">
        <v>35</v>
      </c>
      <c r="M13" s="5"/>
      <c r="O13" s="6"/>
    </row>
    <row r="14" spans="2:15" x14ac:dyDescent="0.35">
      <c r="F14" t="s">
        <v>36</v>
      </c>
      <c r="K14">
        <v>3</v>
      </c>
      <c r="L14" t="s">
        <v>37</v>
      </c>
      <c r="M14" s="5" t="s">
        <v>21</v>
      </c>
      <c r="N14" t="s">
        <v>3</v>
      </c>
      <c r="O14" s="6"/>
    </row>
    <row r="15" spans="2:15" x14ac:dyDescent="0.35">
      <c r="M15" s="5" t="s">
        <v>38</v>
      </c>
      <c r="O15" s="6" t="s">
        <v>3</v>
      </c>
    </row>
    <row r="16" spans="2:15" x14ac:dyDescent="0.35">
      <c r="M16" s="5" t="s">
        <v>39</v>
      </c>
      <c r="O16" s="6"/>
    </row>
    <row r="17" spans="11:15" x14ac:dyDescent="0.35">
      <c r="M17" s="5"/>
      <c r="O17" s="6"/>
    </row>
    <row r="18" spans="11:15" x14ac:dyDescent="0.35">
      <c r="K18">
        <v>4</v>
      </c>
      <c r="L18" t="s">
        <v>40</v>
      </c>
      <c r="M18" s="5" t="s">
        <v>41</v>
      </c>
      <c r="N18" t="s">
        <v>3</v>
      </c>
      <c r="O18" s="6"/>
    </row>
    <row r="19" spans="11:15" x14ac:dyDescent="0.35">
      <c r="M19" s="5" t="s">
        <v>42</v>
      </c>
      <c r="O19" s="6" t="s">
        <v>3</v>
      </c>
    </row>
    <row r="20" spans="11:15" ht="15" thickBot="1" x14ac:dyDescent="0.4">
      <c r="M20" s="7" t="s">
        <v>43</v>
      </c>
      <c r="N20" s="8"/>
      <c r="O20" s="9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E2A4-4D11-49C6-ABB6-8EC084802FB4}">
  <dimension ref="A1:W115"/>
  <sheetViews>
    <sheetView topLeftCell="B33" zoomScale="177" zoomScaleNormal="100" workbookViewId="0">
      <selection activeCell="C40" sqref="C40:E45"/>
    </sheetView>
  </sheetViews>
  <sheetFormatPr defaultRowHeight="14.5" x14ac:dyDescent="0.35"/>
  <cols>
    <col min="1" max="1" width="11.6328125" customWidth="1"/>
    <col min="2" max="2" width="18.1796875" customWidth="1"/>
    <col min="3" max="3" width="50.36328125" customWidth="1"/>
    <col min="4" max="4" width="13.453125" customWidth="1"/>
    <col min="5" max="5" width="13.1796875" customWidth="1"/>
    <col min="6" max="6" width="13.81640625" customWidth="1"/>
    <col min="7" max="7" width="10" customWidth="1"/>
    <col min="8" max="8" width="23.08984375" customWidth="1"/>
    <col min="9" max="9" width="13.54296875" customWidth="1"/>
    <col min="10" max="10" width="8.7265625" customWidth="1"/>
    <col min="11" max="11" width="9.6328125" customWidth="1"/>
    <col min="12" max="12" width="8.7265625" customWidth="1"/>
    <col min="14" max="14" width="15.54296875" customWidth="1"/>
  </cols>
  <sheetData>
    <row r="1" spans="1:15" x14ac:dyDescent="0.35">
      <c r="D1" s="15"/>
    </row>
    <row r="2" spans="1:15" x14ac:dyDescent="0.35">
      <c r="J2" t="s">
        <v>44</v>
      </c>
      <c r="K2" t="s">
        <v>45</v>
      </c>
      <c r="L2" t="s">
        <v>46</v>
      </c>
      <c r="N2" t="s">
        <v>47</v>
      </c>
      <c r="O2" t="s">
        <v>48</v>
      </c>
    </row>
    <row r="4" spans="1:15" x14ac:dyDescent="0.35">
      <c r="A4" t="s">
        <v>49</v>
      </c>
      <c r="B4" s="10" t="s">
        <v>50</v>
      </c>
    </row>
    <row r="7" spans="1:15" x14ac:dyDescent="0.35">
      <c r="B7" t="s">
        <v>51</v>
      </c>
    </row>
    <row r="8" spans="1:15" x14ac:dyDescent="0.35">
      <c r="A8" t="s">
        <v>52</v>
      </c>
      <c r="B8" s="16" t="s">
        <v>53</v>
      </c>
    </row>
    <row r="9" spans="1:15" x14ac:dyDescent="0.35">
      <c r="B9" s="16" t="s">
        <v>54</v>
      </c>
    </row>
    <row r="10" spans="1:15" x14ac:dyDescent="0.35">
      <c r="B10" s="16" t="s">
        <v>55</v>
      </c>
    </row>
    <row r="14" spans="1:15" x14ac:dyDescent="0.35">
      <c r="B14" t="s">
        <v>50</v>
      </c>
    </row>
    <row r="15" spans="1:15" x14ac:dyDescent="0.35">
      <c r="B15" t="s">
        <v>56</v>
      </c>
      <c r="C15" t="s">
        <v>57</v>
      </c>
    </row>
    <row r="19" spans="1:11" x14ac:dyDescent="0.35">
      <c r="B19" t="s">
        <v>58</v>
      </c>
      <c r="C19" t="s">
        <v>59</v>
      </c>
    </row>
    <row r="21" spans="1:11" x14ac:dyDescent="0.35">
      <c r="B21" t="s">
        <v>60</v>
      </c>
    </row>
    <row r="22" spans="1:11" x14ac:dyDescent="0.35">
      <c r="B22" s="16" t="s">
        <v>61</v>
      </c>
      <c r="C22" t="s">
        <v>62</v>
      </c>
    </row>
    <row r="23" spans="1:11" x14ac:dyDescent="0.35">
      <c r="B23" s="16" t="s">
        <v>63</v>
      </c>
      <c r="C23" t="s">
        <v>64</v>
      </c>
      <c r="E23" s="16" t="s">
        <v>65</v>
      </c>
      <c r="F23" s="16" t="s">
        <v>66</v>
      </c>
    </row>
    <row r="24" spans="1:11" x14ac:dyDescent="0.35">
      <c r="C24" t="s">
        <v>67</v>
      </c>
      <c r="D24" t="s">
        <v>68</v>
      </c>
      <c r="E24" s="16" t="s">
        <v>69</v>
      </c>
      <c r="F24" s="16" t="s">
        <v>70</v>
      </c>
    </row>
    <row r="25" spans="1:11" x14ac:dyDescent="0.35">
      <c r="E25" s="16" t="s">
        <v>71</v>
      </c>
      <c r="F25" s="16" t="s">
        <v>72</v>
      </c>
    </row>
    <row r="26" spans="1:11" x14ac:dyDescent="0.35">
      <c r="A26" s="10"/>
      <c r="B26" s="10"/>
      <c r="C26" s="10"/>
      <c r="D26" s="10"/>
      <c r="E26" s="17"/>
      <c r="F26" s="17"/>
      <c r="G26" s="10"/>
    </row>
    <row r="27" spans="1:11" ht="18.5" x14ac:dyDescent="0.45">
      <c r="B27" s="18" t="s">
        <v>61</v>
      </c>
    </row>
    <row r="28" spans="1:11" ht="29.5" thickBot="1" x14ac:dyDescent="0.4">
      <c r="B28" s="19" t="s">
        <v>73</v>
      </c>
      <c r="C28" s="20" t="s">
        <v>74</v>
      </c>
      <c r="G28" t="s">
        <v>75</v>
      </c>
      <c r="I28" t="s">
        <v>76</v>
      </c>
      <c r="J28" t="s">
        <v>46</v>
      </c>
      <c r="K28" t="s">
        <v>48</v>
      </c>
    </row>
    <row r="29" spans="1:11" x14ac:dyDescent="0.35">
      <c r="D29" s="2"/>
      <c r="E29" s="21" t="s">
        <v>77</v>
      </c>
      <c r="G29" t="s">
        <v>55</v>
      </c>
      <c r="H29" s="22" t="s">
        <v>50</v>
      </c>
      <c r="K29" t="s">
        <v>78</v>
      </c>
    </row>
    <row r="30" spans="1:11" x14ac:dyDescent="0.35">
      <c r="D30" s="5" t="s">
        <v>79</v>
      </c>
      <c r="E30" s="23">
        <v>40000</v>
      </c>
      <c r="G30">
        <v>-40000</v>
      </c>
      <c r="H30" s="22">
        <v>40000</v>
      </c>
    </row>
    <row r="31" spans="1:11" x14ac:dyDescent="0.35">
      <c r="D31" s="5" t="s">
        <v>80</v>
      </c>
      <c r="E31" s="6">
        <v>2000</v>
      </c>
      <c r="G31">
        <v>-2000</v>
      </c>
      <c r="H31" s="22">
        <v>2000</v>
      </c>
    </row>
    <row r="32" spans="1:11" x14ac:dyDescent="0.35">
      <c r="D32" s="5" t="s">
        <v>81</v>
      </c>
      <c r="E32" s="6">
        <v>600</v>
      </c>
      <c r="G32">
        <f>E32*-1</f>
        <v>-600</v>
      </c>
      <c r="H32" s="22">
        <f>E32</f>
        <v>600</v>
      </c>
    </row>
    <row r="33" spans="2:10" x14ac:dyDescent="0.35">
      <c r="D33" s="5" t="s">
        <v>82</v>
      </c>
      <c r="E33" s="6">
        <v>400</v>
      </c>
      <c r="G33">
        <f>E33*-1</f>
        <v>-400</v>
      </c>
      <c r="H33" s="22">
        <f>E33</f>
        <v>400</v>
      </c>
    </row>
    <row r="34" spans="2:10" ht="15" thickBot="1" x14ac:dyDescent="0.4">
      <c r="D34" s="7" t="s">
        <v>73</v>
      </c>
      <c r="E34" s="24">
        <f>SUM(E30:E33)</f>
        <v>43000</v>
      </c>
    </row>
    <row r="35" spans="2:10" x14ac:dyDescent="0.35">
      <c r="E35" s="25"/>
    </row>
    <row r="36" spans="2:10" x14ac:dyDescent="0.35">
      <c r="B36" t="s">
        <v>83</v>
      </c>
      <c r="E36" s="25"/>
    </row>
    <row r="37" spans="2:10" x14ac:dyDescent="0.35">
      <c r="B37">
        <v>1</v>
      </c>
      <c r="C37" t="s">
        <v>84</v>
      </c>
      <c r="E37" s="25"/>
    </row>
    <row r="38" spans="2:10" x14ac:dyDescent="0.35">
      <c r="B38">
        <v>2</v>
      </c>
      <c r="C38" t="s">
        <v>85</v>
      </c>
      <c r="J38">
        <v>365</v>
      </c>
    </row>
    <row r="39" spans="2:10" x14ac:dyDescent="0.35">
      <c r="J39">
        <v>24</v>
      </c>
    </row>
    <row r="40" spans="2:10" x14ac:dyDescent="0.35">
      <c r="C40" t="s">
        <v>86</v>
      </c>
      <c r="D40" s="16" t="s">
        <v>3</v>
      </c>
      <c r="J40">
        <f>J38*J39</f>
        <v>8760</v>
      </c>
    </row>
    <row r="41" spans="2:10" x14ac:dyDescent="0.35">
      <c r="C41" t="s">
        <v>87</v>
      </c>
      <c r="D41" s="25">
        <f>E34</f>
        <v>43000</v>
      </c>
      <c r="E41" t="s">
        <v>88</v>
      </c>
    </row>
    <row r="42" spans="2:10" x14ac:dyDescent="0.35">
      <c r="C42" t="s">
        <v>89</v>
      </c>
      <c r="D42">
        <v>3000</v>
      </c>
      <c r="E42" t="s">
        <v>90</v>
      </c>
    </row>
    <row r="43" spans="2:10" x14ac:dyDescent="0.35">
      <c r="B43" s="16" t="s">
        <v>91</v>
      </c>
      <c r="C43" t="s">
        <v>92</v>
      </c>
      <c r="D43" s="26">
        <f>D41-D42</f>
        <v>40000</v>
      </c>
      <c r="E43" t="s">
        <v>93</v>
      </c>
    </row>
    <row r="44" spans="2:10" x14ac:dyDescent="0.35">
      <c r="C44" t="s">
        <v>94</v>
      </c>
      <c r="D44" s="27">
        <v>4</v>
      </c>
    </row>
    <row r="45" spans="2:10" x14ac:dyDescent="0.35">
      <c r="C45" t="s">
        <v>95</v>
      </c>
      <c r="D45" s="25">
        <v>10000</v>
      </c>
      <c r="E45" t="s">
        <v>96</v>
      </c>
      <c r="F45" t="s">
        <v>97</v>
      </c>
      <c r="G45" t="s">
        <v>98</v>
      </c>
    </row>
    <row r="46" spans="2:10" x14ac:dyDescent="0.35">
      <c r="G46" t="s">
        <v>99</v>
      </c>
    </row>
    <row r="47" spans="2:10" x14ac:dyDescent="0.35">
      <c r="B47" t="s">
        <v>100</v>
      </c>
      <c r="C47" t="s">
        <v>101</v>
      </c>
    </row>
    <row r="48" spans="2:10" x14ac:dyDescent="0.35">
      <c r="C48" t="s">
        <v>102</v>
      </c>
    </row>
    <row r="50" spans="2:12" x14ac:dyDescent="0.35">
      <c r="B50" s="10" t="s">
        <v>103</v>
      </c>
      <c r="C50" s="10" t="s">
        <v>104</v>
      </c>
      <c r="D50" t="s">
        <v>105</v>
      </c>
    </row>
    <row r="52" spans="2:12" x14ac:dyDescent="0.35">
      <c r="B52" s="16" t="s">
        <v>106</v>
      </c>
      <c r="C52" t="s">
        <v>107</v>
      </c>
      <c r="D52" t="s">
        <v>108</v>
      </c>
    </row>
    <row r="53" spans="2:12" x14ac:dyDescent="0.35">
      <c r="B53">
        <v>1</v>
      </c>
      <c r="C53" t="s">
        <v>109</v>
      </c>
      <c r="D53" t="s">
        <v>110</v>
      </c>
      <c r="H53" t="s">
        <v>111</v>
      </c>
    </row>
    <row r="54" spans="2:12" x14ac:dyDescent="0.35">
      <c r="B54">
        <v>2</v>
      </c>
      <c r="C54" t="s">
        <v>112</v>
      </c>
      <c r="D54" t="s">
        <v>113</v>
      </c>
      <c r="H54" t="s">
        <v>114</v>
      </c>
      <c r="I54" t="s">
        <v>115</v>
      </c>
    </row>
    <row r="55" spans="2:12" x14ac:dyDescent="0.35">
      <c r="B55">
        <v>3</v>
      </c>
      <c r="C55" t="s">
        <v>116</v>
      </c>
      <c r="D55" t="s">
        <v>117</v>
      </c>
      <c r="F55" t="s">
        <v>118</v>
      </c>
      <c r="G55" s="28"/>
    </row>
    <row r="56" spans="2:12" x14ac:dyDescent="0.35">
      <c r="B56">
        <v>4</v>
      </c>
      <c r="C56" t="s">
        <v>119</v>
      </c>
      <c r="D56" t="s">
        <v>120</v>
      </c>
      <c r="E56" t="s">
        <v>121</v>
      </c>
      <c r="G56" t="s">
        <v>97</v>
      </c>
      <c r="H56" t="s">
        <v>98</v>
      </c>
    </row>
    <row r="58" spans="2:12" ht="15" thickBot="1" x14ac:dyDescent="0.4">
      <c r="I58" t="s">
        <v>122</v>
      </c>
    </row>
    <row r="59" spans="2:12" x14ac:dyDescent="0.35">
      <c r="C59" s="2"/>
      <c r="D59" s="3" t="s">
        <v>123</v>
      </c>
      <c r="E59" s="3" t="s">
        <v>124</v>
      </c>
      <c r="F59" s="29" t="s">
        <v>125</v>
      </c>
      <c r="G59" s="4" t="s">
        <v>126</v>
      </c>
      <c r="H59" s="30"/>
      <c r="I59" s="2" t="s">
        <v>127</v>
      </c>
      <c r="J59" s="3"/>
      <c r="K59" s="3"/>
      <c r="L59" s="4"/>
    </row>
    <row r="60" spans="2:12" x14ac:dyDescent="0.35">
      <c r="C60" s="5" t="s">
        <v>128</v>
      </c>
      <c r="D60" s="16" t="s">
        <v>3</v>
      </c>
      <c r="E60" s="16" t="s">
        <v>3</v>
      </c>
      <c r="F60" s="31" t="s">
        <v>3</v>
      </c>
      <c r="G60" s="32" t="s">
        <v>3</v>
      </c>
      <c r="H60" s="30"/>
      <c r="I60" s="33" t="s">
        <v>129</v>
      </c>
      <c r="K60" s="16" t="s">
        <v>130</v>
      </c>
      <c r="L60" s="6" t="s">
        <v>131</v>
      </c>
    </row>
    <row r="61" spans="2:12" x14ac:dyDescent="0.35">
      <c r="C61" s="5">
        <v>1</v>
      </c>
      <c r="D61" s="34">
        <f>D43/D44</f>
        <v>10000</v>
      </c>
      <c r="E61" s="35">
        <f>F75</f>
        <v>20855</v>
      </c>
      <c r="F61" s="35">
        <f>F88</f>
        <v>16000</v>
      </c>
      <c r="G61" s="36">
        <f>F97</f>
        <v>8800</v>
      </c>
      <c r="H61" s="30"/>
      <c r="I61" s="5" t="s">
        <v>132</v>
      </c>
      <c r="J61" s="25">
        <v>10000</v>
      </c>
      <c r="K61" t="s">
        <v>133</v>
      </c>
      <c r="L61" s="6">
        <v>2500</v>
      </c>
    </row>
    <row r="62" spans="2:12" x14ac:dyDescent="0.35">
      <c r="C62" s="5">
        <v>2</v>
      </c>
      <c r="D62" s="34">
        <f>D61</f>
        <v>10000</v>
      </c>
      <c r="E62" s="35">
        <f>F77</f>
        <v>10740.324999999999</v>
      </c>
      <c r="F62" s="35">
        <f>F89</f>
        <v>12000</v>
      </c>
      <c r="G62" s="36">
        <f>F98</f>
        <v>10240</v>
      </c>
      <c r="H62" s="30"/>
      <c r="I62" s="5" t="s">
        <v>134</v>
      </c>
      <c r="J62" s="25">
        <v>10000</v>
      </c>
      <c r="K62" t="s">
        <v>135</v>
      </c>
      <c r="L62" s="6">
        <v>10000</v>
      </c>
    </row>
    <row r="63" spans="2:12" x14ac:dyDescent="0.35">
      <c r="C63" s="5">
        <v>3</v>
      </c>
      <c r="D63" s="34">
        <f t="shared" ref="D63:D64" si="0">D62</f>
        <v>10000</v>
      </c>
      <c r="E63" s="35">
        <f>F79</f>
        <v>5531.2673750000004</v>
      </c>
      <c r="F63" s="35">
        <f>F90</f>
        <v>8000</v>
      </c>
      <c r="G63" s="36">
        <f>F99</f>
        <v>11120</v>
      </c>
      <c r="H63" s="30"/>
      <c r="I63" s="5" t="s">
        <v>136</v>
      </c>
      <c r="J63" s="25">
        <v>10000</v>
      </c>
      <c r="K63" t="s">
        <v>135</v>
      </c>
      <c r="L63" s="6">
        <v>10000</v>
      </c>
    </row>
    <row r="64" spans="2:12" x14ac:dyDescent="0.35">
      <c r="C64" s="5">
        <v>4</v>
      </c>
      <c r="D64" s="34">
        <f t="shared" si="0"/>
        <v>10000</v>
      </c>
      <c r="E64" s="35">
        <f>F81</f>
        <v>2848.6026981250002</v>
      </c>
      <c r="F64" s="35">
        <f>F91</f>
        <v>4000</v>
      </c>
      <c r="G64" s="36">
        <f>F100</f>
        <v>9840</v>
      </c>
      <c r="H64" s="30"/>
      <c r="I64" s="5" t="s">
        <v>137</v>
      </c>
      <c r="J64" s="25">
        <v>10000</v>
      </c>
      <c r="K64" t="s">
        <v>135</v>
      </c>
      <c r="L64" s="6">
        <v>10000</v>
      </c>
    </row>
    <row r="65" spans="2:23" ht="15" thickBot="1" x14ac:dyDescent="0.4">
      <c r="C65" s="5">
        <v>4</v>
      </c>
      <c r="D65" s="34"/>
      <c r="E65" s="35">
        <v>25</v>
      </c>
      <c r="F65" s="35"/>
      <c r="G65" s="36"/>
      <c r="H65" s="30"/>
      <c r="I65" s="7" t="s">
        <v>138</v>
      </c>
      <c r="J65" s="37">
        <v>10000</v>
      </c>
      <c r="K65" s="8" t="s">
        <v>139</v>
      </c>
      <c r="L65" s="9">
        <v>7500</v>
      </c>
    </row>
    <row r="66" spans="2:23" ht="15" thickBot="1" x14ac:dyDescent="0.4">
      <c r="C66" s="7" t="s">
        <v>131</v>
      </c>
      <c r="D66" s="38">
        <f>SUM(D61:D65)</f>
        <v>40000</v>
      </c>
      <c r="E66" s="38">
        <f t="shared" ref="E66:G66" si="1">SUM(E61:E65)</f>
        <v>40000.195073125004</v>
      </c>
      <c r="F66" s="38">
        <f t="shared" si="1"/>
        <v>40000</v>
      </c>
      <c r="G66" s="39">
        <f t="shared" si="1"/>
        <v>40000</v>
      </c>
      <c r="H66" s="30"/>
      <c r="I66" s="5" t="s">
        <v>131</v>
      </c>
      <c r="L66">
        <f>SUM(L61:L65)</f>
        <v>40000</v>
      </c>
    </row>
    <row r="68" spans="2:23" x14ac:dyDescent="0.35">
      <c r="B68">
        <v>1</v>
      </c>
      <c r="C68" t="s">
        <v>109</v>
      </c>
    </row>
    <row r="69" spans="2:23" x14ac:dyDescent="0.35">
      <c r="C69" t="s">
        <v>140</v>
      </c>
      <c r="E69" t="s">
        <v>141</v>
      </c>
      <c r="G69" s="25">
        <v>10000</v>
      </c>
    </row>
    <row r="70" spans="2:23" x14ac:dyDescent="0.35">
      <c r="C70" t="s">
        <v>142</v>
      </c>
      <c r="F70" t="s">
        <v>143</v>
      </c>
    </row>
    <row r="71" spans="2:23" ht="15" thickBot="1" x14ac:dyDescent="0.4"/>
    <row r="72" spans="2:23" ht="15" thickBot="1" x14ac:dyDescent="0.4">
      <c r="C72" s="2" t="s">
        <v>112</v>
      </c>
      <c r="D72" s="3"/>
      <c r="E72" s="3"/>
      <c r="F72" s="3"/>
      <c r="G72" s="40" t="s">
        <v>144</v>
      </c>
      <c r="H72" t="s">
        <v>145</v>
      </c>
      <c r="I72" t="s">
        <v>128</v>
      </c>
      <c r="N72" s="2" t="s">
        <v>112</v>
      </c>
      <c r="O72" s="3"/>
      <c r="P72" s="3"/>
      <c r="Q72" s="3"/>
      <c r="R72" s="3"/>
      <c r="S72" s="3"/>
      <c r="T72" s="3"/>
      <c r="U72" s="3"/>
      <c r="V72" s="3"/>
      <c r="W72" s="4"/>
    </row>
    <row r="73" spans="2:23" ht="15" thickBot="1" x14ac:dyDescent="0.4">
      <c r="C73" s="5"/>
      <c r="D73" t="s">
        <v>128</v>
      </c>
      <c r="F73" s="16" t="s">
        <v>3</v>
      </c>
      <c r="G73" s="41" t="s">
        <v>3</v>
      </c>
      <c r="H73" s="2"/>
      <c r="I73" s="3">
        <v>1</v>
      </c>
      <c r="J73" s="3">
        <v>2</v>
      </c>
      <c r="K73" s="3">
        <v>3</v>
      </c>
      <c r="L73" s="4">
        <v>4</v>
      </c>
      <c r="N73" s="5"/>
      <c r="O73" t="s">
        <v>128</v>
      </c>
      <c r="W73" s="6"/>
    </row>
    <row r="74" spans="2:23" x14ac:dyDescent="0.35">
      <c r="C74" s="42"/>
      <c r="D74" s="30" t="s">
        <v>73</v>
      </c>
      <c r="E74" s="30"/>
      <c r="F74" s="43">
        <f>D41</f>
        <v>43000</v>
      </c>
      <c r="G74" s="41"/>
      <c r="H74" s="5" t="s">
        <v>146</v>
      </c>
      <c r="I74" s="25">
        <f>F74</f>
        <v>43000</v>
      </c>
      <c r="J74" s="25">
        <f>I74</f>
        <v>43000</v>
      </c>
      <c r="K74" s="25">
        <f t="shared" ref="K74:L74" si="2">J74</f>
        <v>43000</v>
      </c>
      <c r="L74" s="23">
        <f t="shared" si="2"/>
        <v>43000</v>
      </c>
      <c r="M74" s="25"/>
      <c r="N74" s="5"/>
      <c r="O74">
        <v>0</v>
      </c>
      <c r="Q74" s="3">
        <v>1</v>
      </c>
      <c r="S74" s="3">
        <v>2</v>
      </c>
      <c r="U74" s="3">
        <v>3</v>
      </c>
      <c r="W74" s="4">
        <v>4</v>
      </c>
    </row>
    <row r="75" spans="2:23" x14ac:dyDescent="0.35">
      <c r="B75" t="s">
        <v>147</v>
      </c>
      <c r="C75" s="5"/>
      <c r="D75" t="s">
        <v>148</v>
      </c>
      <c r="E75" s="44">
        <v>0.48499999999999999</v>
      </c>
      <c r="F75" s="43">
        <f>F74*E75</f>
        <v>20855</v>
      </c>
      <c r="G75" s="45">
        <f>F75</f>
        <v>20855</v>
      </c>
      <c r="H75" s="5" t="s">
        <v>149</v>
      </c>
      <c r="I75" s="25">
        <f>F75</f>
        <v>20855</v>
      </c>
      <c r="J75" s="25">
        <f>(F75+F77)</f>
        <v>31595.324999999997</v>
      </c>
      <c r="K75" s="25">
        <f>J75+F79</f>
        <v>37126.592375</v>
      </c>
      <c r="L75" s="23">
        <f>K75+F83</f>
        <v>40126.397301875004</v>
      </c>
      <c r="M75" s="25"/>
      <c r="N75" s="5" t="s">
        <v>150</v>
      </c>
      <c r="O75" s="46">
        <f>I74</f>
        <v>43000</v>
      </c>
      <c r="Q75" s="25">
        <f>O75-P77</f>
        <v>22145</v>
      </c>
      <c r="S75" s="25">
        <f>Q75-R77</f>
        <v>11404.675000000001</v>
      </c>
      <c r="U75" s="25">
        <f>S75-T77</f>
        <v>5873.4076250000007</v>
      </c>
      <c r="W75" s="23">
        <f>U75-V77</f>
        <v>3024.8049268750005</v>
      </c>
    </row>
    <row r="76" spans="2:23" ht="15" thickBot="1" x14ac:dyDescent="0.4">
      <c r="B76" t="s">
        <v>151</v>
      </c>
      <c r="C76" s="5" t="s">
        <v>152</v>
      </c>
      <c r="D76" t="s">
        <v>153</v>
      </c>
      <c r="E76" s="44"/>
      <c r="F76" s="47">
        <f>F74-F75</f>
        <v>22145</v>
      </c>
      <c r="G76" s="41"/>
      <c r="H76" s="7" t="s">
        <v>154</v>
      </c>
      <c r="I76" s="37">
        <f>I74-I75</f>
        <v>22145</v>
      </c>
      <c r="J76" s="37">
        <f>F78</f>
        <v>11404.675000000001</v>
      </c>
      <c r="K76" s="37">
        <f>F80</f>
        <v>5873.4076250000007</v>
      </c>
      <c r="L76" s="9">
        <f>F84</f>
        <v>3000</v>
      </c>
      <c r="N76" s="48" t="s">
        <v>155</v>
      </c>
      <c r="O76" s="49"/>
      <c r="P76" s="50">
        <v>0.48499999999999999</v>
      </c>
      <c r="Q76" s="49"/>
      <c r="R76" s="50">
        <v>0.48499999999999999</v>
      </c>
      <c r="S76" s="49"/>
      <c r="T76" s="50">
        <v>0.48499999999999999</v>
      </c>
      <c r="U76" s="49"/>
      <c r="V76" s="50">
        <v>0.48499999999999999</v>
      </c>
      <c r="W76" s="6"/>
    </row>
    <row r="77" spans="2:23" x14ac:dyDescent="0.35">
      <c r="B77" t="s">
        <v>147</v>
      </c>
      <c r="C77" s="5"/>
      <c r="D77" t="s">
        <v>156</v>
      </c>
      <c r="E77" s="44">
        <v>0.48499999999999999</v>
      </c>
      <c r="F77" s="43">
        <f>F76*E77</f>
        <v>10740.324999999999</v>
      </c>
      <c r="G77" s="45">
        <f>+G75+F77</f>
        <v>31595.324999999997</v>
      </c>
      <c r="N77" s="5" t="s">
        <v>157</v>
      </c>
      <c r="P77">
        <f>O75*P76</f>
        <v>20855</v>
      </c>
      <c r="R77" s="51">
        <f>Q75*R76</f>
        <v>10740.324999999999</v>
      </c>
      <c r="S77" s="51"/>
      <c r="T77" s="51">
        <f>S75*T76</f>
        <v>5531.2673750000004</v>
      </c>
      <c r="U77" s="51"/>
      <c r="V77" s="51">
        <f>U75*V76</f>
        <v>2848.6026981250002</v>
      </c>
      <c r="W77" s="6"/>
    </row>
    <row r="78" spans="2:23" ht="15" thickBot="1" x14ac:dyDescent="0.4">
      <c r="B78" t="s">
        <v>151</v>
      </c>
      <c r="C78" s="5" t="s">
        <v>152</v>
      </c>
      <c r="D78" t="s">
        <v>153</v>
      </c>
      <c r="E78" s="44"/>
      <c r="F78" s="47">
        <f>F76-F77</f>
        <v>11404.675000000001</v>
      </c>
      <c r="G78" s="41"/>
      <c r="N78" s="7"/>
      <c r="O78" s="8"/>
      <c r="P78" s="8"/>
      <c r="Q78" s="8"/>
      <c r="R78" s="8"/>
      <c r="S78" s="8"/>
      <c r="T78" s="8"/>
      <c r="U78" s="8"/>
      <c r="V78" s="8">
        <v>25</v>
      </c>
      <c r="W78" s="52">
        <f>W75-V78</f>
        <v>2999.8049268750005</v>
      </c>
    </row>
    <row r="79" spans="2:23" ht="15" thickBot="1" x14ac:dyDescent="0.4">
      <c r="B79" t="s">
        <v>147</v>
      </c>
      <c r="C79" s="5"/>
      <c r="D79" t="s">
        <v>158</v>
      </c>
      <c r="E79" s="44">
        <v>0.48499999999999999</v>
      </c>
      <c r="F79" s="43">
        <f>F78*E79</f>
        <v>5531.2673750000004</v>
      </c>
      <c r="G79" s="45">
        <f>+G77+F79</f>
        <v>37126.592375</v>
      </c>
      <c r="H79" s="53" t="s">
        <v>154</v>
      </c>
      <c r="I79" s="54">
        <v>22145</v>
      </c>
      <c r="J79" s="54">
        <v>11404.675000000001</v>
      </c>
      <c r="K79" s="54">
        <v>5873.4076250000007</v>
      </c>
      <c r="L79" s="55">
        <v>3000</v>
      </c>
    </row>
    <row r="80" spans="2:23" x14ac:dyDescent="0.35">
      <c r="B80" t="s">
        <v>151</v>
      </c>
      <c r="C80" s="5" t="s">
        <v>152</v>
      </c>
      <c r="D80" t="s">
        <v>153</v>
      </c>
      <c r="E80" s="44"/>
      <c r="F80" s="47">
        <f>F78-F79</f>
        <v>5873.4076250000007</v>
      </c>
      <c r="G80" s="41"/>
    </row>
    <row r="81" spans="2:10" x14ac:dyDescent="0.35">
      <c r="B81" t="s">
        <v>147</v>
      </c>
      <c r="C81" s="5"/>
      <c r="D81" t="s">
        <v>159</v>
      </c>
      <c r="E81" s="44">
        <v>0.48499999999999999</v>
      </c>
      <c r="F81" s="43">
        <f>F80*E81</f>
        <v>2848.6026981250002</v>
      </c>
      <c r="G81" s="45">
        <f>+G79+F81+F82</f>
        <v>40000.195073125004</v>
      </c>
    </row>
    <row r="82" spans="2:10" x14ac:dyDescent="0.35">
      <c r="B82" t="s">
        <v>147</v>
      </c>
      <c r="C82" s="42"/>
      <c r="D82" t="s">
        <v>160</v>
      </c>
      <c r="E82" s="44"/>
      <c r="F82" s="43">
        <v>25</v>
      </c>
      <c r="G82" s="56"/>
    </row>
    <row r="83" spans="2:10" x14ac:dyDescent="0.35">
      <c r="B83" t="s">
        <v>151</v>
      </c>
      <c r="C83" s="5" t="s">
        <v>152</v>
      </c>
      <c r="D83" s="30" t="s">
        <v>153</v>
      </c>
      <c r="E83" s="30"/>
      <c r="F83" s="43">
        <f>F80-F81-F82</f>
        <v>2999.8049268750005</v>
      </c>
      <c r="G83" s="56"/>
    </row>
    <row r="84" spans="2:10" ht="15" thickBot="1" x14ac:dyDescent="0.4">
      <c r="C84" s="7" t="s">
        <v>89</v>
      </c>
      <c r="D84" s="57"/>
      <c r="E84" s="57"/>
      <c r="F84" s="58">
        <v>3000</v>
      </c>
      <c r="G84" s="59"/>
    </row>
    <row r="85" spans="2:10" ht="15" thickBot="1" x14ac:dyDescent="0.4">
      <c r="F85" s="25"/>
    </row>
    <row r="86" spans="2:10" x14ac:dyDescent="0.35">
      <c r="C86" t="s">
        <v>116</v>
      </c>
      <c r="D86" s="3"/>
      <c r="E86" s="3"/>
      <c r="F86" s="3" t="s">
        <v>161</v>
      </c>
      <c r="G86" s="4"/>
    </row>
    <row r="87" spans="2:10" x14ac:dyDescent="0.35">
      <c r="C87" s="5"/>
      <c r="D87" t="s">
        <v>128</v>
      </c>
      <c r="E87" t="s">
        <v>162</v>
      </c>
      <c r="F87" s="16" t="s">
        <v>3</v>
      </c>
      <c r="G87" s="6"/>
    </row>
    <row r="88" spans="2:10" x14ac:dyDescent="0.35">
      <c r="C88" s="5"/>
      <c r="D88">
        <v>1</v>
      </c>
      <c r="E88" s="60" t="s">
        <v>163</v>
      </c>
      <c r="F88" s="61">
        <f>F92*4/10</f>
        <v>16000</v>
      </c>
      <c r="G88" s="6"/>
      <c r="J88" s="62"/>
    </row>
    <row r="89" spans="2:10" x14ac:dyDescent="0.35">
      <c r="C89" s="5"/>
      <c r="D89">
        <v>2</v>
      </c>
      <c r="E89" s="60" t="s">
        <v>164</v>
      </c>
      <c r="F89" s="61">
        <f>F92*3/10</f>
        <v>12000</v>
      </c>
      <c r="G89" s="6"/>
      <c r="J89" s="62"/>
    </row>
    <row r="90" spans="2:10" x14ac:dyDescent="0.35">
      <c r="C90" s="5"/>
      <c r="D90">
        <v>3</v>
      </c>
      <c r="E90" s="60" t="s">
        <v>165</v>
      </c>
      <c r="F90" s="61">
        <f>F92*2/10</f>
        <v>8000</v>
      </c>
      <c r="G90" s="6"/>
      <c r="J90" s="62"/>
    </row>
    <row r="91" spans="2:10" x14ac:dyDescent="0.35">
      <c r="C91" s="5"/>
      <c r="D91">
        <v>4</v>
      </c>
      <c r="E91" s="60" t="s">
        <v>166</v>
      </c>
      <c r="F91" s="61">
        <f>F92*1/10</f>
        <v>4000</v>
      </c>
      <c r="G91" s="6"/>
    </row>
    <row r="92" spans="2:10" ht="15" thickBot="1" x14ac:dyDescent="0.4">
      <c r="C92" s="63" t="s">
        <v>131</v>
      </c>
      <c r="D92" s="8">
        <f>SUM(D88:D91)</f>
        <v>10</v>
      </c>
      <c r="E92" s="8"/>
      <c r="F92" s="64">
        <v>40000</v>
      </c>
      <c r="G92" s="9"/>
    </row>
    <row r="94" spans="2:10" ht="15" thickBot="1" x14ac:dyDescent="0.4"/>
    <row r="95" spans="2:10" x14ac:dyDescent="0.35">
      <c r="C95" t="s">
        <v>119</v>
      </c>
      <c r="D95" s="3"/>
      <c r="E95" s="3" t="s">
        <v>167</v>
      </c>
      <c r="F95" s="3" t="s">
        <v>168</v>
      </c>
      <c r="G95" s="21"/>
    </row>
    <row r="96" spans="2:10" x14ac:dyDescent="0.35">
      <c r="C96" s="5"/>
      <c r="D96" t="s">
        <v>128</v>
      </c>
      <c r="E96" t="s">
        <v>169</v>
      </c>
      <c r="F96" s="16" t="s">
        <v>3</v>
      </c>
      <c r="G96" s="65"/>
    </row>
    <row r="97" spans="2:14" x14ac:dyDescent="0.35">
      <c r="C97" s="5"/>
      <c r="D97">
        <v>1</v>
      </c>
      <c r="E97">
        <v>2200</v>
      </c>
      <c r="F97" s="51">
        <f>E97*4</f>
        <v>8800</v>
      </c>
      <c r="G97" s="6"/>
    </row>
    <row r="98" spans="2:14" x14ac:dyDescent="0.35">
      <c r="C98" s="5"/>
      <c r="D98">
        <v>2</v>
      </c>
      <c r="E98">
        <v>2560</v>
      </c>
      <c r="F98" s="51">
        <f t="shared" ref="F98:F100" si="3">E98*4</f>
        <v>10240</v>
      </c>
      <c r="G98" s="6"/>
    </row>
    <row r="99" spans="2:14" x14ac:dyDescent="0.35">
      <c r="C99" s="5"/>
      <c r="D99">
        <v>3</v>
      </c>
      <c r="E99">
        <v>2780</v>
      </c>
      <c r="F99" s="51">
        <f t="shared" si="3"/>
        <v>11120</v>
      </c>
      <c r="G99" s="6"/>
    </row>
    <row r="100" spans="2:14" x14ac:dyDescent="0.35">
      <c r="C100" s="5"/>
      <c r="D100">
        <v>4</v>
      </c>
      <c r="E100">
        <v>2460</v>
      </c>
      <c r="F100" s="51">
        <f t="shared" si="3"/>
        <v>9840</v>
      </c>
      <c r="G100" s="6"/>
    </row>
    <row r="101" spans="2:14" ht="15" thickBot="1" x14ac:dyDescent="0.4">
      <c r="C101" s="63" t="s">
        <v>131</v>
      </c>
      <c r="D101" s="8"/>
      <c r="E101" s="66">
        <f>SUM(E97:E100)</f>
        <v>10000</v>
      </c>
      <c r="F101" s="67">
        <v>40000</v>
      </c>
      <c r="G101" s="9"/>
    </row>
    <row r="103" spans="2:14" ht="15" thickBot="1" x14ac:dyDescent="0.4"/>
    <row r="104" spans="2:14" x14ac:dyDescent="0.35">
      <c r="B104" t="s">
        <v>103</v>
      </c>
      <c r="C104" s="68" t="s">
        <v>170</v>
      </c>
      <c r="E104" s="2" t="s">
        <v>50</v>
      </c>
      <c r="F104" s="3"/>
      <c r="G104" s="3" t="s">
        <v>78</v>
      </c>
      <c r="H104" s="4"/>
    </row>
    <row r="105" spans="2:14" x14ac:dyDescent="0.35">
      <c r="C105" s="69" t="s">
        <v>171</v>
      </c>
      <c r="E105" s="5" t="s">
        <v>172</v>
      </c>
      <c r="G105" t="s">
        <v>172</v>
      </c>
      <c r="H105" s="6" t="s">
        <v>161</v>
      </c>
    </row>
    <row r="106" spans="2:14" x14ac:dyDescent="0.35">
      <c r="C106" s="69" t="s">
        <v>173</v>
      </c>
      <c r="E106" s="5" t="s">
        <v>174</v>
      </c>
      <c r="G106" t="s">
        <v>175</v>
      </c>
      <c r="H106" s="6"/>
    </row>
    <row r="107" spans="2:14" ht="15" thickBot="1" x14ac:dyDescent="0.4">
      <c r="C107" s="70" t="s">
        <v>176</v>
      </c>
      <c r="E107" s="7"/>
      <c r="F107" s="8"/>
      <c r="G107" s="8"/>
      <c r="H107" s="9"/>
    </row>
    <row r="108" spans="2:14" ht="15" thickBot="1" x14ac:dyDescent="0.4"/>
    <row r="109" spans="2:14" x14ac:dyDescent="0.35">
      <c r="I109" s="2" t="s">
        <v>75</v>
      </c>
      <c r="J109" s="3"/>
      <c r="K109" s="3"/>
      <c r="L109" s="3" t="s">
        <v>48</v>
      </c>
      <c r="M109" s="3"/>
      <c r="N109" s="4"/>
    </row>
    <row r="110" spans="2:14" x14ac:dyDescent="0.35">
      <c r="D110">
        <v>1</v>
      </c>
      <c r="E110">
        <v>2</v>
      </c>
      <c r="F110">
        <v>3</v>
      </c>
      <c r="G110">
        <v>4</v>
      </c>
      <c r="I110" s="5" t="s">
        <v>177</v>
      </c>
      <c r="J110" t="s">
        <v>50</v>
      </c>
      <c r="L110" t="s">
        <v>78</v>
      </c>
      <c r="N110" s="6"/>
    </row>
    <row r="111" spans="2:14" ht="15" thickBot="1" x14ac:dyDescent="0.4">
      <c r="B111" t="s">
        <v>178</v>
      </c>
      <c r="D111" s="16" t="s">
        <v>3</v>
      </c>
      <c r="E111" s="16" t="s">
        <v>3</v>
      </c>
      <c r="F111" s="16" t="s">
        <v>3</v>
      </c>
      <c r="G111" s="16" t="s">
        <v>3</v>
      </c>
      <c r="I111" s="5"/>
      <c r="N111" s="6"/>
    </row>
    <row r="112" spans="2:14" x14ac:dyDescent="0.35">
      <c r="C112" s="2" t="s">
        <v>179</v>
      </c>
      <c r="D112" s="3">
        <v>3000</v>
      </c>
      <c r="E112" s="3">
        <v>3000</v>
      </c>
      <c r="F112" s="3">
        <v>3000</v>
      </c>
      <c r="G112" s="4">
        <v>3000</v>
      </c>
      <c r="I112" s="5">
        <v>3000</v>
      </c>
      <c r="J112">
        <f>D112*-1</f>
        <v>-3000</v>
      </c>
      <c r="K112" t="s">
        <v>76</v>
      </c>
      <c r="L112">
        <v>0</v>
      </c>
      <c r="N112" s="6"/>
    </row>
    <row r="113" spans="3:14" x14ac:dyDescent="0.35">
      <c r="C113" s="5" t="s">
        <v>180</v>
      </c>
      <c r="D113">
        <f>D114-D112</f>
        <v>0</v>
      </c>
      <c r="E113">
        <f t="shared" ref="E113:G113" si="4">E114-E112</f>
        <v>-3000</v>
      </c>
      <c r="F113">
        <f t="shared" si="4"/>
        <v>200</v>
      </c>
      <c r="G113" s="6">
        <f t="shared" si="4"/>
        <v>-1900</v>
      </c>
      <c r="I113" s="5">
        <v>0</v>
      </c>
      <c r="J113">
        <f>J112</f>
        <v>-3000</v>
      </c>
      <c r="K113" t="s">
        <v>76</v>
      </c>
      <c r="L113">
        <v>-3000</v>
      </c>
      <c r="N113" s="6" t="s">
        <v>181</v>
      </c>
    </row>
    <row r="114" spans="3:14" ht="15" thickBot="1" x14ac:dyDescent="0.4">
      <c r="C114" s="7" t="s">
        <v>182</v>
      </c>
      <c r="D114" s="8">
        <v>3000</v>
      </c>
      <c r="E114" s="8">
        <v>0</v>
      </c>
      <c r="F114" s="8">
        <v>3200</v>
      </c>
      <c r="G114" s="9">
        <v>1100</v>
      </c>
      <c r="I114" s="5">
        <v>3200</v>
      </c>
      <c r="J114">
        <f t="shared" ref="J114:J115" si="5">J113</f>
        <v>-3000</v>
      </c>
      <c r="K114" t="s">
        <v>76</v>
      </c>
      <c r="L114">
        <v>200</v>
      </c>
      <c r="N114" s="6" t="s">
        <v>183</v>
      </c>
    </row>
    <row r="115" spans="3:14" ht="15" thickBot="1" x14ac:dyDescent="0.4">
      <c r="E115" s="16" t="s">
        <v>184</v>
      </c>
      <c r="I115" s="7">
        <v>1100</v>
      </c>
      <c r="J115" s="8">
        <f t="shared" si="5"/>
        <v>-3000</v>
      </c>
      <c r="K115" s="8" t="s">
        <v>76</v>
      </c>
      <c r="L115" s="8">
        <v>-1900</v>
      </c>
      <c r="M115" s="8"/>
      <c r="N115" s="9" t="s">
        <v>185</v>
      </c>
    </row>
  </sheetData>
  <printOptions gridLine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03A5-ECDA-4924-BA5E-9368E679B896}">
  <dimension ref="A9:F14"/>
  <sheetViews>
    <sheetView topLeftCell="A2" zoomScale="316" workbookViewId="0">
      <selection activeCell="D9" sqref="D9"/>
    </sheetView>
  </sheetViews>
  <sheetFormatPr defaultRowHeight="14.5" x14ac:dyDescent="0.35"/>
  <cols>
    <col min="3" max="3" width="10" bestFit="1" customWidth="1"/>
    <col min="5" max="5" width="11" bestFit="1" customWidth="1"/>
    <col min="6" max="6" width="11.81640625" customWidth="1"/>
    <col min="7" max="7" width="12.54296875" bestFit="1" customWidth="1"/>
  </cols>
  <sheetData>
    <row r="9" spans="1:6" ht="15" thickBot="1" x14ac:dyDescent="0.4">
      <c r="F9" s="16" t="s">
        <v>3</v>
      </c>
    </row>
    <row r="10" spans="1:6" x14ac:dyDescent="0.35">
      <c r="A10" s="2" t="s">
        <v>186</v>
      </c>
      <c r="B10" s="73">
        <v>0.5</v>
      </c>
      <c r="C10" s="74">
        <f>C$13*B10</f>
        <v>1075000</v>
      </c>
      <c r="E10" t="s">
        <v>189</v>
      </c>
      <c r="F10" s="34">
        <v>2100000</v>
      </c>
    </row>
    <row r="11" spans="1:6" x14ac:dyDescent="0.35">
      <c r="A11" s="5" t="s">
        <v>187</v>
      </c>
      <c r="B11" s="75">
        <v>0.3</v>
      </c>
      <c r="C11" s="76">
        <f t="shared" ref="C11:C12" si="0">C$13*B11</f>
        <v>645000</v>
      </c>
      <c r="E11" t="s">
        <v>190</v>
      </c>
      <c r="F11" s="34">
        <v>19000</v>
      </c>
    </row>
    <row r="12" spans="1:6" x14ac:dyDescent="0.35">
      <c r="A12" s="5" t="s">
        <v>188</v>
      </c>
      <c r="B12" s="75">
        <v>0.2</v>
      </c>
      <c r="C12" s="76">
        <f t="shared" si="0"/>
        <v>430000</v>
      </c>
      <c r="E12" t="s">
        <v>191</v>
      </c>
      <c r="F12" s="34">
        <v>21000</v>
      </c>
    </row>
    <row r="13" spans="1:6" ht="15" thickBot="1" x14ac:dyDescent="0.4">
      <c r="A13" s="7"/>
      <c r="B13" s="77">
        <f>SUM(B10:B12)</f>
        <v>1</v>
      </c>
      <c r="C13" s="78">
        <f>F14</f>
        <v>2150000</v>
      </c>
      <c r="E13" t="s">
        <v>192</v>
      </c>
      <c r="F13" s="34">
        <v>10000</v>
      </c>
    </row>
    <row r="14" spans="1:6" x14ac:dyDescent="0.35">
      <c r="E14" t="s">
        <v>131</v>
      </c>
      <c r="F14" s="72">
        <f>SUM(F10:F13)</f>
        <v>2150000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1C51-F13F-4D16-B1CA-1C7B32F3D87B}">
  <dimension ref="C9:F24"/>
  <sheetViews>
    <sheetView tabSelected="1" topLeftCell="A2" zoomScale="197" workbookViewId="0">
      <selection activeCell="J17" sqref="J17"/>
    </sheetView>
  </sheetViews>
  <sheetFormatPr defaultRowHeight="14.5" x14ac:dyDescent="0.35"/>
  <cols>
    <col min="2" max="2" width="5.1796875" customWidth="1"/>
    <col min="3" max="3" width="37" bestFit="1" customWidth="1"/>
    <col min="4" max="4" width="10.08984375" bestFit="1" customWidth="1"/>
  </cols>
  <sheetData>
    <row r="9" spans="3:5" x14ac:dyDescent="0.35">
      <c r="C9" t="s">
        <v>86</v>
      </c>
      <c r="D9" s="16" t="s">
        <v>3</v>
      </c>
    </row>
    <row r="10" spans="3:5" x14ac:dyDescent="0.35">
      <c r="C10" t="s">
        <v>87</v>
      </c>
      <c r="D10" s="25">
        <v>46400</v>
      </c>
      <c r="E10" t="s">
        <v>88</v>
      </c>
    </row>
    <row r="11" spans="3:5" x14ac:dyDescent="0.35">
      <c r="C11" t="s">
        <v>89</v>
      </c>
      <c r="D11">
        <v>6400</v>
      </c>
      <c r="E11" t="s">
        <v>90</v>
      </c>
    </row>
    <row r="12" spans="3:5" x14ac:dyDescent="0.35">
      <c r="C12" t="s">
        <v>92</v>
      </c>
      <c r="D12" s="26">
        <f>D10-D11</f>
        <v>40000</v>
      </c>
      <c r="E12" t="s">
        <v>93</v>
      </c>
    </row>
    <row r="13" spans="3:5" x14ac:dyDescent="0.35">
      <c r="C13" t="s">
        <v>94</v>
      </c>
      <c r="D13" s="27">
        <v>4</v>
      </c>
      <c r="E13" t="s">
        <v>193</v>
      </c>
    </row>
    <row r="14" spans="3:5" x14ac:dyDescent="0.35">
      <c r="C14" t="s">
        <v>195</v>
      </c>
      <c r="D14" s="25">
        <v>500000</v>
      </c>
      <c r="E14" t="s">
        <v>194</v>
      </c>
    </row>
    <row r="15" spans="3:5" x14ac:dyDescent="0.35">
      <c r="C15" t="s">
        <v>196</v>
      </c>
      <c r="D15">
        <f>D12/D13</f>
        <v>10000</v>
      </c>
      <c r="E15" t="s">
        <v>197</v>
      </c>
    </row>
    <row r="16" spans="3:5" x14ac:dyDescent="0.35">
      <c r="C16" t="s">
        <v>198</v>
      </c>
      <c r="D16" s="79">
        <f>D12/D14</f>
        <v>0.08</v>
      </c>
      <c r="E16" t="s">
        <v>199</v>
      </c>
    </row>
    <row r="18" spans="3:6" x14ac:dyDescent="0.35">
      <c r="C18" t="s">
        <v>200</v>
      </c>
      <c r="D18" t="s">
        <v>205</v>
      </c>
      <c r="E18" t="s">
        <v>206</v>
      </c>
    </row>
    <row r="19" spans="3:6" x14ac:dyDescent="0.35">
      <c r="D19" t="s">
        <v>3</v>
      </c>
      <c r="E19" t="s">
        <v>3</v>
      </c>
      <c r="F19" t="s">
        <v>167</v>
      </c>
    </row>
    <row r="20" spans="3:6" x14ac:dyDescent="0.35">
      <c r="C20" t="s">
        <v>201</v>
      </c>
      <c r="D20" s="34">
        <v>10000</v>
      </c>
      <c r="E20">
        <f>F20*D$16</f>
        <v>8800</v>
      </c>
      <c r="F20">
        <v>110000</v>
      </c>
    </row>
    <row r="21" spans="3:6" x14ac:dyDescent="0.35">
      <c r="C21" t="s">
        <v>202</v>
      </c>
      <c r="D21" s="34">
        <v>10000</v>
      </c>
      <c r="E21">
        <f t="shared" ref="E21:E23" si="0">F21*D$16</f>
        <v>9200</v>
      </c>
      <c r="F21">
        <v>115000</v>
      </c>
    </row>
    <row r="22" spans="3:6" x14ac:dyDescent="0.35">
      <c r="C22" t="s">
        <v>203</v>
      </c>
      <c r="D22" s="34">
        <v>10000</v>
      </c>
      <c r="E22">
        <f t="shared" si="0"/>
        <v>10160</v>
      </c>
      <c r="F22">
        <v>127000</v>
      </c>
    </row>
    <row r="23" spans="3:6" x14ac:dyDescent="0.35">
      <c r="C23" t="s">
        <v>204</v>
      </c>
      <c r="D23" s="34">
        <v>10000</v>
      </c>
      <c r="E23">
        <f t="shared" si="0"/>
        <v>11840</v>
      </c>
      <c r="F23">
        <v>148000</v>
      </c>
    </row>
    <row r="24" spans="3:6" x14ac:dyDescent="0.35">
      <c r="C24" t="s">
        <v>131</v>
      </c>
      <c r="D24" s="72">
        <f>SUM(D20:D23)</f>
        <v>40000</v>
      </c>
      <c r="E24">
        <f>F24*D$16</f>
        <v>40000</v>
      </c>
      <c r="F24">
        <f>SUM(F20:F23)</f>
        <v>500000</v>
      </c>
    </row>
  </sheetData>
  <phoneticPr fontId="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B16D-6262-4BBD-B8F1-DFD03BF45EE1}">
  <dimension ref="A1:W115"/>
  <sheetViews>
    <sheetView topLeftCell="B33" zoomScale="177" zoomScaleNormal="100" workbookViewId="0">
      <selection activeCell="C57" sqref="C57"/>
    </sheetView>
  </sheetViews>
  <sheetFormatPr defaultRowHeight="14.5" x14ac:dyDescent="0.35"/>
  <cols>
    <col min="1" max="1" width="11.6328125" customWidth="1"/>
    <col min="2" max="2" width="18.1796875" customWidth="1"/>
    <col min="3" max="3" width="50.36328125" customWidth="1"/>
    <col min="4" max="4" width="13.453125" customWidth="1"/>
    <col min="5" max="5" width="13.1796875" customWidth="1"/>
    <col min="6" max="6" width="13.81640625" customWidth="1"/>
    <col min="7" max="7" width="10" customWidth="1"/>
    <col min="8" max="8" width="23.08984375" customWidth="1"/>
    <col min="9" max="9" width="13.54296875" customWidth="1"/>
    <col min="10" max="10" width="8.7265625" customWidth="1"/>
    <col min="11" max="11" width="9.6328125" customWidth="1"/>
    <col min="12" max="12" width="8.7265625" customWidth="1"/>
    <col min="14" max="14" width="15.54296875" customWidth="1"/>
  </cols>
  <sheetData>
    <row r="1" spans="1:15" x14ac:dyDescent="0.35">
      <c r="D1" s="15"/>
    </row>
    <row r="2" spans="1:15" x14ac:dyDescent="0.35">
      <c r="J2" t="s">
        <v>44</v>
      </c>
      <c r="K2" t="s">
        <v>45</v>
      </c>
      <c r="L2" t="s">
        <v>46</v>
      </c>
      <c r="N2" t="s">
        <v>47</v>
      </c>
      <c r="O2" t="s">
        <v>48</v>
      </c>
    </row>
    <row r="4" spans="1:15" x14ac:dyDescent="0.35">
      <c r="A4" t="s">
        <v>49</v>
      </c>
      <c r="B4" s="10" t="s">
        <v>50</v>
      </c>
    </row>
    <row r="7" spans="1:15" x14ac:dyDescent="0.35">
      <c r="B7" t="s">
        <v>51</v>
      </c>
    </row>
    <row r="8" spans="1:15" x14ac:dyDescent="0.35">
      <c r="A8" t="s">
        <v>52</v>
      </c>
      <c r="B8" s="16" t="s">
        <v>53</v>
      </c>
    </row>
    <row r="9" spans="1:15" x14ac:dyDescent="0.35">
      <c r="B9" s="16" t="s">
        <v>54</v>
      </c>
    </row>
    <row r="10" spans="1:15" x14ac:dyDescent="0.35">
      <c r="B10" s="16" t="s">
        <v>55</v>
      </c>
    </row>
    <row r="14" spans="1:15" x14ac:dyDescent="0.35">
      <c r="B14" t="s">
        <v>50</v>
      </c>
    </row>
    <row r="15" spans="1:15" x14ac:dyDescent="0.35">
      <c r="B15" t="s">
        <v>56</v>
      </c>
      <c r="C15" t="s">
        <v>57</v>
      </c>
    </row>
    <row r="19" spans="1:11" x14ac:dyDescent="0.35">
      <c r="B19" t="s">
        <v>58</v>
      </c>
      <c r="C19" t="s">
        <v>59</v>
      </c>
    </row>
    <row r="21" spans="1:11" x14ac:dyDescent="0.35">
      <c r="B21" t="s">
        <v>60</v>
      </c>
    </row>
    <row r="22" spans="1:11" x14ac:dyDescent="0.35">
      <c r="B22" s="16" t="s">
        <v>61</v>
      </c>
      <c r="C22" t="s">
        <v>62</v>
      </c>
    </row>
    <row r="23" spans="1:11" x14ac:dyDescent="0.35">
      <c r="B23" s="16" t="s">
        <v>63</v>
      </c>
      <c r="C23" t="s">
        <v>64</v>
      </c>
      <c r="E23" s="16" t="s">
        <v>65</v>
      </c>
      <c r="F23" s="16" t="s">
        <v>66</v>
      </c>
    </row>
    <row r="24" spans="1:11" x14ac:dyDescent="0.35">
      <c r="C24" t="s">
        <v>67</v>
      </c>
      <c r="D24" t="s">
        <v>68</v>
      </c>
      <c r="E24" s="16" t="s">
        <v>69</v>
      </c>
      <c r="F24" s="16" t="s">
        <v>70</v>
      </c>
    </row>
    <row r="25" spans="1:11" x14ac:dyDescent="0.35">
      <c r="E25" s="16" t="s">
        <v>71</v>
      </c>
      <c r="F25" s="16" t="s">
        <v>72</v>
      </c>
    </row>
    <row r="26" spans="1:11" x14ac:dyDescent="0.35">
      <c r="A26" s="10"/>
      <c r="B26" s="10"/>
      <c r="C26" s="10"/>
      <c r="D26" s="10"/>
      <c r="E26" s="17"/>
      <c r="F26" s="17"/>
      <c r="G26" s="10"/>
    </row>
    <row r="27" spans="1:11" ht="18.5" x14ac:dyDescent="0.45">
      <c r="B27" s="18" t="s">
        <v>61</v>
      </c>
    </row>
    <row r="28" spans="1:11" ht="29.5" thickBot="1" x14ac:dyDescent="0.4">
      <c r="B28" s="19" t="s">
        <v>73</v>
      </c>
      <c r="C28" s="20" t="s">
        <v>74</v>
      </c>
      <c r="G28" t="s">
        <v>75</v>
      </c>
      <c r="I28" t="s">
        <v>76</v>
      </c>
      <c r="J28" t="s">
        <v>46</v>
      </c>
      <c r="K28" t="s">
        <v>48</v>
      </c>
    </row>
    <row r="29" spans="1:11" x14ac:dyDescent="0.35">
      <c r="D29" s="2"/>
      <c r="E29" s="21" t="s">
        <v>77</v>
      </c>
      <c r="G29" t="s">
        <v>55</v>
      </c>
      <c r="H29" s="22" t="s">
        <v>50</v>
      </c>
      <c r="K29" t="s">
        <v>78</v>
      </c>
    </row>
    <row r="30" spans="1:11" x14ac:dyDescent="0.35">
      <c r="D30" s="5" t="s">
        <v>79</v>
      </c>
      <c r="E30" s="23">
        <v>40000</v>
      </c>
      <c r="G30">
        <v>-40000</v>
      </c>
      <c r="H30" s="22">
        <v>40000</v>
      </c>
    </row>
    <row r="31" spans="1:11" x14ac:dyDescent="0.35">
      <c r="D31" s="5" t="s">
        <v>80</v>
      </c>
      <c r="E31" s="6">
        <v>2000</v>
      </c>
      <c r="G31">
        <v>-2000</v>
      </c>
      <c r="H31" s="22">
        <v>2000</v>
      </c>
    </row>
    <row r="32" spans="1:11" x14ac:dyDescent="0.35">
      <c r="D32" s="5" t="s">
        <v>81</v>
      </c>
      <c r="E32" s="6">
        <v>600</v>
      </c>
      <c r="G32">
        <f>E32*-1</f>
        <v>-600</v>
      </c>
      <c r="H32" s="22">
        <f>E32</f>
        <v>600</v>
      </c>
    </row>
    <row r="33" spans="2:10" x14ac:dyDescent="0.35">
      <c r="D33" s="5" t="s">
        <v>82</v>
      </c>
      <c r="E33" s="6">
        <v>400</v>
      </c>
      <c r="G33">
        <f>E33*-1</f>
        <v>-400</v>
      </c>
      <c r="H33" s="22">
        <f>E33</f>
        <v>400</v>
      </c>
    </row>
    <row r="34" spans="2:10" ht="15" thickBot="1" x14ac:dyDescent="0.4">
      <c r="D34" s="7" t="s">
        <v>73</v>
      </c>
      <c r="E34" s="24">
        <f>SUM(E30:E33)</f>
        <v>43000</v>
      </c>
    </row>
    <row r="35" spans="2:10" x14ac:dyDescent="0.35">
      <c r="E35" s="25"/>
    </row>
    <row r="36" spans="2:10" x14ac:dyDescent="0.35">
      <c r="B36" t="s">
        <v>83</v>
      </c>
      <c r="E36" s="25"/>
    </row>
    <row r="37" spans="2:10" x14ac:dyDescent="0.35">
      <c r="B37">
        <v>1</v>
      </c>
      <c r="C37" t="s">
        <v>84</v>
      </c>
      <c r="E37" s="25"/>
    </row>
    <row r="38" spans="2:10" x14ac:dyDescent="0.35">
      <c r="B38">
        <v>2</v>
      </c>
      <c r="C38" t="s">
        <v>85</v>
      </c>
      <c r="J38">
        <v>365</v>
      </c>
    </row>
    <row r="39" spans="2:10" x14ac:dyDescent="0.35">
      <c r="J39">
        <v>24</v>
      </c>
    </row>
    <row r="40" spans="2:10" x14ac:dyDescent="0.35">
      <c r="C40" t="s">
        <v>86</v>
      </c>
      <c r="D40" s="16" t="s">
        <v>3</v>
      </c>
      <c r="J40">
        <f>J38*J39</f>
        <v>8760</v>
      </c>
    </row>
    <row r="41" spans="2:10" x14ac:dyDescent="0.35">
      <c r="C41" t="s">
        <v>87</v>
      </c>
      <c r="D41" s="25">
        <f>E34</f>
        <v>43000</v>
      </c>
      <c r="E41" t="s">
        <v>88</v>
      </c>
    </row>
    <row r="42" spans="2:10" x14ac:dyDescent="0.35">
      <c r="C42" t="s">
        <v>89</v>
      </c>
      <c r="D42">
        <v>3000</v>
      </c>
      <c r="E42" t="s">
        <v>90</v>
      </c>
    </row>
    <row r="43" spans="2:10" x14ac:dyDescent="0.35">
      <c r="B43" s="16" t="s">
        <v>91</v>
      </c>
      <c r="C43" t="s">
        <v>92</v>
      </c>
      <c r="D43" s="26">
        <f>D41-D42</f>
        <v>40000</v>
      </c>
      <c r="E43" t="s">
        <v>93</v>
      </c>
    </row>
    <row r="44" spans="2:10" x14ac:dyDescent="0.35">
      <c r="C44" t="s">
        <v>94</v>
      </c>
      <c r="D44" s="27">
        <v>4</v>
      </c>
    </row>
    <row r="45" spans="2:10" x14ac:dyDescent="0.35">
      <c r="C45" t="s">
        <v>95</v>
      </c>
      <c r="D45" s="25">
        <v>10000</v>
      </c>
      <c r="E45" t="s">
        <v>96</v>
      </c>
      <c r="F45" t="s">
        <v>97</v>
      </c>
      <c r="G45" t="s">
        <v>98</v>
      </c>
    </row>
    <row r="46" spans="2:10" x14ac:dyDescent="0.35">
      <c r="G46" t="s">
        <v>99</v>
      </c>
    </row>
    <row r="47" spans="2:10" x14ac:dyDescent="0.35">
      <c r="B47" t="s">
        <v>100</v>
      </c>
      <c r="C47" t="s">
        <v>101</v>
      </c>
    </row>
    <row r="48" spans="2:10" x14ac:dyDescent="0.35">
      <c r="C48" t="s">
        <v>102</v>
      </c>
    </row>
    <row r="50" spans="2:12" x14ac:dyDescent="0.35">
      <c r="B50" s="10" t="s">
        <v>103</v>
      </c>
      <c r="C50" s="10" t="s">
        <v>104</v>
      </c>
      <c r="D50" t="s">
        <v>105</v>
      </c>
    </row>
    <row r="52" spans="2:12" x14ac:dyDescent="0.35">
      <c r="B52" s="16" t="s">
        <v>106</v>
      </c>
      <c r="C52" t="s">
        <v>107</v>
      </c>
      <c r="D52" t="s">
        <v>108</v>
      </c>
    </row>
    <row r="53" spans="2:12" x14ac:dyDescent="0.35">
      <c r="B53">
        <v>1</v>
      </c>
      <c r="C53" t="s">
        <v>109</v>
      </c>
      <c r="D53" t="s">
        <v>110</v>
      </c>
      <c r="H53" t="s">
        <v>111</v>
      </c>
    </row>
    <row r="54" spans="2:12" x14ac:dyDescent="0.35">
      <c r="B54">
        <v>2</v>
      </c>
      <c r="C54" t="s">
        <v>112</v>
      </c>
      <c r="D54" t="s">
        <v>113</v>
      </c>
      <c r="H54" t="s">
        <v>114</v>
      </c>
      <c r="I54" t="s">
        <v>115</v>
      </c>
    </row>
    <row r="55" spans="2:12" x14ac:dyDescent="0.35">
      <c r="B55">
        <v>3</v>
      </c>
      <c r="C55" t="s">
        <v>116</v>
      </c>
      <c r="D55" t="s">
        <v>117</v>
      </c>
      <c r="F55" t="s">
        <v>118</v>
      </c>
      <c r="G55" s="28"/>
    </row>
    <row r="56" spans="2:12" x14ac:dyDescent="0.35">
      <c r="B56">
        <v>4</v>
      </c>
      <c r="C56" t="s">
        <v>119</v>
      </c>
      <c r="D56" t="s">
        <v>120</v>
      </c>
      <c r="E56" t="s">
        <v>121</v>
      </c>
      <c r="G56" t="s">
        <v>97</v>
      </c>
      <c r="H56" t="s">
        <v>98</v>
      </c>
    </row>
    <row r="58" spans="2:12" ht="15" thickBot="1" x14ac:dyDescent="0.4">
      <c r="I58" t="s">
        <v>122</v>
      </c>
    </row>
    <row r="59" spans="2:12" x14ac:dyDescent="0.35">
      <c r="C59" s="2"/>
      <c r="D59" s="3" t="s">
        <v>123</v>
      </c>
      <c r="E59" s="3" t="s">
        <v>124</v>
      </c>
      <c r="F59" s="29" t="s">
        <v>125</v>
      </c>
      <c r="G59" s="4" t="s">
        <v>126</v>
      </c>
      <c r="H59" s="30"/>
      <c r="I59" s="2" t="s">
        <v>127</v>
      </c>
      <c r="J59" s="3"/>
      <c r="K59" s="3"/>
      <c r="L59" s="4"/>
    </row>
    <row r="60" spans="2:12" x14ac:dyDescent="0.35">
      <c r="C60" s="5" t="s">
        <v>128</v>
      </c>
      <c r="D60" s="16" t="s">
        <v>3</v>
      </c>
      <c r="E60" s="16" t="s">
        <v>3</v>
      </c>
      <c r="F60" s="31" t="s">
        <v>3</v>
      </c>
      <c r="G60" s="32" t="s">
        <v>3</v>
      </c>
      <c r="H60" s="30"/>
      <c r="I60" s="33" t="s">
        <v>129</v>
      </c>
      <c r="K60" s="16" t="s">
        <v>130</v>
      </c>
      <c r="L60" s="6" t="s">
        <v>131</v>
      </c>
    </row>
    <row r="61" spans="2:12" x14ac:dyDescent="0.35">
      <c r="C61" s="5">
        <v>1</v>
      </c>
      <c r="D61" s="34">
        <f>D43/D44</f>
        <v>10000</v>
      </c>
      <c r="E61" s="35">
        <f>F75</f>
        <v>20855</v>
      </c>
      <c r="F61" s="35">
        <f>F88</f>
        <v>16000</v>
      </c>
      <c r="G61" s="36">
        <f>F97</f>
        <v>8800</v>
      </c>
      <c r="H61" s="30"/>
      <c r="I61" s="5" t="s">
        <v>132</v>
      </c>
      <c r="J61" s="25">
        <v>10000</v>
      </c>
      <c r="K61" t="s">
        <v>133</v>
      </c>
      <c r="L61" s="6">
        <v>2500</v>
      </c>
    </row>
    <row r="62" spans="2:12" x14ac:dyDescent="0.35">
      <c r="C62" s="5">
        <v>2</v>
      </c>
      <c r="D62" s="34">
        <f>D61</f>
        <v>10000</v>
      </c>
      <c r="E62" s="35">
        <f>F77</f>
        <v>10740.324999999999</v>
      </c>
      <c r="F62" s="35">
        <f>F89</f>
        <v>12000</v>
      </c>
      <c r="G62" s="36">
        <f>F98</f>
        <v>10240</v>
      </c>
      <c r="H62" s="30"/>
      <c r="I62" s="5" t="s">
        <v>134</v>
      </c>
      <c r="J62" s="25">
        <v>10000</v>
      </c>
      <c r="K62" t="s">
        <v>135</v>
      </c>
      <c r="L62" s="6">
        <v>10000</v>
      </c>
    </row>
    <row r="63" spans="2:12" x14ac:dyDescent="0.35">
      <c r="C63" s="5">
        <v>3</v>
      </c>
      <c r="D63" s="34">
        <f t="shared" ref="D63:D64" si="0">D62</f>
        <v>10000</v>
      </c>
      <c r="E63" s="35">
        <f>F79</f>
        <v>5531.2673750000004</v>
      </c>
      <c r="F63" s="35">
        <f>F90</f>
        <v>8000</v>
      </c>
      <c r="G63" s="36">
        <f>F99</f>
        <v>11120</v>
      </c>
      <c r="H63" s="30"/>
      <c r="I63" s="5" t="s">
        <v>136</v>
      </c>
      <c r="J63" s="25">
        <v>10000</v>
      </c>
      <c r="K63" t="s">
        <v>135</v>
      </c>
      <c r="L63" s="6">
        <v>10000</v>
      </c>
    </row>
    <row r="64" spans="2:12" x14ac:dyDescent="0.35">
      <c r="C64" s="5">
        <v>4</v>
      </c>
      <c r="D64" s="34">
        <f t="shared" si="0"/>
        <v>10000</v>
      </c>
      <c r="E64" s="35">
        <f>F81</f>
        <v>2848.6026981250002</v>
      </c>
      <c r="F64" s="35">
        <f>F91</f>
        <v>4000</v>
      </c>
      <c r="G64" s="36">
        <f>F100</f>
        <v>9840</v>
      </c>
      <c r="H64" s="30"/>
      <c r="I64" s="5" t="s">
        <v>137</v>
      </c>
      <c r="J64" s="25">
        <v>10000</v>
      </c>
      <c r="K64" t="s">
        <v>135</v>
      </c>
      <c r="L64" s="6">
        <v>10000</v>
      </c>
    </row>
    <row r="65" spans="2:23" ht="15" thickBot="1" x14ac:dyDescent="0.4">
      <c r="C65" s="5">
        <v>4</v>
      </c>
      <c r="D65" s="34"/>
      <c r="E65" s="35">
        <v>25</v>
      </c>
      <c r="F65" s="35"/>
      <c r="G65" s="36"/>
      <c r="H65" s="30"/>
      <c r="I65" s="7" t="s">
        <v>138</v>
      </c>
      <c r="J65" s="37">
        <v>10000</v>
      </c>
      <c r="K65" s="8" t="s">
        <v>139</v>
      </c>
      <c r="L65" s="9">
        <v>7500</v>
      </c>
    </row>
    <row r="66" spans="2:23" ht="15" thickBot="1" x14ac:dyDescent="0.4">
      <c r="C66" s="7" t="s">
        <v>131</v>
      </c>
      <c r="D66" s="38">
        <f>SUM(D61:D65)</f>
        <v>40000</v>
      </c>
      <c r="E66" s="38">
        <f t="shared" ref="E66:G66" si="1">SUM(E61:E65)</f>
        <v>40000.195073125004</v>
      </c>
      <c r="F66" s="38">
        <f t="shared" si="1"/>
        <v>40000</v>
      </c>
      <c r="G66" s="39">
        <f t="shared" si="1"/>
        <v>40000</v>
      </c>
      <c r="H66" s="30"/>
      <c r="I66" s="5" t="s">
        <v>131</v>
      </c>
      <c r="L66">
        <f>SUM(L61:L65)</f>
        <v>40000</v>
      </c>
    </row>
    <row r="68" spans="2:23" x14ac:dyDescent="0.35">
      <c r="B68">
        <v>1</v>
      </c>
      <c r="C68" t="s">
        <v>109</v>
      </c>
    </row>
    <row r="69" spans="2:23" x14ac:dyDescent="0.35">
      <c r="C69" t="s">
        <v>140</v>
      </c>
      <c r="E69" t="s">
        <v>141</v>
      </c>
      <c r="G69" s="25">
        <v>10000</v>
      </c>
    </row>
    <row r="70" spans="2:23" x14ac:dyDescent="0.35">
      <c r="C70" t="s">
        <v>142</v>
      </c>
      <c r="F70" t="s">
        <v>143</v>
      </c>
    </row>
    <row r="71" spans="2:23" ht="15" thickBot="1" x14ac:dyDescent="0.4"/>
    <row r="72" spans="2:23" ht="15" thickBot="1" x14ac:dyDescent="0.4">
      <c r="C72" s="2" t="s">
        <v>112</v>
      </c>
      <c r="D72" s="3"/>
      <c r="E72" s="3"/>
      <c r="F72" s="3"/>
      <c r="G72" s="40" t="s">
        <v>144</v>
      </c>
      <c r="H72" t="s">
        <v>145</v>
      </c>
      <c r="I72" t="s">
        <v>128</v>
      </c>
      <c r="N72" s="2" t="s">
        <v>112</v>
      </c>
      <c r="O72" s="3"/>
      <c r="P72" s="3"/>
      <c r="Q72" s="3"/>
      <c r="R72" s="3"/>
      <c r="S72" s="3"/>
      <c r="T72" s="3"/>
      <c r="U72" s="3"/>
      <c r="V72" s="3"/>
      <c r="W72" s="4"/>
    </row>
    <row r="73" spans="2:23" ht="15" thickBot="1" x14ac:dyDescent="0.4">
      <c r="C73" s="5"/>
      <c r="D73" t="s">
        <v>128</v>
      </c>
      <c r="F73" s="16" t="s">
        <v>3</v>
      </c>
      <c r="G73" s="41" t="s">
        <v>3</v>
      </c>
      <c r="H73" s="2"/>
      <c r="I73" s="3">
        <v>1</v>
      </c>
      <c r="J73" s="3">
        <v>2</v>
      </c>
      <c r="K73" s="3">
        <v>3</v>
      </c>
      <c r="L73" s="4">
        <v>4</v>
      </c>
      <c r="N73" s="5"/>
      <c r="O73" t="s">
        <v>128</v>
      </c>
      <c r="W73" s="6"/>
    </row>
    <row r="74" spans="2:23" x14ac:dyDescent="0.35">
      <c r="C74" s="42"/>
      <c r="D74" s="30" t="s">
        <v>73</v>
      </c>
      <c r="E74" s="30"/>
      <c r="F74" s="43">
        <f>D41</f>
        <v>43000</v>
      </c>
      <c r="G74" s="41"/>
      <c r="H74" s="5" t="s">
        <v>146</v>
      </c>
      <c r="I74" s="25">
        <f>F74</f>
        <v>43000</v>
      </c>
      <c r="J74" s="25">
        <f>I74</f>
        <v>43000</v>
      </c>
      <c r="K74" s="25">
        <f t="shared" ref="K74:L74" si="2">J74</f>
        <v>43000</v>
      </c>
      <c r="L74" s="23">
        <f t="shared" si="2"/>
        <v>43000</v>
      </c>
      <c r="M74" s="25"/>
      <c r="N74" s="5"/>
      <c r="O74">
        <v>0</v>
      </c>
      <c r="Q74" s="3">
        <v>1</v>
      </c>
      <c r="S74" s="3">
        <v>2</v>
      </c>
      <c r="U74" s="3">
        <v>3</v>
      </c>
      <c r="W74" s="4">
        <v>4</v>
      </c>
    </row>
    <row r="75" spans="2:23" x14ac:dyDescent="0.35">
      <c r="B75" t="s">
        <v>147</v>
      </c>
      <c r="C75" s="5"/>
      <c r="D75" t="s">
        <v>148</v>
      </c>
      <c r="E75" s="44">
        <v>0.48499999999999999</v>
      </c>
      <c r="F75" s="43">
        <f>F74*E75</f>
        <v>20855</v>
      </c>
      <c r="G75" s="45">
        <f>F75</f>
        <v>20855</v>
      </c>
      <c r="H75" s="5" t="s">
        <v>149</v>
      </c>
      <c r="I75" s="25">
        <f>F75</f>
        <v>20855</v>
      </c>
      <c r="J75" s="25">
        <f>(F75+F77)</f>
        <v>31595.324999999997</v>
      </c>
      <c r="K75" s="25">
        <f>J75+F79</f>
        <v>37126.592375</v>
      </c>
      <c r="L75" s="23">
        <f>K75+F83</f>
        <v>40126.397301875004</v>
      </c>
      <c r="M75" s="25"/>
      <c r="N75" s="5" t="s">
        <v>150</v>
      </c>
      <c r="O75" s="46">
        <f>I74</f>
        <v>43000</v>
      </c>
      <c r="Q75" s="25">
        <f>O75-P77</f>
        <v>22145</v>
      </c>
      <c r="S75" s="25">
        <f>Q75-R77</f>
        <v>11404.675000000001</v>
      </c>
      <c r="U75" s="25">
        <f>S75-T77</f>
        <v>5873.4076250000007</v>
      </c>
      <c r="W75" s="23">
        <f>U75-V77</f>
        <v>3024.8049268750005</v>
      </c>
    </row>
    <row r="76" spans="2:23" ht="15" thickBot="1" x14ac:dyDescent="0.4">
      <c r="B76" t="s">
        <v>151</v>
      </c>
      <c r="C76" s="5" t="s">
        <v>152</v>
      </c>
      <c r="D76" t="s">
        <v>153</v>
      </c>
      <c r="E76" s="44"/>
      <c r="F76" s="47">
        <f>F74-F75</f>
        <v>22145</v>
      </c>
      <c r="G76" s="41"/>
      <c r="H76" s="7" t="s">
        <v>154</v>
      </c>
      <c r="I76" s="37">
        <f>I74-I75</f>
        <v>22145</v>
      </c>
      <c r="J76" s="37">
        <f>F78</f>
        <v>11404.675000000001</v>
      </c>
      <c r="K76" s="37">
        <f>F80</f>
        <v>5873.4076250000007</v>
      </c>
      <c r="L76" s="9">
        <f>F84</f>
        <v>3000</v>
      </c>
      <c r="N76" s="48" t="s">
        <v>155</v>
      </c>
      <c r="O76" s="49"/>
      <c r="P76" s="50">
        <v>0.48499999999999999</v>
      </c>
      <c r="Q76" s="49"/>
      <c r="R76" s="50">
        <v>0.48499999999999999</v>
      </c>
      <c r="S76" s="49"/>
      <c r="T76" s="50">
        <v>0.48499999999999999</v>
      </c>
      <c r="U76" s="49"/>
      <c r="V76" s="50">
        <v>0.48499999999999999</v>
      </c>
      <c r="W76" s="6"/>
    </row>
    <row r="77" spans="2:23" x14ac:dyDescent="0.35">
      <c r="B77" t="s">
        <v>147</v>
      </c>
      <c r="C77" s="5"/>
      <c r="D77" t="s">
        <v>156</v>
      </c>
      <c r="E77" s="44">
        <v>0.48499999999999999</v>
      </c>
      <c r="F77" s="43">
        <f>F76*E77</f>
        <v>10740.324999999999</v>
      </c>
      <c r="G77" s="45">
        <f>+G75+F77</f>
        <v>31595.324999999997</v>
      </c>
      <c r="N77" s="5" t="s">
        <v>157</v>
      </c>
      <c r="P77">
        <f>O75*P76</f>
        <v>20855</v>
      </c>
      <c r="R77" s="51">
        <f>Q75*R76</f>
        <v>10740.324999999999</v>
      </c>
      <c r="S77" s="51"/>
      <c r="T77" s="51">
        <f>S75*T76</f>
        <v>5531.2673750000004</v>
      </c>
      <c r="U77" s="51"/>
      <c r="V77" s="51">
        <f>U75*V76</f>
        <v>2848.6026981250002</v>
      </c>
      <c r="W77" s="6"/>
    </row>
    <row r="78" spans="2:23" ht="15" thickBot="1" x14ac:dyDescent="0.4">
      <c r="B78" t="s">
        <v>151</v>
      </c>
      <c r="C78" s="5" t="s">
        <v>152</v>
      </c>
      <c r="D78" t="s">
        <v>153</v>
      </c>
      <c r="E78" s="44"/>
      <c r="F78" s="47">
        <f>F76-F77</f>
        <v>11404.675000000001</v>
      </c>
      <c r="G78" s="41"/>
      <c r="N78" s="7"/>
      <c r="O78" s="8"/>
      <c r="P78" s="8"/>
      <c r="Q78" s="8"/>
      <c r="R78" s="8"/>
      <c r="S78" s="8"/>
      <c r="T78" s="8"/>
      <c r="U78" s="8"/>
      <c r="V78" s="8">
        <v>25</v>
      </c>
      <c r="W78" s="52">
        <f>W75-V78</f>
        <v>2999.8049268750005</v>
      </c>
    </row>
    <row r="79" spans="2:23" ht="15" thickBot="1" x14ac:dyDescent="0.4">
      <c r="B79" t="s">
        <v>147</v>
      </c>
      <c r="C79" s="5"/>
      <c r="D79" t="s">
        <v>158</v>
      </c>
      <c r="E79" s="44">
        <v>0.48499999999999999</v>
      </c>
      <c r="F79" s="43">
        <f>F78*E79</f>
        <v>5531.2673750000004</v>
      </c>
      <c r="G79" s="45">
        <f>+G77+F79</f>
        <v>37126.592375</v>
      </c>
      <c r="H79" s="53" t="s">
        <v>154</v>
      </c>
      <c r="I79" s="54">
        <v>22145</v>
      </c>
      <c r="J79" s="54">
        <v>11404.675000000001</v>
      </c>
      <c r="K79" s="54">
        <v>5873.4076250000007</v>
      </c>
      <c r="L79" s="55">
        <v>3000</v>
      </c>
    </row>
    <row r="80" spans="2:23" x14ac:dyDescent="0.35">
      <c r="B80" t="s">
        <v>151</v>
      </c>
      <c r="C80" s="5" t="s">
        <v>152</v>
      </c>
      <c r="D80" t="s">
        <v>153</v>
      </c>
      <c r="E80" s="44"/>
      <c r="F80" s="47">
        <f>F78-F79</f>
        <v>5873.4076250000007</v>
      </c>
      <c r="G80" s="41"/>
    </row>
    <row r="81" spans="2:10" x14ac:dyDescent="0.35">
      <c r="B81" t="s">
        <v>147</v>
      </c>
      <c r="C81" s="5"/>
      <c r="D81" t="s">
        <v>159</v>
      </c>
      <c r="E81" s="44">
        <v>0.48499999999999999</v>
      </c>
      <c r="F81" s="43">
        <f>F80*E81</f>
        <v>2848.6026981250002</v>
      </c>
      <c r="G81" s="45">
        <f>+G79+F81+F82</f>
        <v>40000.195073125004</v>
      </c>
    </row>
    <row r="82" spans="2:10" x14ac:dyDescent="0.35">
      <c r="B82" t="s">
        <v>147</v>
      </c>
      <c r="C82" s="42"/>
      <c r="D82" t="s">
        <v>160</v>
      </c>
      <c r="E82" s="44"/>
      <c r="F82" s="43">
        <v>25</v>
      </c>
      <c r="G82" s="56"/>
    </row>
    <row r="83" spans="2:10" x14ac:dyDescent="0.35">
      <c r="B83" t="s">
        <v>151</v>
      </c>
      <c r="C83" s="5" t="s">
        <v>152</v>
      </c>
      <c r="D83" s="30" t="s">
        <v>153</v>
      </c>
      <c r="E83" s="30"/>
      <c r="F83" s="43">
        <f>F80-F81-F82</f>
        <v>2999.8049268750005</v>
      </c>
      <c r="G83" s="56"/>
    </row>
    <row r="84" spans="2:10" ht="15" thickBot="1" x14ac:dyDescent="0.4">
      <c r="C84" s="7" t="s">
        <v>89</v>
      </c>
      <c r="D84" s="57"/>
      <c r="E84" s="57"/>
      <c r="F84" s="58">
        <v>3000</v>
      </c>
      <c r="G84" s="59"/>
    </row>
    <row r="85" spans="2:10" ht="15" thickBot="1" x14ac:dyDescent="0.4">
      <c r="F85" s="25"/>
    </row>
    <row r="86" spans="2:10" x14ac:dyDescent="0.35">
      <c r="C86" t="s">
        <v>116</v>
      </c>
      <c r="D86" s="3"/>
      <c r="E86" s="3"/>
      <c r="F86" s="3" t="s">
        <v>161</v>
      </c>
      <c r="G86" s="4"/>
    </row>
    <row r="87" spans="2:10" x14ac:dyDescent="0.35">
      <c r="C87" s="5"/>
      <c r="D87" t="s">
        <v>128</v>
      </c>
      <c r="E87" t="s">
        <v>162</v>
      </c>
      <c r="F87" s="16" t="s">
        <v>3</v>
      </c>
      <c r="G87" s="6"/>
    </row>
    <row r="88" spans="2:10" x14ac:dyDescent="0.35">
      <c r="C88" s="5"/>
      <c r="D88">
        <v>1</v>
      </c>
      <c r="E88" s="60" t="s">
        <v>163</v>
      </c>
      <c r="F88" s="61">
        <f>F92*4/10</f>
        <v>16000</v>
      </c>
      <c r="G88" s="6"/>
      <c r="J88" s="62"/>
    </row>
    <row r="89" spans="2:10" x14ac:dyDescent="0.35">
      <c r="C89" s="5"/>
      <c r="D89">
        <v>2</v>
      </c>
      <c r="E89" s="60" t="s">
        <v>164</v>
      </c>
      <c r="F89" s="61">
        <f>F92*3/10</f>
        <v>12000</v>
      </c>
      <c r="G89" s="6"/>
      <c r="J89" s="62"/>
    </row>
    <row r="90" spans="2:10" x14ac:dyDescent="0.35">
      <c r="C90" s="5"/>
      <c r="D90">
        <v>3</v>
      </c>
      <c r="E90" s="60" t="s">
        <v>165</v>
      </c>
      <c r="F90" s="61">
        <f>F92*2/10</f>
        <v>8000</v>
      </c>
      <c r="G90" s="6"/>
      <c r="J90" s="62"/>
    </row>
    <row r="91" spans="2:10" x14ac:dyDescent="0.35">
      <c r="C91" s="5"/>
      <c r="D91">
        <v>4</v>
      </c>
      <c r="E91" s="60" t="s">
        <v>166</v>
      </c>
      <c r="F91" s="61">
        <f>F92*1/10</f>
        <v>4000</v>
      </c>
      <c r="G91" s="6"/>
    </row>
    <row r="92" spans="2:10" ht="15" thickBot="1" x14ac:dyDescent="0.4">
      <c r="C92" s="63" t="s">
        <v>131</v>
      </c>
      <c r="D92" s="8">
        <f>SUM(D88:D91)</f>
        <v>10</v>
      </c>
      <c r="E92" s="8"/>
      <c r="F92" s="64">
        <v>40000</v>
      </c>
      <c r="G92" s="9"/>
    </row>
    <row r="94" spans="2:10" ht="15" thickBot="1" x14ac:dyDescent="0.4"/>
    <row r="95" spans="2:10" x14ac:dyDescent="0.35">
      <c r="C95" t="s">
        <v>119</v>
      </c>
      <c r="D95" s="3"/>
      <c r="E95" s="3" t="s">
        <v>167</v>
      </c>
      <c r="F95" s="3" t="s">
        <v>168</v>
      </c>
      <c r="G95" s="21"/>
    </row>
    <row r="96" spans="2:10" x14ac:dyDescent="0.35">
      <c r="C96" s="5"/>
      <c r="D96" t="s">
        <v>128</v>
      </c>
      <c r="E96" t="s">
        <v>169</v>
      </c>
      <c r="F96" s="16" t="s">
        <v>3</v>
      </c>
      <c r="G96" s="65"/>
    </row>
    <row r="97" spans="2:14" x14ac:dyDescent="0.35">
      <c r="C97" s="5"/>
      <c r="D97">
        <v>1</v>
      </c>
      <c r="E97">
        <v>2200</v>
      </c>
      <c r="F97" s="51">
        <f>E97*4</f>
        <v>8800</v>
      </c>
      <c r="G97" s="6"/>
    </row>
    <row r="98" spans="2:14" x14ac:dyDescent="0.35">
      <c r="C98" s="5"/>
      <c r="D98">
        <v>2</v>
      </c>
      <c r="E98">
        <v>2560</v>
      </c>
      <c r="F98" s="51">
        <f t="shared" ref="F98:F100" si="3">E98*4</f>
        <v>10240</v>
      </c>
      <c r="G98" s="6"/>
    </row>
    <row r="99" spans="2:14" x14ac:dyDescent="0.35">
      <c r="C99" s="5"/>
      <c r="D99">
        <v>3</v>
      </c>
      <c r="E99">
        <v>2780</v>
      </c>
      <c r="F99" s="51">
        <f t="shared" si="3"/>
        <v>11120</v>
      </c>
      <c r="G99" s="6"/>
    </row>
    <row r="100" spans="2:14" x14ac:dyDescent="0.35">
      <c r="C100" s="5"/>
      <c r="D100">
        <v>4</v>
      </c>
      <c r="E100">
        <v>2460</v>
      </c>
      <c r="F100" s="51">
        <f t="shared" si="3"/>
        <v>9840</v>
      </c>
      <c r="G100" s="6"/>
    </row>
    <row r="101" spans="2:14" ht="15" thickBot="1" x14ac:dyDescent="0.4">
      <c r="C101" s="63" t="s">
        <v>131</v>
      </c>
      <c r="D101" s="8"/>
      <c r="E101" s="66">
        <f>SUM(E97:E100)</f>
        <v>10000</v>
      </c>
      <c r="F101" s="67">
        <v>40000</v>
      </c>
      <c r="G101" s="9"/>
    </row>
    <row r="103" spans="2:14" ht="15" thickBot="1" x14ac:dyDescent="0.4"/>
    <row r="104" spans="2:14" x14ac:dyDescent="0.35">
      <c r="B104" t="s">
        <v>103</v>
      </c>
      <c r="C104" s="68" t="s">
        <v>170</v>
      </c>
      <c r="E104" s="2" t="s">
        <v>50</v>
      </c>
      <c r="F104" s="3"/>
      <c r="G104" s="3" t="s">
        <v>78</v>
      </c>
      <c r="H104" s="4"/>
    </row>
    <row r="105" spans="2:14" x14ac:dyDescent="0.35">
      <c r="C105" s="69" t="s">
        <v>171</v>
      </c>
      <c r="E105" s="5" t="s">
        <v>172</v>
      </c>
      <c r="G105" t="s">
        <v>172</v>
      </c>
      <c r="H105" s="6" t="s">
        <v>161</v>
      </c>
    </row>
    <row r="106" spans="2:14" x14ac:dyDescent="0.35">
      <c r="C106" s="69" t="s">
        <v>173</v>
      </c>
      <c r="E106" s="5" t="s">
        <v>174</v>
      </c>
      <c r="G106" t="s">
        <v>175</v>
      </c>
      <c r="H106" s="6"/>
    </row>
    <row r="107" spans="2:14" ht="15" thickBot="1" x14ac:dyDescent="0.4">
      <c r="C107" s="70" t="s">
        <v>176</v>
      </c>
      <c r="E107" s="7"/>
      <c r="F107" s="8"/>
      <c r="G107" s="8"/>
      <c r="H107" s="9"/>
    </row>
    <row r="108" spans="2:14" ht="15" thickBot="1" x14ac:dyDescent="0.4"/>
    <row r="109" spans="2:14" x14ac:dyDescent="0.35">
      <c r="I109" s="2" t="s">
        <v>75</v>
      </c>
      <c r="J109" s="3"/>
      <c r="K109" s="3"/>
      <c r="L109" s="3" t="s">
        <v>48</v>
      </c>
      <c r="M109" s="3"/>
      <c r="N109" s="4"/>
    </row>
    <row r="110" spans="2:14" x14ac:dyDescent="0.35">
      <c r="D110">
        <v>1</v>
      </c>
      <c r="E110">
        <v>2</v>
      </c>
      <c r="F110">
        <v>3</v>
      </c>
      <c r="G110">
        <v>4</v>
      </c>
      <c r="I110" s="5" t="s">
        <v>177</v>
      </c>
      <c r="J110" t="s">
        <v>50</v>
      </c>
      <c r="L110" t="s">
        <v>78</v>
      </c>
      <c r="N110" s="6"/>
    </row>
    <row r="111" spans="2:14" ht="15" thickBot="1" x14ac:dyDescent="0.4">
      <c r="B111" t="s">
        <v>178</v>
      </c>
      <c r="D111" s="16" t="s">
        <v>3</v>
      </c>
      <c r="E111" s="16" t="s">
        <v>3</v>
      </c>
      <c r="F111" s="16" t="s">
        <v>3</v>
      </c>
      <c r="G111" s="16" t="s">
        <v>3</v>
      </c>
      <c r="I111" s="5"/>
      <c r="N111" s="6"/>
    </row>
    <row r="112" spans="2:14" x14ac:dyDescent="0.35">
      <c r="C112" s="2" t="s">
        <v>179</v>
      </c>
      <c r="D112" s="3">
        <v>3000</v>
      </c>
      <c r="E112" s="3">
        <v>3000</v>
      </c>
      <c r="F112" s="3">
        <v>3000</v>
      </c>
      <c r="G112" s="4">
        <v>3000</v>
      </c>
      <c r="I112" s="5">
        <v>3000</v>
      </c>
      <c r="J112">
        <f>D112*-1</f>
        <v>-3000</v>
      </c>
      <c r="K112" t="s">
        <v>76</v>
      </c>
      <c r="L112">
        <v>0</v>
      </c>
      <c r="N112" s="6"/>
    </row>
    <row r="113" spans="3:14" x14ac:dyDescent="0.35">
      <c r="C113" s="5" t="s">
        <v>180</v>
      </c>
      <c r="D113">
        <f>D114-D112</f>
        <v>0</v>
      </c>
      <c r="E113">
        <f t="shared" ref="E113:G113" si="4">E114-E112</f>
        <v>-3000</v>
      </c>
      <c r="F113">
        <f t="shared" si="4"/>
        <v>200</v>
      </c>
      <c r="G113" s="6">
        <f t="shared" si="4"/>
        <v>-1900</v>
      </c>
      <c r="I113" s="5">
        <v>0</v>
      </c>
      <c r="J113">
        <f>J112</f>
        <v>-3000</v>
      </c>
      <c r="K113" t="s">
        <v>76</v>
      </c>
      <c r="L113">
        <v>-3000</v>
      </c>
      <c r="N113" s="6" t="s">
        <v>181</v>
      </c>
    </row>
    <row r="114" spans="3:14" ht="15" thickBot="1" x14ac:dyDescent="0.4">
      <c r="C114" s="7" t="s">
        <v>182</v>
      </c>
      <c r="D114" s="8">
        <v>3000</v>
      </c>
      <c r="E114" s="8">
        <v>0</v>
      </c>
      <c r="F114" s="8">
        <v>3200</v>
      </c>
      <c r="G114" s="9">
        <v>1100</v>
      </c>
      <c r="I114" s="5">
        <v>3200</v>
      </c>
      <c r="J114">
        <f t="shared" ref="J114:J115" si="5">J113</f>
        <v>-3000</v>
      </c>
      <c r="K114" t="s">
        <v>76</v>
      </c>
      <c r="L114">
        <v>200</v>
      </c>
      <c r="N114" s="6" t="s">
        <v>183</v>
      </c>
    </row>
    <row r="115" spans="3:14" ht="15" thickBot="1" x14ac:dyDescent="0.4">
      <c r="E115" s="16" t="s">
        <v>184</v>
      </c>
      <c r="I115" s="7">
        <v>1100</v>
      </c>
      <c r="J115" s="8">
        <f t="shared" si="5"/>
        <v>-3000</v>
      </c>
      <c r="K115" s="8" t="s">
        <v>76</v>
      </c>
      <c r="L115" s="8">
        <v>-1900</v>
      </c>
      <c r="M115" s="8"/>
      <c r="N115" s="9" t="s">
        <v>185</v>
      </c>
    </row>
  </sheetData>
  <printOptions gridLine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</vt:lpstr>
      <vt:lpstr>System (2)</vt:lpstr>
      <vt:lpstr>NCA Explain</vt:lpstr>
      <vt:lpstr>Sheet1</vt:lpstr>
      <vt:lpstr>Sheet2</vt:lpstr>
      <vt:lpstr>NCA Explain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Manek</dc:creator>
  <cp:lastModifiedBy>Manek Mukesh</cp:lastModifiedBy>
  <dcterms:created xsi:type="dcterms:W3CDTF">2022-05-23T07:38:23Z</dcterms:created>
  <dcterms:modified xsi:type="dcterms:W3CDTF">2025-05-13T10:20:51Z</dcterms:modified>
</cp:coreProperties>
</file>