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joseph/Desktop/SIM-UOW-Mods/ACCY122/Assessment II/"/>
    </mc:Choice>
  </mc:AlternateContent>
  <xr:revisionPtr revIDLastSave="0" documentId="13_ncr:1_{350E10AE-CA87-7245-802C-FDC65AAAF9A0}" xr6:coauthVersionLast="47" xr6:coauthVersionMax="47" xr10:uidLastSave="{00000000-0000-0000-0000-000000000000}"/>
  <bookViews>
    <workbookView xWindow="0" yWindow="500" windowWidth="33600" windowHeight="18700" activeTab="5" xr2:uid="{00000000-000D-0000-FFFF-FFFF00000000}"/>
  </bookViews>
  <sheets>
    <sheet name="Journal" sheetId="1" r:id="rId1"/>
    <sheet name="Ledger" sheetId="2" r:id="rId2"/>
    <sheet name="Trial Balance" sheetId="3" r:id="rId3"/>
    <sheet name="Closing Entry" sheetId="6" r:id="rId4"/>
    <sheet name="Income Statement" sheetId="4" r:id="rId5"/>
    <sheet name="Balance Shee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16" i="5" s="1"/>
  <c r="F23" i="5"/>
  <c r="F27" i="5" s="1"/>
  <c r="F13" i="4"/>
  <c r="F29" i="5" l="1"/>
  <c r="C21" i="3"/>
  <c r="D21" i="3"/>
  <c r="E17" i="2"/>
  <c r="D17" i="2"/>
  <c r="L20" i="1"/>
  <c r="K20" i="1"/>
  <c r="F48" i="1"/>
  <c r="E48" i="1"/>
</calcChain>
</file>

<file path=xl/sharedStrings.xml><?xml version="1.0" encoding="utf-8"?>
<sst xmlns="http://schemas.openxmlformats.org/spreadsheetml/2006/main" count="341" uniqueCount="150">
  <si>
    <t>Ref</t>
  </si>
  <si>
    <t>Date</t>
  </si>
  <si>
    <t>Accounts</t>
  </si>
  <si>
    <t>General Journal</t>
  </si>
  <si>
    <t xml:space="preserve">Bank </t>
  </si>
  <si>
    <t>(capital introduced)</t>
  </si>
  <si>
    <t>Prepaid Insurance</t>
  </si>
  <si>
    <t xml:space="preserve">Supplies </t>
  </si>
  <si>
    <t>Studio Equipment</t>
  </si>
  <si>
    <t xml:space="preserve"> </t>
  </si>
  <si>
    <t>Bank</t>
  </si>
  <si>
    <t>Capital</t>
  </si>
  <si>
    <t>Accounts Payable</t>
  </si>
  <si>
    <t xml:space="preserve">Accounts Receivable </t>
  </si>
  <si>
    <t>Service Revenue</t>
  </si>
  <si>
    <t>(raised invoice to Coastal Mining Ltd for services)</t>
  </si>
  <si>
    <t>(paid instructor wages)</t>
  </si>
  <si>
    <t>Short-Term Loan</t>
  </si>
  <si>
    <t>(received payment from Coastal Mining Ltd for services)</t>
  </si>
  <si>
    <t>(received cash for pilates memberships)</t>
  </si>
  <si>
    <t>(paid utilities)</t>
  </si>
  <si>
    <t>Unearned Revenue</t>
  </si>
  <si>
    <t>Wages Expense</t>
  </si>
  <si>
    <t>Drawings – Suzana P</t>
  </si>
  <si>
    <t>Capital – Suzana P</t>
  </si>
  <si>
    <t>(cash withdrawn by owner for personal use)</t>
  </si>
  <si>
    <t>(cash received in advance)</t>
  </si>
  <si>
    <t>Notes:</t>
  </si>
  <si>
    <t>(6-mth insurance prepaid)</t>
  </si>
  <si>
    <t>(purchased supplies from Active Supplies Co. on credit)</t>
  </si>
  <si>
    <t>(purchased studio equipment from Kiki’s Equipment Studio with cash and credit)</t>
  </si>
  <si>
    <t>(obtained short-term loan from ANZ)</t>
  </si>
  <si>
    <t>Utilities Expense</t>
  </si>
  <si>
    <t>Total</t>
  </si>
  <si>
    <t>ref 11 - create unearned revenue account (liability) as revenue received in advance</t>
  </si>
  <si>
    <t>(paid $600 to Active Supplies Co.)</t>
  </si>
  <si>
    <t>ref 14 - drawings is an contra-equity account so it behaves like an expense account dr + / cr -</t>
  </si>
  <si>
    <t xml:space="preserve">Adjusted Journal </t>
  </si>
  <si>
    <t>(1-mth insurance expired $3000/6=$500)</t>
  </si>
  <si>
    <t>Insurance Expense</t>
  </si>
  <si>
    <t>Supplies</t>
  </si>
  <si>
    <t>Supplies Expense</t>
  </si>
  <si>
    <t>(supplies on hand - $1200-$700=$500)</t>
  </si>
  <si>
    <t>Accumulated Depreciation – Studio Equipment</t>
  </si>
  <si>
    <t xml:space="preserve">Depreciation Expense </t>
  </si>
  <si>
    <t>Depreciation Expense – Studio Equipment</t>
  </si>
  <si>
    <t>accum dep is an contra-asset account so it behaves like an expense account dr + / cr -</t>
  </si>
  <si>
    <t>(depreciation on studio equipment)</t>
  </si>
  <si>
    <t>(half of unearned revenue becomes earned)</t>
  </si>
  <si>
    <t>Wages Payable</t>
  </si>
  <si>
    <t>(accrued expense)</t>
  </si>
  <si>
    <t>Details</t>
  </si>
  <si>
    <t>Cr ($)</t>
  </si>
  <si>
    <t>Dr ($)</t>
  </si>
  <si>
    <t>Balance c/d</t>
  </si>
  <si>
    <t>Balance b/d</t>
  </si>
  <si>
    <t xml:space="preserve">Prepaid Insurance </t>
  </si>
  <si>
    <t>Prepaid Insurance Account</t>
  </si>
  <si>
    <t>Bank Account</t>
  </si>
  <si>
    <t>Supplies Account</t>
  </si>
  <si>
    <t>Studio Equipment Account</t>
  </si>
  <si>
    <t>Capital Account – Suzana P</t>
  </si>
  <si>
    <t>Accumulated Depreciation Account - Studio Equipment</t>
  </si>
  <si>
    <t>Depreciation Expense Account</t>
  </si>
  <si>
    <t>Accounts Payable Account</t>
  </si>
  <si>
    <t>Accounts Receivable Account</t>
  </si>
  <si>
    <t>Wages Expense Account</t>
  </si>
  <si>
    <t>Wages Payable Account</t>
  </si>
  <si>
    <t>Service Revenue Account</t>
  </si>
  <si>
    <t>Short Term Loan Account</t>
  </si>
  <si>
    <t>Utilities Expense Account</t>
  </si>
  <si>
    <t>Depreciation – Studio Equipment</t>
  </si>
  <si>
    <t xml:space="preserve">Unearned Revenue Account </t>
  </si>
  <si>
    <t>Service Revenue (Earned)</t>
  </si>
  <si>
    <t>Drawings Account - Suzana P</t>
  </si>
  <si>
    <t>Trial Balance as at 31 Aug 2025</t>
  </si>
  <si>
    <t>Insurance Expense Account</t>
  </si>
  <si>
    <t>Prepaid Insurance (Expired)</t>
  </si>
  <si>
    <t>Supplies Expense Account</t>
  </si>
  <si>
    <t>Supplies (Used up)</t>
  </si>
  <si>
    <t>INCOME</t>
  </si>
  <si>
    <t>EXPENSE</t>
  </si>
  <si>
    <t xml:space="preserve">Service Revenue </t>
  </si>
  <si>
    <t xml:space="preserve">Insurance Expense </t>
  </si>
  <si>
    <t xml:space="preserve">Supplies Expense </t>
  </si>
  <si>
    <t xml:space="preserve">Utilities Expense </t>
  </si>
  <si>
    <t xml:space="preserve">Wages Expense </t>
  </si>
  <si>
    <t>for the month ended 31 Aug 2025</t>
  </si>
  <si>
    <t>Profit</t>
  </si>
  <si>
    <t>Total Expenses</t>
  </si>
  <si>
    <t>Income Statement</t>
  </si>
  <si>
    <t>Balance Sheet</t>
  </si>
  <si>
    <t>as at 31 Aug 2025</t>
  </si>
  <si>
    <t xml:space="preserve">LESS: Accumulated Depreciation - Studio Equipment </t>
  </si>
  <si>
    <t xml:space="preserve">Studio Equipment </t>
  </si>
  <si>
    <t>TOTAL ASSETS</t>
  </si>
  <si>
    <t xml:space="preserve">Accounts Payable </t>
  </si>
  <si>
    <t xml:space="preserve">Wages Payable </t>
  </si>
  <si>
    <t xml:space="preserve">Unearned Revenue  </t>
  </si>
  <si>
    <t xml:space="preserve">Short Term Loan </t>
  </si>
  <si>
    <t>TOTAL LIABILITIES</t>
  </si>
  <si>
    <t>LESS: Drawings – Suzana P</t>
  </si>
  <si>
    <t>Drawings don’t affect capital account in day to day, it affects bank account and drawings account</t>
  </si>
  <si>
    <t>If owner introduces new asset, it affects asset account and capital account</t>
  </si>
  <si>
    <t>Only at year end, then capital account is affected</t>
  </si>
  <si>
    <t>CURRENT ASSETS</t>
  </si>
  <si>
    <t xml:space="preserve">Cash at Bank </t>
  </si>
  <si>
    <t>TOTAL CURRENT ASSETS</t>
  </si>
  <si>
    <t>NON-CURRENT ASSETS</t>
  </si>
  <si>
    <t>CURRENT LIABILITIES</t>
  </si>
  <si>
    <t>NON-CURRENT LIABILITIES</t>
  </si>
  <si>
    <t>TOTAL NON-CURRENT ASSETS</t>
  </si>
  <si>
    <t>OWNER'S EQUITY</t>
  </si>
  <si>
    <t>TOTAL OWNER'S EQUITY</t>
  </si>
  <si>
    <t>NET ASSETS (TA-TL)</t>
  </si>
  <si>
    <t>ADD: Profit for the month ended 31 Aug25</t>
  </si>
  <si>
    <t>Accumulated Depreciation  - Studio Equipment</t>
  </si>
  <si>
    <t>Capital  – Suzana P</t>
  </si>
  <si>
    <t>Drawings  - Suzana P</t>
  </si>
  <si>
    <t>drawings is an contra-equity  so it behaves like an expense  dr + / cr -</t>
  </si>
  <si>
    <t>accum dep is an contra-asset  so dr - / cr +</t>
  </si>
  <si>
    <t>Type</t>
  </si>
  <si>
    <t>CA</t>
  </si>
  <si>
    <t>FA</t>
  </si>
  <si>
    <t>Expense</t>
  </si>
  <si>
    <t>Depreciation</t>
  </si>
  <si>
    <t>Current Liability</t>
  </si>
  <si>
    <t>Non-Current Liability</t>
  </si>
  <si>
    <t>Revenue</t>
  </si>
  <si>
    <t>Equity</t>
  </si>
  <si>
    <t>TOTAL CURRENT LIABILITIES</t>
  </si>
  <si>
    <t>Closing Entries</t>
  </si>
  <si>
    <t>DR ($)</t>
  </si>
  <si>
    <t>CR ($)</t>
  </si>
  <si>
    <t>Profit &amp; Loss Summary</t>
  </si>
  <si>
    <t>(Close Revenue Account)</t>
  </si>
  <si>
    <t>(Close Expense Account)</t>
  </si>
  <si>
    <t>(Xfer P/L to Capital)</t>
  </si>
  <si>
    <t>Drawings</t>
  </si>
  <si>
    <t>(Close Drawings Account)</t>
  </si>
  <si>
    <t>deposit = receive money</t>
  </si>
  <si>
    <t>purchase policy = spend money</t>
  </si>
  <si>
    <t>purchase on credit = bill</t>
  </si>
  <si>
    <t>issue invoice = invoice</t>
  </si>
  <si>
    <t>paid wages / expense = spend money</t>
  </si>
  <si>
    <t>short term loan = receive money</t>
  </si>
  <si>
    <t>ref 8 - existing invoice</t>
  </si>
  <si>
    <t>ref 9 - existing invoice</t>
  </si>
  <si>
    <t>ref 10 - receive money</t>
  </si>
  <si>
    <t>ref 11 &amp; 12 - spend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</si>
</sst>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1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10" xfId="0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7" xfId="0" applyNumberForma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5" xfId="0" applyFont="1" applyBorder="1"/>
    <xf numFmtId="0" fontId="0" fillId="0" borderId="12" xfId="0" applyBorder="1"/>
    <xf numFmtId="0" fontId="0" fillId="0" borderId="11" xfId="0" applyBorder="1"/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indent="1"/>
    </xf>
    <xf numFmtId="0" fontId="2" fillId="0" borderId="5" xfId="0" applyFont="1" applyBorder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55</xdr:row>
      <xdr:rowOff>38100</xdr:rowOff>
    </xdr:from>
    <xdr:to>
      <xdr:col>5</xdr:col>
      <xdr:colOff>127000</xdr:colOff>
      <xdr:row>80</xdr:row>
      <xdr:rowOff>117737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99440B-61A4-8BE0-0793-41B30EE3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0604500"/>
          <a:ext cx="7772400" cy="4842137"/>
        </a:xfrm>
        <a:prstGeom prst="rect">
          <a:avLst/>
        </a:prstGeom>
      </xdr:spPr>
    </xdr:pic>
    <xdr:clientData/>
  </xdr:twoCellAnchor>
  <xdr:twoCellAnchor editAs="oneCell">
    <xdr:from>
      <xdr:col>6</xdr:col>
      <xdr:colOff>582950</xdr:colOff>
      <xdr:row>23</xdr:row>
      <xdr:rowOff>1</xdr:rowOff>
    </xdr:from>
    <xdr:to>
      <xdr:col>11</xdr:col>
      <xdr:colOff>243381</xdr:colOff>
      <xdr:row>33</xdr:row>
      <xdr:rowOff>78750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CC0BAD-01C6-AA63-E8D0-71B606CDE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491" y="4372132"/>
          <a:ext cx="7800923" cy="195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topLeftCell="C9" zoomScale="106" zoomScaleNormal="145" workbookViewId="0">
      <selection activeCell="F15" sqref="F15"/>
    </sheetView>
  </sheetViews>
  <sheetFormatPr baseColWidth="10" defaultColWidth="9.1640625" defaultRowHeight="15" x14ac:dyDescent="0.2"/>
  <cols>
    <col min="1" max="1" width="7" style="1" customWidth="1"/>
    <col min="2" max="3" width="9.1640625" style="1"/>
    <col min="4" max="4" width="71.5" style="1" customWidth="1"/>
    <col min="5" max="9" width="9.1640625" style="1"/>
    <col min="10" max="10" width="69.6640625" style="1" customWidth="1"/>
    <col min="11" max="16384" width="9.1640625" style="1"/>
  </cols>
  <sheetData>
    <row r="1" spans="2:12" ht="16" thickBot="1" x14ac:dyDescent="0.25"/>
    <row r="2" spans="2:12" x14ac:dyDescent="0.2">
      <c r="B2" s="55" t="s">
        <v>3</v>
      </c>
      <c r="C2" s="56"/>
      <c r="D2" s="56"/>
      <c r="E2" s="56"/>
      <c r="F2" s="57"/>
      <c r="H2" s="55" t="s">
        <v>37</v>
      </c>
      <c r="I2" s="56"/>
      <c r="J2" s="56"/>
      <c r="K2" s="56"/>
      <c r="L2" s="57"/>
    </row>
    <row r="3" spans="2:12" x14ac:dyDescent="0.2">
      <c r="B3" s="5" t="s">
        <v>0</v>
      </c>
      <c r="C3" s="1" t="s">
        <v>1</v>
      </c>
      <c r="D3" s="1" t="s">
        <v>2</v>
      </c>
      <c r="E3" s="1" t="s">
        <v>53</v>
      </c>
      <c r="F3" s="6" t="s">
        <v>52</v>
      </c>
      <c r="H3" s="5" t="s">
        <v>0</v>
      </c>
      <c r="I3" s="1" t="s">
        <v>1</v>
      </c>
      <c r="J3" s="1" t="s">
        <v>2</v>
      </c>
      <c r="K3" s="1" t="s">
        <v>53</v>
      </c>
      <c r="L3" s="6" t="s">
        <v>52</v>
      </c>
    </row>
    <row r="4" spans="2:12" x14ac:dyDescent="0.2">
      <c r="B4" s="5">
        <v>1</v>
      </c>
      <c r="C4" s="7">
        <v>46235</v>
      </c>
      <c r="D4" s="2" t="s">
        <v>4</v>
      </c>
      <c r="E4" s="1">
        <v>20000</v>
      </c>
      <c r="F4" s="6"/>
      <c r="H4" s="5">
        <v>1</v>
      </c>
      <c r="I4" s="7">
        <v>46265</v>
      </c>
      <c r="J4" s="2" t="s">
        <v>39</v>
      </c>
      <c r="K4" s="1">
        <v>500</v>
      </c>
      <c r="L4" s="6"/>
    </row>
    <row r="5" spans="2:12" x14ac:dyDescent="0.2">
      <c r="B5" s="5"/>
      <c r="D5" s="8" t="s">
        <v>24</v>
      </c>
      <c r="F5" s="6">
        <v>20000</v>
      </c>
      <c r="H5" s="5"/>
      <c r="J5" s="8" t="s">
        <v>6</v>
      </c>
      <c r="L5" s="6">
        <v>500</v>
      </c>
    </row>
    <row r="6" spans="2:12" x14ac:dyDescent="0.2">
      <c r="B6" s="5"/>
      <c r="D6" s="9" t="s">
        <v>5</v>
      </c>
      <c r="F6" s="6"/>
      <c r="H6" s="5"/>
      <c r="J6" s="9" t="s">
        <v>38</v>
      </c>
      <c r="L6" s="6"/>
    </row>
    <row r="7" spans="2:12" x14ac:dyDescent="0.2">
      <c r="B7" s="5">
        <v>2</v>
      </c>
      <c r="C7" s="7">
        <v>46235</v>
      </c>
      <c r="D7" s="2" t="s">
        <v>6</v>
      </c>
      <c r="E7" s="1">
        <v>3000</v>
      </c>
      <c r="F7" s="6"/>
      <c r="H7" s="5">
        <v>2</v>
      </c>
      <c r="I7" s="7">
        <v>46265</v>
      </c>
      <c r="J7" s="2" t="s">
        <v>41</v>
      </c>
      <c r="K7" s="1">
        <v>700</v>
      </c>
      <c r="L7" s="6"/>
    </row>
    <row r="8" spans="2:12" x14ac:dyDescent="0.2">
      <c r="B8" s="5"/>
      <c r="D8" s="8" t="s">
        <v>10</v>
      </c>
      <c r="F8" s="6">
        <v>3000</v>
      </c>
      <c r="H8" s="5"/>
      <c r="J8" s="8" t="s">
        <v>40</v>
      </c>
      <c r="L8" s="6">
        <v>700</v>
      </c>
    </row>
    <row r="9" spans="2:12" x14ac:dyDescent="0.2">
      <c r="B9" s="5"/>
      <c r="D9" s="9" t="s">
        <v>28</v>
      </c>
      <c r="F9" s="6"/>
      <c r="H9" s="5"/>
      <c r="J9" s="9" t="s">
        <v>42</v>
      </c>
      <c r="L9" s="6"/>
    </row>
    <row r="10" spans="2:12" x14ac:dyDescent="0.2">
      <c r="B10" s="5">
        <v>3</v>
      </c>
      <c r="C10" s="7">
        <v>46238</v>
      </c>
      <c r="D10" s="2" t="s">
        <v>7</v>
      </c>
      <c r="E10" s="1">
        <v>1200</v>
      </c>
      <c r="F10" s="6"/>
      <c r="H10" s="5">
        <v>3</v>
      </c>
      <c r="I10" s="7">
        <v>46265</v>
      </c>
      <c r="J10" s="2" t="s">
        <v>45</v>
      </c>
      <c r="K10" s="1">
        <v>200</v>
      </c>
      <c r="L10" s="6"/>
    </row>
    <row r="11" spans="2:12" x14ac:dyDescent="0.2">
      <c r="B11" s="5"/>
      <c r="D11" s="8" t="s">
        <v>12</v>
      </c>
      <c r="F11" s="6">
        <v>1200</v>
      </c>
      <c r="H11" s="5"/>
      <c r="J11" s="10" t="s">
        <v>43</v>
      </c>
      <c r="L11" s="6">
        <v>200</v>
      </c>
    </row>
    <row r="12" spans="2:12" x14ac:dyDescent="0.2">
      <c r="B12" s="5"/>
      <c r="C12" s="7"/>
      <c r="D12" s="9" t="s">
        <v>29</v>
      </c>
      <c r="F12" s="6"/>
      <c r="H12" s="5"/>
      <c r="I12" s="7"/>
      <c r="J12" s="9" t="s">
        <v>47</v>
      </c>
      <c r="L12" s="6"/>
    </row>
    <row r="13" spans="2:12" x14ac:dyDescent="0.2">
      <c r="B13" s="5">
        <v>4</v>
      </c>
      <c r="C13" s="7">
        <v>46239</v>
      </c>
      <c r="D13" s="2" t="s">
        <v>8</v>
      </c>
      <c r="E13" s="1">
        <v>12000</v>
      </c>
      <c r="F13" s="6"/>
      <c r="H13" s="5">
        <v>4</v>
      </c>
      <c r="I13" s="7">
        <v>46265</v>
      </c>
      <c r="J13" s="2" t="s">
        <v>21</v>
      </c>
      <c r="K13" s="1">
        <v>1200</v>
      </c>
      <c r="L13" s="6"/>
    </row>
    <row r="14" spans="2:12" x14ac:dyDescent="0.2">
      <c r="B14" s="5"/>
      <c r="D14" s="8" t="s">
        <v>10</v>
      </c>
      <c r="F14" s="6">
        <v>4000</v>
      </c>
      <c r="H14" s="5"/>
      <c r="J14" s="8" t="s">
        <v>14</v>
      </c>
      <c r="L14" s="6">
        <v>1200</v>
      </c>
    </row>
    <row r="15" spans="2:12" x14ac:dyDescent="0.2">
      <c r="B15" s="5"/>
      <c r="D15" s="8" t="s">
        <v>12</v>
      </c>
      <c r="F15" s="6">
        <v>8000</v>
      </c>
      <c r="H15" s="5"/>
      <c r="J15" s="9" t="s">
        <v>48</v>
      </c>
      <c r="L15" s="6"/>
    </row>
    <row r="16" spans="2:12" x14ac:dyDescent="0.2">
      <c r="B16" s="5"/>
      <c r="D16" s="9" t="s">
        <v>30</v>
      </c>
      <c r="F16" s="6"/>
      <c r="H16" s="5">
        <v>5</v>
      </c>
      <c r="I16" s="7">
        <v>46265</v>
      </c>
      <c r="J16" s="2" t="s">
        <v>22</v>
      </c>
      <c r="K16" s="1">
        <v>600</v>
      </c>
      <c r="L16" s="6"/>
    </row>
    <row r="17" spans="2:12" x14ac:dyDescent="0.2">
      <c r="B17" s="5">
        <v>5</v>
      </c>
      <c r="C17" s="7">
        <v>46242</v>
      </c>
      <c r="D17" s="2" t="s">
        <v>13</v>
      </c>
      <c r="E17" s="1">
        <v>5500</v>
      </c>
      <c r="F17" s="6"/>
      <c r="H17" s="5"/>
      <c r="I17" s="7"/>
      <c r="J17" s="8" t="s">
        <v>49</v>
      </c>
      <c r="L17" s="6">
        <v>600</v>
      </c>
    </row>
    <row r="18" spans="2:12" x14ac:dyDescent="0.2">
      <c r="B18" s="5"/>
      <c r="D18" s="8" t="s">
        <v>14</v>
      </c>
      <c r="F18" s="6">
        <v>5500</v>
      </c>
      <c r="H18" s="5"/>
      <c r="J18" s="9" t="s">
        <v>50</v>
      </c>
      <c r="L18" s="6"/>
    </row>
    <row r="19" spans="2:12" x14ac:dyDescent="0.2">
      <c r="B19" s="5"/>
      <c r="D19" s="9" t="s">
        <v>15</v>
      </c>
      <c r="F19" s="6"/>
      <c r="H19" s="5"/>
      <c r="J19" s="2"/>
      <c r="L19" s="6"/>
    </row>
    <row r="20" spans="2:12" ht="16" thickBot="1" x14ac:dyDescent="0.25">
      <c r="B20" s="5">
        <v>6</v>
      </c>
      <c r="C20" s="7">
        <v>46246</v>
      </c>
      <c r="D20" s="2" t="s">
        <v>22</v>
      </c>
      <c r="E20" s="1">
        <v>2200</v>
      </c>
      <c r="F20" s="6"/>
      <c r="H20" s="5"/>
      <c r="J20" s="2" t="s">
        <v>33</v>
      </c>
      <c r="K20" s="4">
        <f>SUM(K4:K19)</f>
        <v>3200</v>
      </c>
      <c r="L20" s="14">
        <f>SUM(L4:L19)</f>
        <v>3200</v>
      </c>
    </row>
    <row r="21" spans="2:12" ht="17" thickTop="1" thickBot="1" x14ac:dyDescent="0.25">
      <c r="B21" s="5"/>
      <c r="D21" s="8" t="s">
        <v>10</v>
      </c>
      <c r="F21" s="6">
        <v>2200</v>
      </c>
      <c r="H21" s="11"/>
      <c r="I21" s="12"/>
      <c r="J21" s="12"/>
      <c r="K21" s="12"/>
      <c r="L21" s="15"/>
    </row>
    <row r="22" spans="2:12" x14ac:dyDescent="0.2">
      <c r="B22" s="5"/>
      <c r="D22" s="9" t="s">
        <v>16</v>
      </c>
      <c r="F22" s="6"/>
    </row>
    <row r="23" spans="2:12" x14ac:dyDescent="0.2">
      <c r="B23" s="5">
        <v>7</v>
      </c>
      <c r="C23" s="7">
        <v>46249</v>
      </c>
      <c r="D23" s="2" t="s">
        <v>10</v>
      </c>
      <c r="E23" s="1">
        <v>6000</v>
      </c>
      <c r="F23" s="6"/>
    </row>
    <row r="24" spans="2:12" x14ac:dyDescent="0.2">
      <c r="B24" s="5"/>
      <c r="D24" s="8" t="s">
        <v>17</v>
      </c>
      <c r="F24" s="6">
        <v>6000</v>
      </c>
    </row>
    <row r="25" spans="2:12" x14ac:dyDescent="0.2">
      <c r="B25" s="5"/>
      <c r="D25" s="9" t="s">
        <v>31</v>
      </c>
      <c r="F25" s="6"/>
    </row>
    <row r="26" spans="2:12" x14ac:dyDescent="0.2">
      <c r="B26" s="5">
        <v>8</v>
      </c>
      <c r="C26" s="7">
        <v>46252</v>
      </c>
      <c r="D26" s="2" t="s">
        <v>10</v>
      </c>
      <c r="E26" s="1">
        <v>5500</v>
      </c>
      <c r="F26" s="6"/>
    </row>
    <row r="27" spans="2:12" x14ac:dyDescent="0.2">
      <c r="B27" s="5"/>
      <c r="D27" s="8" t="s">
        <v>13</v>
      </c>
      <c r="F27" s="6">
        <v>5500</v>
      </c>
    </row>
    <row r="28" spans="2:12" x14ac:dyDescent="0.2">
      <c r="B28" s="5"/>
      <c r="D28" s="9" t="s">
        <v>18</v>
      </c>
      <c r="F28" s="6"/>
    </row>
    <row r="29" spans="2:12" x14ac:dyDescent="0.2">
      <c r="B29" s="5">
        <v>9</v>
      </c>
      <c r="C29" s="7">
        <v>46254</v>
      </c>
      <c r="D29" s="2" t="s">
        <v>10</v>
      </c>
      <c r="E29" s="1">
        <v>3200</v>
      </c>
      <c r="F29" s="6"/>
    </row>
    <row r="30" spans="2:12" x14ac:dyDescent="0.2">
      <c r="B30" s="5"/>
      <c r="D30" s="8" t="s">
        <v>14</v>
      </c>
      <c r="F30" s="6">
        <v>3200</v>
      </c>
    </row>
    <row r="31" spans="2:12" x14ac:dyDescent="0.2">
      <c r="B31" s="5"/>
      <c r="D31" s="9" t="s">
        <v>19</v>
      </c>
      <c r="F31" s="6"/>
    </row>
    <row r="32" spans="2:12" x14ac:dyDescent="0.2">
      <c r="B32" s="5">
        <v>10</v>
      </c>
      <c r="C32" s="7">
        <v>46256</v>
      </c>
      <c r="D32" s="2" t="s">
        <v>32</v>
      </c>
      <c r="E32" s="1">
        <v>600</v>
      </c>
      <c r="F32" s="6"/>
    </row>
    <row r="33" spans="2:8" x14ac:dyDescent="0.2">
      <c r="B33" s="5"/>
      <c r="D33" s="8" t="s">
        <v>10</v>
      </c>
      <c r="F33" s="6">
        <v>600</v>
      </c>
    </row>
    <row r="34" spans="2:8" x14ac:dyDescent="0.2">
      <c r="B34" s="5"/>
      <c r="D34" s="9" t="s">
        <v>20</v>
      </c>
      <c r="F34" s="6"/>
    </row>
    <row r="35" spans="2:8" x14ac:dyDescent="0.2">
      <c r="B35" s="5">
        <v>11</v>
      </c>
      <c r="C35" s="7">
        <v>46259</v>
      </c>
      <c r="D35" s="2" t="s">
        <v>10</v>
      </c>
      <c r="E35" s="1">
        <v>2400</v>
      </c>
      <c r="F35" s="6"/>
    </row>
    <row r="36" spans="2:8" x14ac:dyDescent="0.2">
      <c r="B36" s="5"/>
      <c r="D36" s="8" t="s">
        <v>21</v>
      </c>
      <c r="F36" s="6">
        <v>2400</v>
      </c>
      <c r="H36" t="s">
        <v>140</v>
      </c>
    </row>
    <row r="37" spans="2:8" x14ac:dyDescent="0.2">
      <c r="B37" s="5"/>
      <c r="D37" s="9" t="s">
        <v>26</v>
      </c>
      <c r="F37" s="6"/>
      <c r="H37" t="s">
        <v>141</v>
      </c>
    </row>
    <row r="38" spans="2:8" x14ac:dyDescent="0.2">
      <c r="B38" s="5">
        <v>12</v>
      </c>
      <c r="C38" s="7">
        <v>46260</v>
      </c>
      <c r="D38" s="2" t="s">
        <v>22</v>
      </c>
      <c r="E38" s="1">
        <v>2200</v>
      </c>
      <c r="F38" s="6"/>
      <c r="H38" t="s">
        <v>142</v>
      </c>
    </row>
    <row r="39" spans="2:8" x14ac:dyDescent="0.2">
      <c r="B39" s="5"/>
      <c r="D39" s="8" t="s">
        <v>10</v>
      </c>
      <c r="F39" s="6">
        <v>2200</v>
      </c>
      <c r="H39" t="s">
        <v>143</v>
      </c>
    </row>
    <row r="40" spans="2:8" x14ac:dyDescent="0.2">
      <c r="B40" s="5"/>
      <c r="D40" s="9" t="s">
        <v>16</v>
      </c>
      <c r="F40" s="6"/>
      <c r="H40" t="s">
        <v>144</v>
      </c>
    </row>
    <row r="41" spans="2:8" x14ac:dyDescent="0.2">
      <c r="B41" s="5">
        <v>13</v>
      </c>
      <c r="C41" s="7">
        <v>46262</v>
      </c>
      <c r="D41" s="2" t="s">
        <v>12</v>
      </c>
      <c r="E41" s="1">
        <v>600</v>
      </c>
      <c r="F41" s="6"/>
      <c r="H41" t="s">
        <v>145</v>
      </c>
    </row>
    <row r="42" spans="2:8" x14ac:dyDescent="0.2">
      <c r="B42" s="5"/>
      <c r="D42" s="2" t="s">
        <v>10</v>
      </c>
      <c r="F42" s="6">
        <v>600</v>
      </c>
      <c r="H42" t="s">
        <v>146</v>
      </c>
    </row>
    <row r="43" spans="2:8" x14ac:dyDescent="0.2">
      <c r="B43" s="5"/>
      <c r="C43" s="1" t="s">
        <v>9</v>
      </c>
      <c r="D43" s="9" t="s">
        <v>35</v>
      </c>
      <c r="F43" s="6"/>
      <c r="H43" t="s">
        <v>147</v>
      </c>
    </row>
    <row r="44" spans="2:8" x14ac:dyDescent="0.2">
      <c r="B44" s="5">
        <v>14</v>
      </c>
      <c r="C44" s="7">
        <v>46265</v>
      </c>
      <c r="D44" s="2" t="s">
        <v>23</v>
      </c>
      <c r="E44" s="1">
        <v>1000</v>
      </c>
      <c r="F44" s="6"/>
      <c r="H44" t="s">
        <v>148</v>
      </c>
    </row>
    <row r="45" spans="2:8" x14ac:dyDescent="0.2">
      <c r="B45" s="5"/>
      <c r="D45" s="10" t="s">
        <v>10</v>
      </c>
      <c r="F45" s="6">
        <v>1000</v>
      </c>
      <c r="H45" t="s">
        <v>149</v>
      </c>
    </row>
    <row r="46" spans="2:8" x14ac:dyDescent="0.2">
      <c r="B46" s="5"/>
      <c r="D46" s="9" t="s">
        <v>25</v>
      </c>
      <c r="F46" s="6"/>
    </row>
    <row r="47" spans="2:8" x14ac:dyDescent="0.2">
      <c r="B47" s="5"/>
      <c r="D47" s="2"/>
      <c r="F47" s="6"/>
    </row>
    <row r="48" spans="2:8" ht="16" thickBot="1" x14ac:dyDescent="0.25">
      <c r="B48" s="5"/>
      <c r="D48" s="2" t="s">
        <v>33</v>
      </c>
      <c r="E48" s="4">
        <f>SUM(E4:E47)</f>
        <v>65400</v>
      </c>
      <c r="F48" s="14">
        <f>SUM(F4:F47)</f>
        <v>65400</v>
      </c>
    </row>
    <row r="49" spans="2:6" ht="17" thickTop="1" thickBot="1" x14ac:dyDescent="0.25">
      <c r="B49" s="11"/>
      <c r="C49" s="12"/>
      <c r="D49" s="12"/>
      <c r="E49" s="12"/>
      <c r="F49" s="15"/>
    </row>
    <row r="50" spans="2:6" x14ac:dyDescent="0.2">
      <c r="D50" s="2"/>
    </row>
    <row r="51" spans="2:6" x14ac:dyDescent="0.2">
      <c r="B51" s="2" t="s">
        <v>27</v>
      </c>
      <c r="D51" s="2"/>
    </row>
    <row r="52" spans="2:6" x14ac:dyDescent="0.2">
      <c r="B52" s="3" t="s">
        <v>34</v>
      </c>
      <c r="D52" s="2"/>
    </row>
    <row r="53" spans="2:6" x14ac:dyDescent="0.2">
      <c r="B53" s="3" t="s">
        <v>36</v>
      </c>
    </row>
    <row r="54" spans="2:6" x14ac:dyDescent="0.2">
      <c r="B54" s="3" t="s">
        <v>46</v>
      </c>
    </row>
  </sheetData>
  <mergeCells count="2">
    <mergeCell ref="B2:F2"/>
    <mergeCell ref="H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1411-F875-4BCF-A6DF-12BD20567178}">
  <dimension ref="B1:O50"/>
  <sheetViews>
    <sheetView topLeftCell="H1" zoomScale="213" zoomScaleNormal="145" workbookViewId="0">
      <selection activeCell="M6" sqref="M6"/>
    </sheetView>
  </sheetViews>
  <sheetFormatPr baseColWidth="10" defaultColWidth="8.83203125" defaultRowHeight="15" x14ac:dyDescent="0.2"/>
  <cols>
    <col min="2" max="2" width="11.83203125" customWidth="1"/>
    <col min="3" max="3" width="23" customWidth="1"/>
    <col min="6" max="6" width="5" customWidth="1"/>
    <col min="8" max="8" width="40.5" customWidth="1"/>
    <col min="11" max="11" width="4.1640625" customWidth="1"/>
    <col min="13" max="13" width="24.1640625" customWidth="1"/>
  </cols>
  <sheetData>
    <row r="1" spans="2:15" ht="16" thickBot="1" x14ac:dyDescent="0.25"/>
    <row r="2" spans="2:15" x14ac:dyDescent="0.2">
      <c r="B2" s="58" t="s">
        <v>58</v>
      </c>
      <c r="C2" s="59"/>
      <c r="D2" s="59"/>
      <c r="E2" s="60"/>
      <c r="G2" s="27" t="s">
        <v>61</v>
      </c>
      <c r="H2" s="28"/>
      <c r="I2" s="28"/>
      <c r="J2" s="29"/>
      <c r="L2" s="34" t="s">
        <v>68</v>
      </c>
      <c r="M2" s="28"/>
      <c r="N2" s="28"/>
      <c r="O2" s="29"/>
    </row>
    <row r="3" spans="2:15" x14ac:dyDescent="0.2">
      <c r="B3" s="17" t="s">
        <v>1</v>
      </c>
      <c r="C3" t="s">
        <v>51</v>
      </c>
      <c r="D3" s="1" t="s">
        <v>53</v>
      </c>
      <c r="E3" s="6" t="s">
        <v>52</v>
      </c>
      <c r="G3" s="17" t="s">
        <v>1</v>
      </c>
      <c r="H3" t="s">
        <v>51</v>
      </c>
      <c r="I3" s="1" t="s">
        <v>53</v>
      </c>
      <c r="J3" s="6" t="s">
        <v>52</v>
      </c>
      <c r="L3" s="17" t="s">
        <v>1</v>
      </c>
      <c r="M3" t="s">
        <v>51</v>
      </c>
      <c r="N3" s="1" t="s">
        <v>53</v>
      </c>
      <c r="O3" s="6" t="s">
        <v>52</v>
      </c>
    </row>
    <row r="4" spans="2:15" x14ac:dyDescent="0.2">
      <c r="B4" s="18">
        <v>46235</v>
      </c>
      <c r="C4" s="19" t="s">
        <v>11</v>
      </c>
      <c r="D4" s="20">
        <v>20000</v>
      </c>
      <c r="E4" s="21"/>
      <c r="G4" s="18">
        <v>46235</v>
      </c>
      <c r="H4" s="19" t="s">
        <v>4</v>
      </c>
      <c r="I4" s="20"/>
      <c r="J4" s="21">
        <v>20000</v>
      </c>
      <c r="L4" s="18">
        <v>46242</v>
      </c>
      <c r="M4" s="2" t="s">
        <v>13</v>
      </c>
      <c r="O4" s="21">
        <v>5500</v>
      </c>
    </row>
    <row r="5" spans="2:15" x14ac:dyDescent="0.2">
      <c r="B5" s="18">
        <v>46235</v>
      </c>
      <c r="C5" s="19" t="s">
        <v>6</v>
      </c>
      <c r="D5" s="20"/>
      <c r="E5" s="21">
        <v>3000</v>
      </c>
      <c r="G5" s="22">
        <v>46265</v>
      </c>
      <c r="H5" s="19" t="s">
        <v>54</v>
      </c>
      <c r="I5" s="20"/>
      <c r="J5" s="21">
        <v>20000</v>
      </c>
      <c r="L5" s="18">
        <v>46254</v>
      </c>
      <c r="M5" s="2" t="s">
        <v>10</v>
      </c>
      <c r="O5" s="6">
        <v>3200</v>
      </c>
    </row>
    <row r="6" spans="2:15" ht="16" thickBot="1" x14ac:dyDescent="0.25">
      <c r="B6" s="22">
        <v>46239</v>
      </c>
      <c r="C6" s="19" t="s">
        <v>8</v>
      </c>
      <c r="D6" s="20"/>
      <c r="E6" s="21">
        <v>4000</v>
      </c>
      <c r="G6" s="24">
        <v>46266</v>
      </c>
      <c r="H6" s="13" t="s">
        <v>55</v>
      </c>
      <c r="I6" s="30"/>
      <c r="J6" s="31">
        <v>20000</v>
      </c>
      <c r="L6" s="24">
        <v>46265</v>
      </c>
      <c r="M6" s="13" t="s">
        <v>21</v>
      </c>
      <c r="N6" s="30"/>
      <c r="O6" s="15">
        <v>1200</v>
      </c>
    </row>
    <row r="7" spans="2:15" ht="16" thickBot="1" x14ac:dyDescent="0.25">
      <c r="B7" s="22">
        <v>46246</v>
      </c>
      <c r="C7" s="19" t="s">
        <v>22</v>
      </c>
      <c r="D7" s="20"/>
      <c r="E7" s="21">
        <v>2200</v>
      </c>
      <c r="L7" s="32"/>
      <c r="M7" s="19"/>
      <c r="N7" s="20"/>
      <c r="O7" s="20"/>
    </row>
    <row r="8" spans="2:15" x14ac:dyDescent="0.2">
      <c r="B8" s="22">
        <v>46249</v>
      </c>
      <c r="C8" s="19" t="s">
        <v>17</v>
      </c>
      <c r="D8" s="20">
        <v>6000</v>
      </c>
      <c r="E8" s="21"/>
      <c r="G8" s="34" t="s">
        <v>64</v>
      </c>
      <c r="H8" s="28"/>
      <c r="I8" s="28"/>
      <c r="J8" s="29"/>
      <c r="L8" s="32"/>
      <c r="M8" s="2"/>
      <c r="O8" s="20"/>
    </row>
    <row r="9" spans="2:15" ht="16" thickBot="1" x14ac:dyDescent="0.25">
      <c r="B9" s="22">
        <v>46252</v>
      </c>
      <c r="C9" s="2" t="s">
        <v>13</v>
      </c>
      <c r="D9" s="20">
        <v>5500</v>
      </c>
      <c r="E9" s="21"/>
      <c r="G9" s="17" t="s">
        <v>1</v>
      </c>
      <c r="H9" t="s">
        <v>51</v>
      </c>
      <c r="I9" s="1" t="s">
        <v>53</v>
      </c>
      <c r="J9" s="6" t="s">
        <v>52</v>
      </c>
    </row>
    <row r="10" spans="2:15" x14ac:dyDescent="0.2">
      <c r="B10" s="22">
        <v>46254</v>
      </c>
      <c r="C10" s="19" t="s">
        <v>14</v>
      </c>
      <c r="D10" s="20">
        <v>3200</v>
      </c>
      <c r="E10" s="21"/>
      <c r="G10" s="18">
        <v>46238</v>
      </c>
      <c r="H10" s="2" t="s">
        <v>7</v>
      </c>
      <c r="I10" s="20"/>
      <c r="J10" s="6">
        <v>1200</v>
      </c>
      <c r="L10" s="34" t="s">
        <v>69</v>
      </c>
      <c r="M10" s="28"/>
      <c r="N10" s="28"/>
      <c r="O10" s="29"/>
    </row>
    <row r="11" spans="2:15" x14ac:dyDescent="0.2">
      <c r="B11" s="18">
        <v>46256</v>
      </c>
      <c r="C11" s="2" t="s">
        <v>32</v>
      </c>
      <c r="D11" s="20"/>
      <c r="E11" s="21">
        <v>600</v>
      </c>
      <c r="G11" s="18">
        <v>46239</v>
      </c>
      <c r="H11" s="2" t="s">
        <v>8</v>
      </c>
      <c r="I11" s="20"/>
      <c r="J11" s="6">
        <v>8000</v>
      </c>
      <c r="L11" s="17" t="s">
        <v>1</v>
      </c>
      <c r="M11" t="s">
        <v>51</v>
      </c>
      <c r="N11" s="1" t="s">
        <v>53</v>
      </c>
      <c r="O11" s="6" t="s">
        <v>52</v>
      </c>
    </row>
    <row r="12" spans="2:15" x14ac:dyDescent="0.2">
      <c r="B12" s="18">
        <v>46259</v>
      </c>
      <c r="C12" s="2" t="s">
        <v>21</v>
      </c>
      <c r="D12" s="20">
        <v>2400</v>
      </c>
      <c r="E12" s="21"/>
      <c r="G12" s="18">
        <v>46262</v>
      </c>
      <c r="H12" s="2" t="s">
        <v>10</v>
      </c>
      <c r="I12" s="20">
        <v>600</v>
      </c>
      <c r="J12" s="21"/>
      <c r="L12" s="18">
        <v>46249</v>
      </c>
      <c r="M12" s="2" t="s">
        <v>10</v>
      </c>
      <c r="O12" s="6">
        <v>6000</v>
      </c>
    </row>
    <row r="13" spans="2:15" x14ac:dyDescent="0.2">
      <c r="B13" s="18">
        <v>46260</v>
      </c>
      <c r="C13" s="2" t="s">
        <v>22</v>
      </c>
      <c r="D13" s="20"/>
      <c r="E13" s="6">
        <v>2200</v>
      </c>
      <c r="G13" s="22">
        <v>46265</v>
      </c>
      <c r="H13" s="19" t="s">
        <v>54</v>
      </c>
      <c r="I13" s="20"/>
      <c r="J13" s="21">
        <v>8600</v>
      </c>
      <c r="L13" s="22">
        <v>46265</v>
      </c>
      <c r="M13" s="19" t="s">
        <v>54</v>
      </c>
      <c r="N13" s="20"/>
      <c r="O13" s="6">
        <v>6000</v>
      </c>
    </row>
    <row r="14" spans="2:15" ht="16" thickBot="1" x14ac:dyDescent="0.25">
      <c r="B14" s="18">
        <v>46262</v>
      </c>
      <c r="C14" s="2" t="s">
        <v>12</v>
      </c>
      <c r="D14" s="20"/>
      <c r="E14" s="6">
        <v>600</v>
      </c>
      <c r="G14" s="24">
        <v>46266</v>
      </c>
      <c r="H14" s="13" t="s">
        <v>55</v>
      </c>
      <c r="I14" s="25"/>
      <c r="J14" s="31">
        <v>8600</v>
      </c>
      <c r="L14" s="24">
        <v>46266</v>
      </c>
      <c r="M14" s="13" t="s">
        <v>55</v>
      </c>
      <c r="N14" s="30"/>
      <c r="O14" s="15">
        <v>6000</v>
      </c>
    </row>
    <row r="15" spans="2:15" ht="16" thickBot="1" x14ac:dyDescent="0.25">
      <c r="B15" s="18">
        <v>46265</v>
      </c>
      <c r="C15" s="2" t="s">
        <v>23</v>
      </c>
      <c r="D15" s="20"/>
      <c r="E15" s="6">
        <v>1000</v>
      </c>
      <c r="G15" s="32"/>
      <c r="H15" s="2"/>
      <c r="I15" s="20"/>
      <c r="J15" s="20"/>
    </row>
    <row r="16" spans="2:15" x14ac:dyDescent="0.2">
      <c r="B16" s="22">
        <v>46265</v>
      </c>
      <c r="C16" s="19" t="s">
        <v>54</v>
      </c>
      <c r="D16" s="20"/>
      <c r="E16" s="21">
        <v>23500</v>
      </c>
      <c r="G16" s="34" t="s">
        <v>65</v>
      </c>
      <c r="H16" s="28"/>
      <c r="I16" s="28"/>
      <c r="J16" s="29"/>
      <c r="L16" s="27" t="s">
        <v>70</v>
      </c>
      <c r="M16" s="28"/>
      <c r="N16" s="28"/>
      <c r="O16" s="29"/>
    </row>
    <row r="17" spans="2:15" ht="16" thickBot="1" x14ac:dyDescent="0.25">
      <c r="B17" s="17"/>
      <c r="D17" s="16">
        <f>SUM(D4:D16)</f>
        <v>37100</v>
      </c>
      <c r="E17" s="23">
        <f>SUM(E4:E16)</f>
        <v>37100</v>
      </c>
      <c r="G17" s="17" t="s">
        <v>1</v>
      </c>
      <c r="H17" t="s">
        <v>51</v>
      </c>
      <c r="I17" s="1" t="s">
        <v>53</v>
      </c>
      <c r="J17" s="6" t="s">
        <v>52</v>
      </c>
      <c r="L17" s="17" t="s">
        <v>1</v>
      </c>
      <c r="M17" t="s">
        <v>51</v>
      </c>
      <c r="N17" s="1" t="s">
        <v>53</v>
      </c>
      <c r="O17" s="6" t="s">
        <v>52</v>
      </c>
    </row>
    <row r="18" spans="2:15" ht="17" thickTop="1" thickBot="1" x14ac:dyDescent="0.25">
      <c r="B18" s="24">
        <v>46266</v>
      </c>
      <c r="C18" s="13" t="s">
        <v>55</v>
      </c>
      <c r="D18" s="25">
        <v>23500</v>
      </c>
      <c r="E18" s="26"/>
      <c r="G18" s="18">
        <v>46242</v>
      </c>
      <c r="H18" s="2" t="s">
        <v>14</v>
      </c>
      <c r="I18">
        <v>5500</v>
      </c>
      <c r="J18" s="35"/>
      <c r="L18" s="33">
        <v>46256</v>
      </c>
      <c r="M18" s="13" t="s">
        <v>10</v>
      </c>
      <c r="N18" s="25">
        <v>600</v>
      </c>
      <c r="O18" s="26"/>
    </row>
    <row r="19" spans="2:15" ht="16" thickBot="1" x14ac:dyDescent="0.25">
      <c r="G19" s="33">
        <v>46252</v>
      </c>
      <c r="H19" s="13" t="s">
        <v>10</v>
      </c>
      <c r="I19" s="30"/>
      <c r="J19" s="31">
        <v>5500</v>
      </c>
    </row>
    <row r="20" spans="2:15" ht="16" thickBot="1" x14ac:dyDescent="0.25">
      <c r="B20" s="27" t="s">
        <v>57</v>
      </c>
      <c r="C20" s="28"/>
      <c r="D20" s="28"/>
      <c r="E20" s="29"/>
      <c r="L20" s="34" t="s">
        <v>72</v>
      </c>
      <c r="M20" s="28"/>
      <c r="N20" s="28"/>
      <c r="O20" s="29"/>
    </row>
    <row r="21" spans="2:15" x14ac:dyDescent="0.2">
      <c r="B21" s="17" t="s">
        <v>1</v>
      </c>
      <c r="C21" t="s">
        <v>51</v>
      </c>
      <c r="D21" s="1" t="s">
        <v>53</v>
      </c>
      <c r="E21" s="6" t="s">
        <v>52</v>
      </c>
      <c r="G21" s="34" t="s">
        <v>66</v>
      </c>
      <c r="H21" s="28"/>
      <c r="I21" s="28"/>
      <c r="J21" s="29"/>
      <c r="L21" s="17" t="s">
        <v>1</v>
      </c>
      <c r="M21" t="s">
        <v>51</v>
      </c>
      <c r="N21" s="1" t="s">
        <v>53</v>
      </c>
      <c r="O21" s="6" t="s">
        <v>52</v>
      </c>
    </row>
    <row r="22" spans="2:15" x14ac:dyDescent="0.2">
      <c r="B22" s="18">
        <v>46235</v>
      </c>
      <c r="C22" s="19" t="s">
        <v>10</v>
      </c>
      <c r="D22" s="20">
        <v>3000</v>
      </c>
      <c r="E22" s="21"/>
      <c r="G22" s="17" t="s">
        <v>1</v>
      </c>
      <c r="H22" t="s">
        <v>51</v>
      </c>
      <c r="I22" s="1" t="s">
        <v>53</v>
      </c>
      <c r="J22" s="6" t="s">
        <v>52</v>
      </c>
      <c r="L22" s="18">
        <v>46259</v>
      </c>
      <c r="M22" s="2" t="s">
        <v>10</v>
      </c>
      <c r="N22" s="1"/>
      <c r="O22" s="6">
        <v>2400</v>
      </c>
    </row>
    <row r="23" spans="2:15" x14ac:dyDescent="0.2">
      <c r="B23" s="22">
        <v>46265</v>
      </c>
      <c r="C23" s="2" t="s">
        <v>39</v>
      </c>
      <c r="D23" s="20"/>
      <c r="E23" s="6">
        <v>500</v>
      </c>
      <c r="G23" s="18">
        <v>46246</v>
      </c>
      <c r="H23" s="2" t="s">
        <v>10</v>
      </c>
      <c r="I23">
        <v>2200</v>
      </c>
      <c r="J23" s="35"/>
      <c r="L23" s="22">
        <v>46265</v>
      </c>
      <c r="M23" s="2" t="s">
        <v>73</v>
      </c>
      <c r="N23" s="20">
        <v>1200</v>
      </c>
      <c r="O23" s="21"/>
    </row>
    <row r="24" spans="2:15" x14ac:dyDescent="0.2">
      <c r="B24" s="22">
        <v>46265</v>
      </c>
      <c r="C24" s="19" t="s">
        <v>54</v>
      </c>
      <c r="D24" s="20"/>
      <c r="E24" s="21">
        <v>2500</v>
      </c>
      <c r="G24" s="18">
        <v>46260</v>
      </c>
      <c r="H24" s="2" t="s">
        <v>10</v>
      </c>
      <c r="I24">
        <v>2200</v>
      </c>
      <c r="J24" s="35"/>
      <c r="L24" s="22">
        <v>46265</v>
      </c>
      <c r="M24" s="19" t="s">
        <v>54</v>
      </c>
      <c r="N24" s="20">
        <v>1200</v>
      </c>
      <c r="O24" s="21"/>
    </row>
    <row r="25" spans="2:15" ht="16" thickBot="1" x14ac:dyDescent="0.25">
      <c r="B25" s="17"/>
      <c r="D25" s="16">
        <v>3000</v>
      </c>
      <c r="E25" s="23">
        <v>3000</v>
      </c>
      <c r="G25" s="22">
        <v>46265</v>
      </c>
      <c r="H25" s="2" t="s">
        <v>49</v>
      </c>
      <c r="I25">
        <v>600</v>
      </c>
      <c r="J25" s="35"/>
      <c r="L25" s="17"/>
      <c r="N25" s="16">
        <v>2400</v>
      </c>
      <c r="O25" s="23">
        <v>2400</v>
      </c>
    </row>
    <row r="26" spans="2:15" ht="17" thickTop="1" thickBot="1" x14ac:dyDescent="0.25">
      <c r="B26" s="24">
        <v>46266</v>
      </c>
      <c r="C26" s="13" t="s">
        <v>55</v>
      </c>
      <c r="D26" s="25">
        <v>2500</v>
      </c>
      <c r="E26" s="31"/>
      <c r="G26" s="36"/>
      <c r="H26" s="30"/>
      <c r="I26" s="37">
        <v>5000</v>
      </c>
      <c r="J26" s="26"/>
      <c r="L26" s="24">
        <v>46266</v>
      </c>
      <c r="M26" s="13" t="s">
        <v>55</v>
      </c>
      <c r="N26" s="25"/>
      <c r="O26" s="31">
        <v>1200</v>
      </c>
    </row>
    <row r="27" spans="2:15" ht="16" thickBot="1" x14ac:dyDescent="0.25"/>
    <row r="28" spans="2:15" x14ac:dyDescent="0.2">
      <c r="B28" s="27" t="s">
        <v>59</v>
      </c>
      <c r="C28" s="28"/>
      <c r="D28" s="28"/>
      <c r="E28" s="29"/>
      <c r="G28" s="34" t="s">
        <v>67</v>
      </c>
      <c r="H28" s="28"/>
      <c r="I28" s="28"/>
      <c r="J28" s="29"/>
      <c r="L28" s="34" t="s">
        <v>74</v>
      </c>
      <c r="M28" s="28"/>
      <c r="N28" s="28"/>
      <c r="O28" s="29"/>
    </row>
    <row r="29" spans="2:15" x14ac:dyDescent="0.2">
      <c r="B29" s="17" t="s">
        <v>1</v>
      </c>
      <c r="C29" t="s">
        <v>51</v>
      </c>
      <c r="D29" s="1" t="s">
        <v>53</v>
      </c>
      <c r="E29" s="6" t="s">
        <v>52</v>
      </c>
      <c r="G29" s="17" t="s">
        <v>1</v>
      </c>
      <c r="H29" t="s">
        <v>51</v>
      </c>
      <c r="I29" s="1" t="s">
        <v>53</v>
      </c>
      <c r="J29" s="6" t="s">
        <v>52</v>
      </c>
      <c r="L29" s="17" t="s">
        <v>1</v>
      </c>
      <c r="M29" t="s">
        <v>51</v>
      </c>
      <c r="N29" s="1" t="s">
        <v>53</v>
      </c>
      <c r="O29" s="6" t="s">
        <v>52</v>
      </c>
    </row>
    <row r="30" spans="2:15" ht="16" thickBot="1" x14ac:dyDescent="0.25">
      <c r="B30" s="18">
        <v>46238</v>
      </c>
      <c r="C30" s="2" t="s">
        <v>12</v>
      </c>
      <c r="D30" s="1">
        <v>1200</v>
      </c>
      <c r="E30" s="21"/>
      <c r="G30" s="22">
        <v>46265</v>
      </c>
      <c r="H30" t="s">
        <v>22</v>
      </c>
      <c r="J30" s="21">
        <v>600</v>
      </c>
      <c r="L30" s="33">
        <v>46265</v>
      </c>
      <c r="M30" s="30" t="s">
        <v>10</v>
      </c>
      <c r="N30" s="25">
        <v>1000</v>
      </c>
      <c r="O30" s="26"/>
    </row>
    <row r="31" spans="2:15" x14ac:dyDescent="0.2">
      <c r="B31" s="22">
        <v>46265</v>
      </c>
      <c r="C31" s="2" t="s">
        <v>41</v>
      </c>
      <c r="D31" s="20"/>
      <c r="E31" s="6">
        <v>700</v>
      </c>
      <c r="G31" s="22">
        <v>46265</v>
      </c>
      <c r="H31" s="19" t="s">
        <v>54</v>
      </c>
      <c r="J31" s="21">
        <v>600</v>
      </c>
      <c r="L31" s="32"/>
      <c r="M31" s="19"/>
      <c r="N31" s="20"/>
    </row>
    <row r="32" spans="2:15" ht="16" thickBot="1" x14ac:dyDescent="0.25">
      <c r="B32" s="22">
        <v>46265</v>
      </c>
      <c r="C32" s="19" t="s">
        <v>54</v>
      </c>
      <c r="D32" s="20"/>
      <c r="E32" s="21">
        <v>500</v>
      </c>
      <c r="G32" s="24">
        <v>46266</v>
      </c>
      <c r="H32" s="13" t="s">
        <v>55</v>
      </c>
      <c r="I32" s="30"/>
      <c r="J32" s="31">
        <v>600</v>
      </c>
      <c r="L32" s="32"/>
      <c r="M32" s="2"/>
      <c r="N32" s="20"/>
    </row>
    <row r="33" spans="2:15" ht="16" thickBot="1" x14ac:dyDescent="0.25">
      <c r="B33" s="17"/>
      <c r="D33" s="16">
        <v>1200</v>
      </c>
      <c r="E33" s="23">
        <v>1200</v>
      </c>
    </row>
    <row r="34" spans="2:15" ht="17" thickTop="1" thickBot="1" x14ac:dyDescent="0.25">
      <c r="B34" s="24">
        <v>46266</v>
      </c>
      <c r="C34" s="13" t="s">
        <v>55</v>
      </c>
      <c r="D34" s="25">
        <v>500</v>
      </c>
      <c r="E34" s="31"/>
      <c r="G34" s="27" t="s">
        <v>63</v>
      </c>
      <c r="H34" s="28"/>
      <c r="I34" s="28"/>
      <c r="J34" s="29"/>
      <c r="L34" s="27" t="s">
        <v>76</v>
      </c>
      <c r="M34" s="28"/>
      <c r="N34" s="28"/>
      <c r="O34" s="29"/>
    </row>
    <row r="35" spans="2:15" ht="16" thickBot="1" x14ac:dyDescent="0.25">
      <c r="G35" s="17" t="s">
        <v>1</v>
      </c>
      <c r="H35" t="s">
        <v>51</v>
      </c>
      <c r="I35" s="1" t="s">
        <v>53</v>
      </c>
      <c r="J35" s="6" t="s">
        <v>52</v>
      </c>
      <c r="L35" s="17" t="s">
        <v>1</v>
      </c>
      <c r="M35" t="s">
        <v>51</v>
      </c>
      <c r="N35" s="1" t="s">
        <v>53</v>
      </c>
      <c r="O35" s="6" t="s">
        <v>52</v>
      </c>
    </row>
    <row r="36" spans="2:15" ht="16" thickBot="1" x14ac:dyDescent="0.25">
      <c r="B36" s="27" t="s">
        <v>60</v>
      </c>
      <c r="C36" s="28"/>
      <c r="D36" s="28"/>
      <c r="E36" s="29"/>
      <c r="G36" s="33">
        <v>46265</v>
      </c>
      <c r="H36" s="30" t="s">
        <v>43</v>
      </c>
      <c r="I36" s="12">
        <v>200</v>
      </c>
      <c r="J36" s="31"/>
      <c r="L36" s="24">
        <v>46265</v>
      </c>
      <c r="M36" s="13" t="s">
        <v>77</v>
      </c>
      <c r="N36" s="12">
        <v>500</v>
      </c>
      <c r="O36" s="26"/>
    </row>
    <row r="37" spans="2:15" ht="16" thickBot="1" x14ac:dyDescent="0.25">
      <c r="B37" s="17" t="s">
        <v>1</v>
      </c>
      <c r="C37" t="s">
        <v>51</v>
      </c>
      <c r="D37" s="1" t="s">
        <v>53</v>
      </c>
      <c r="E37" s="6" t="s">
        <v>52</v>
      </c>
      <c r="I37" s="1"/>
      <c r="J37" s="1"/>
    </row>
    <row r="38" spans="2:15" x14ac:dyDescent="0.2">
      <c r="B38" s="18">
        <v>46239</v>
      </c>
      <c r="C38" s="2" t="s">
        <v>10</v>
      </c>
      <c r="D38" s="1">
        <v>4000</v>
      </c>
      <c r="E38" s="21"/>
      <c r="G38" s="27" t="s">
        <v>62</v>
      </c>
      <c r="H38" s="28"/>
      <c r="I38" s="28"/>
      <c r="J38" s="29"/>
      <c r="L38" s="27" t="s">
        <v>78</v>
      </c>
      <c r="M38" s="28"/>
      <c r="N38" s="28"/>
      <c r="O38" s="29"/>
    </row>
    <row r="39" spans="2:15" x14ac:dyDescent="0.2">
      <c r="B39" s="18">
        <v>46239</v>
      </c>
      <c r="C39" s="2" t="s">
        <v>12</v>
      </c>
      <c r="D39" s="20">
        <v>8000</v>
      </c>
      <c r="E39" s="6"/>
      <c r="G39" s="17" t="s">
        <v>1</v>
      </c>
      <c r="H39" t="s">
        <v>51</v>
      </c>
      <c r="I39" s="1" t="s">
        <v>53</v>
      </c>
      <c r="J39" s="6" t="s">
        <v>52</v>
      </c>
      <c r="L39" s="17" t="s">
        <v>1</v>
      </c>
      <c r="M39" t="s">
        <v>51</v>
      </c>
      <c r="N39" s="1" t="s">
        <v>53</v>
      </c>
      <c r="O39" s="6" t="s">
        <v>52</v>
      </c>
    </row>
    <row r="40" spans="2:15" ht="16" thickBot="1" x14ac:dyDescent="0.25">
      <c r="B40" s="22">
        <v>46265</v>
      </c>
      <c r="C40" s="19" t="s">
        <v>54</v>
      </c>
      <c r="D40" s="20">
        <v>12000</v>
      </c>
      <c r="E40" s="21"/>
      <c r="G40" s="18">
        <v>46265</v>
      </c>
      <c r="H40" t="s">
        <v>71</v>
      </c>
      <c r="I40" s="1"/>
      <c r="J40" s="21">
        <v>200</v>
      </c>
      <c r="L40" s="24">
        <v>46265</v>
      </c>
      <c r="M40" s="13" t="s">
        <v>79</v>
      </c>
      <c r="N40" s="12">
        <v>700</v>
      </c>
      <c r="O40" s="26"/>
    </row>
    <row r="41" spans="2:15" ht="16" thickBot="1" x14ac:dyDescent="0.25">
      <c r="B41" s="24">
        <v>46266</v>
      </c>
      <c r="C41" s="13" t="s">
        <v>55</v>
      </c>
      <c r="D41" s="25">
        <v>12000</v>
      </c>
      <c r="E41" s="31"/>
      <c r="G41" s="22">
        <v>46265</v>
      </c>
      <c r="H41" s="19" t="s">
        <v>54</v>
      </c>
      <c r="I41" s="20"/>
      <c r="J41" s="21">
        <v>200</v>
      </c>
    </row>
    <row r="42" spans="2:15" ht="16" thickBot="1" x14ac:dyDescent="0.25">
      <c r="G42" s="24">
        <v>46266</v>
      </c>
      <c r="H42" s="13" t="s">
        <v>55</v>
      </c>
      <c r="I42" s="25"/>
      <c r="J42" s="31">
        <v>200</v>
      </c>
    </row>
    <row r="43" spans="2:15" x14ac:dyDescent="0.2">
      <c r="G43" s="32"/>
      <c r="H43" s="19"/>
      <c r="I43" s="20"/>
      <c r="J43" s="20"/>
    </row>
    <row r="44" spans="2:15" x14ac:dyDescent="0.2">
      <c r="G44" s="32"/>
      <c r="H44" s="2"/>
      <c r="I44" s="20"/>
      <c r="J44" s="20"/>
    </row>
    <row r="45" spans="2:15" x14ac:dyDescent="0.2">
      <c r="B45" s="2" t="s">
        <v>27</v>
      </c>
    </row>
    <row r="46" spans="2:15" x14ac:dyDescent="0.2">
      <c r="B46" s="3" t="s">
        <v>102</v>
      </c>
      <c r="D46" s="1"/>
      <c r="E46" s="1"/>
    </row>
    <row r="47" spans="2:15" x14ac:dyDescent="0.2">
      <c r="B47" s="3" t="s">
        <v>104</v>
      </c>
      <c r="D47" s="1"/>
      <c r="E47" s="1"/>
    </row>
    <row r="48" spans="2:15" x14ac:dyDescent="0.2">
      <c r="B48" s="46" t="s">
        <v>103</v>
      </c>
      <c r="D48" s="1"/>
      <c r="E48" s="20"/>
    </row>
    <row r="49" spans="2:5" x14ac:dyDescent="0.2">
      <c r="B49" s="32"/>
      <c r="C49" s="19"/>
      <c r="D49" s="20"/>
      <c r="E49" s="20"/>
    </row>
    <row r="50" spans="2:5" x14ac:dyDescent="0.2">
      <c r="B50" s="32"/>
      <c r="C50" s="2"/>
      <c r="D50" s="20"/>
      <c r="E50" s="20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F31C-F792-48EB-B93F-5257B81B8823}">
  <dimension ref="B1:F26"/>
  <sheetViews>
    <sheetView zoomScale="219" zoomScaleNormal="184" workbookViewId="0">
      <selection activeCell="E13" sqref="E13"/>
    </sheetView>
  </sheetViews>
  <sheetFormatPr baseColWidth="10" defaultColWidth="8.83203125" defaultRowHeight="15" x14ac:dyDescent="0.2"/>
  <cols>
    <col min="2" max="2" width="49.5" customWidth="1"/>
    <col min="6" max="6" width="18.1640625" style="20" customWidth="1"/>
  </cols>
  <sheetData>
    <row r="1" spans="2:6" ht="16" thickBot="1" x14ac:dyDescent="0.25"/>
    <row r="2" spans="2:6" x14ac:dyDescent="0.2">
      <c r="B2" s="49" t="s">
        <v>75</v>
      </c>
      <c r="C2" s="50"/>
      <c r="D2" s="51"/>
    </row>
    <row r="3" spans="2:6" x14ac:dyDescent="0.2">
      <c r="B3" s="40" t="s">
        <v>2</v>
      </c>
      <c r="C3" s="1" t="s">
        <v>53</v>
      </c>
      <c r="D3" s="6" t="s">
        <v>52</v>
      </c>
      <c r="E3" s="1"/>
      <c r="F3" s="48" t="s">
        <v>121</v>
      </c>
    </row>
    <row r="4" spans="2:6" x14ac:dyDescent="0.2">
      <c r="B4" s="17" t="s">
        <v>4</v>
      </c>
      <c r="C4" s="20">
        <v>23500</v>
      </c>
      <c r="D4" s="21"/>
      <c r="F4" s="20" t="s">
        <v>10</v>
      </c>
    </row>
    <row r="5" spans="2:6" x14ac:dyDescent="0.2">
      <c r="B5" s="38" t="s">
        <v>56</v>
      </c>
      <c r="C5" s="20">
        <v>2500</v>
      </c>
      <c r="D5" s="21"/>
      <c r="F5" s="20" t="s">
        <v>122</v>
      </c>
    </row>
    <row r="6" spans="2:6" x14ac:dyDescent="0.2">
      <c r="B6" s="38" t="s">
        <v>7</v>
      </c>
      <c r="C6" s="20">
        <v>500</v>
      </c>
      <c r="D6" s="21"/>
      <c r="F6" s="20" t="s">
        <v>122</v>
      </c>
    </row>
    <row r="7" spans="2:6" x14ac:dyDescent="0.2">
      <c r="B7" s="38" t="s">
        <v>94</v>
      </c>
      <c r="C7" s="20">
        <v>12000</v>
      </c>
      <c r="D7" s="21"/>
      <c r="F7" s="20" t="s">
        <v>123</v>
      </c>
    </row>
    <row r="8" spans="2:6" x14ac:dyDescent="0.2">
      <c r="B8" s="38" t="s">
        <v>83</v>
      </c>
      <c r="C8" s="20">
        <v>500</v>
      </c>
      <c r="D8" s="21"/>
      <c r="F8" s="20" t="s">
        <v>124</v>
      </c>
    </row>
    <row r="9" spans="2:6" x14ac:dyDescent="0.2">
      <c r="B9" s="38" t="s">
        <v>84</v>
      </c>
      <c r="C9" s="20">
        <v>700</v>
      </c>
      <c r="D9" s="21"/>
      <c r="F9" s="20" t="s">
        <v>124</v>
      </c>
    </row>
    <row r="10" spans="2:6" x14ac:dyDescent="0.2">
      <c r="B10" s="38" t="s">
        <v>85</v>
      </c>
      <c r="C10" s="20">
        <v>600</v>
      </c>
      <c r="D10" s="21"/>
      <c r="F10" s="20" t="s">
        <v>124</v>
      </c>
    </row>
    <row r="11" spans="2:6" x14ac:dyDescent="0.2">
      <c r="B11" s="17" t="s">
        <v>86</v>
      </c>
      <c r="C11" s="20">
        <v>5000</v>
      </c>
      <c r="D11" s="21"/>
      <c r="F11" s="20" t="s">
        <v>124</v>
      </c>
    </row>
    <row r="12" spans="2:6" x14ac:dyDescent="0.2">
      <c r="B12" s="38" t="s">
        <v>44</v>
      </c>
      <c r="C12" s="20">
        <v>200</v>
      </c>
      <c r="D12" s="21"/>
      <c r="F12" s="20" t="s">
        <v>125</v>
      </c>
    </row>
    <row r="13" spans="2:6" x14ac:dyDescent="0.2">
      <c r="B13" s="38" t="s">
        <v>116</v>
      </c>
      <c r="C13" s="20"/>
      <c r="D13" s="21">
        <v>200</v>
      </c>
      <c r="F13" s="20" t="s">
        <v>123</v>
      </c>
    </row>
    <row r="14" spans="2:6" x14ac:dyDescent="0.2">
      <c r="B14" s="17" t="s">
        <v>96</v>
      </c>
      <c r="C14" s="20"/>
      <c r="D14" s="21">
        <v>8600</v>
      </c>
      <c r="F14" s="20" t="s">
        <v>126</v>
      </c>
    </row>
    <row r="15" spans="2:6" x14ac:dyDescent="0.2">
      <c r="B15" s="17" t="s">
        <v>97</v>
      </c>
      <c r="C15" s="20"/>
      <c r="D15" s="21">
        <v>600</v>
      </c>
      <c r="F15" s="20" t="s">
        <v>126</v>
      </c>
    </row>
    <row r="16" spans="2:6" x14ac:dyDescent="0.2">
      <c r="B16" s="17" t="s">
        <v>98</v>
      </c>
      <c r="C16" s="20"/>
      <c r="D16" s="21">
        <v>1200</v>
      </c>
      <c r="F16" s="20" t="s">
        <v>126</v>
      </c>
    </row>
    <row r="17" spans="2:6" x14ac:dyDescent="0.2">
      <c r="B17" s="17" t="s">
        <v>82</v>
      </c>
      <c r="C17" s="20"/>
      <c r="D17" s="21">
        <v>9900</v>
      </c>
      <c r="F17" s="20" t="s">
        <v>128</v>
      </c>
    </row>
    <row r="18" spans="2:6" x14ac:dyDescent="0.2">
      <c r="B18" s="17" t="s">
        <v>99</v>
      </c>
      <c r="C18" s="20"/>
      <c r="D18" s="21">
        <v>6000</v>
      </c>
      <c r="F18" t="s">
        <v>127</v>
      </c>
    </row>
    <row r="19" spans="2:6" x14ac:dyDescent="0.2">
      <c r="B19" s="38" t="s">
        <v>117</v>
      </c>
      <c r="C19" s="20"/>
      <c r="D19" s="21">
        <v>20000</v>
      </c>
      <c r="F19" s="20" t="s">
        <v>129</v>
      </c>
    </row>
    <row r="20" spans="2:6" x14ac:dyDescent="0.2">
      <c r="B20" s="17" t="s">
        <v>118</v>
      </c>
      <c r="C20" s="20">
        <v>1000</v>
      </c>
      <c r="D20" s="21"/>
      <c r="F20" s="20" t="s">
        <v>129</v>
      </c>
    </row>
    <row r="21" spans="2:6" ht="16" thickBot="1" x14ac:dyDescent="0.25">
      <c r="B21" s="17"/>
      <c r="C21" s="16">
        <f>SUM(C4:C20)</f>
        <v>46500</v>
      </c>
      <c r="D21" s="23">
        <f>SUM(D4:D19)</f>
        <v>46500</v>
      </c>
    </row>
    <row r="22" spans="2:6" ht="17" thickTop="1" thickBot="1" x14ac:dyDescent="0.25">
      <c r="B22" s="39"/>
      <c r="C22" s="25"/>
      <c r="D22" s="31"/>
    </row>
    <row r="23" spans="2:6" x14ac:dyDescent="0.2">
      <c r="B23" s="2"/>
    </row>
    <row r="25" spans="2:6" x14ac:dyDescent="0.2">
      <c r="B25" s="3" t="s">
        <v>119</v>
      </c>
    </row>
    <row r="26" spans="2:6" x14ac:dyDescent="0.2">
      <c r="B26" s="3" t="s">
        <v>120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2D53-F926-FF4B-B4DD-0BD440883AE2}">
  <dimension ref="B1:D23"/>
  <sheetViews>
    <sheetView topLeftCell="A2" zoomScale="200" zoomScaleNormal="125" workbookViewId="0">
      <selection activeCell="H13" sqref="H13"/>
    </sheetView>
  </sheetViews>
  <sheetFormatPr baseColWidth="10" defaultRowHeight="15" x14ac:dyDescent="0.2"/>
  <cols>
    <col min="2" max="2" width="19.83203125" customWidth="1"/>
  </cols>
  <sheetData>
    <row r="1" spans="2:4" ht="16" thickBot="1" x14ac:dyDescent="0.25"/>
    <row r="2" spans="2:4" x14ac:dyDescent="0.2">
      <c r="B2" s="49" t="s">
        <v>3</v>
      </c>
      <c r="C2" s="50"/>
      <c r="D2" s="51"/>
    </row>
    <row r="3" spans="2:4" x14ac:dyDescent="0.2">
      <c r="B3" s="61" t="s">
        <v>131</v>
      </c>
      <c r="C3" s="65"/>
      <c r="D3" s="62"/>
    </row>
    <row r="4" spans="2:4" x14ac:dyDescent="0.2">
      <c r="B4" s="17" t="s">
        <v>51</v>
      </c>
      <c r="C4" s="66" t="s">
        <v>132</v>
      </c>
      <c r="D4" s="35" t="s">
        <v>133</v>
      </c>
    </row>
    <row r="5" spans="2:4" x14ac:dyDescent="0.2">
      <c r="B5" s="17" t="s">
        <v>82</v>
      </c>
      <c r="C5" s="67">
        <v>9900</v>
      </c>
      <c r="D5" s="21"/>
    </row>
    <row r="6" spans="2:4" x14ac:dyDescent="0.2">
      <c r="B6" s="44" t="s">
        <v>134</v>
      </c>
      <c r="C6" s="67"/>
      <c r="D6" s="21">
        <v>9900</v>
      </c>
    </row>
    <row r="7" spans="2:4" x14ac:dyDescent="0.2">
      <c r="B7" s="63" t="s">
        <v>135</v>
      </c>
      <c r="C7" s="67"/>
      <c r="D7" s="21"/>
    </row>
    <row r="8" spans="2:4" x14ac:dyDescent="0.2">
      <c r="B8" s="17"/>
      <c r="C8" s="67"/>
      <c r="D8" s="21"/>
    </row>
    <row r="9" spans="2:4" x14ac:dyDescent="0.2">
      <c r="B9" s="17" t="s">
        <v>134</v>
      </c>
      <c r="C9" s="67">
        <v>7000</v>
      </c>
      <c r="D9" s="21"/>
    </row>
    <row r="10" spans="2:4" x14ac:dyDescent="0.2">
      <c r="B10" s="38" t="s">
        <v>83</v>
      </c>
      <c r="C10" s="67"/>
      <c r="D10" s="21">
        <v>500</v>
      </c>
    </row>
    <row r="11" spans="2:4" x14ac:dyDescent="0.2">
      <c r="B11" s="38" t="s">
        <v>84</v>
      </c>
      <c r="C11" s="67"/>
      <c r="D11" s="21">
        <v>700</v>
      </c>
    </row>
    <row r="12" spans="2:4" x14ac:dyDescent="0.2">
      <c r="B12" s="38" t="s">
        <v>85</v>
      </c>
      <c r="C12" s="67"/>
      <c r="D12" s="21">
        <v>600</v>
      </c>
    </row>
    <row r="13" spans="2:4" x14ac:dyDescent="0.2">
      <c r="B13" s="17" t="s">
        <v>86</v>
      </c>
      <c r="C13" s="67"/>
      <c r="D13" s="21">
        <v>5000</v>
      </c>
    </row>
    <row r="14" spans="2:4" x14ac:dyDescent="0.2">
      <c r="B14" s="38" t="s">
        <v>44</v>
      </c>
      <c r="C14" s="67"/>
      <c r="D14" s="21">
        <v>200</v>
      </c>
    </row>
    <row r="15" spans="2:4" x14ac:dyDescent="0.2">
      <c r="B15" s="63" t="s">
        <v>136</v>
      </c>
      <c r="C15" s="67"/>
      <c r="D15" s="21"/>
    </row>
    <row r="16" spans="2:4" x14ac:dyDescent="0.2">
      <c r="B16" s="63"/>
      <c r="C16" s="67"/>
      <c r="D16" s="21"/>
    </row>
    <row r="17" spans="2:4" x14ac:dyDescent="0.2">
      <c r="B17" s="17" t="s">
        <v>134</v>
      </c>
      <c r="C17" s="67">
        <v>2900</v>
      </c>
      <c r="D17" s="21"/>
    </row>
    <row r="18" spans="2:4" x14ac:dyDescent="0.2">
      <c r="B18" s="44" t="s">
        <v>11</v>
      </c>
      <c r="C18" s="67"/>
      <c r="D18" s="21">
        <v>2900</v>
      </c>
    </row>
    <row r="19" spans="2:4" x14ac:dyDescent="0.2">
      <c r="B19" s="63" t="s">
        <v>137</v>
      </c>
      <c r="C19" s="67"/>
      <c r="D19" s="21"/>
    </row>
    <row r="20" spans="2:4" x14ac:dyDescent="0.2">
      <c r="B20" s="63"/>
      <c r="C20" s="67"/>
      <c r="D20" s="21"/>
    </row>
    <row r="21" spans="2:4" x14ac:dyDescent="0.2">
      <c r="B21" s="17" t="s">
        <v>11</v>
      </c>
      <c r="C21" s="67">
        <v>1000</v>
      </c>
      <c r="D21" s="21"/>
    </row>
    <row r="22" spans="2:4" x14ac:dyDescent="0.2">
      <c r="B22" s="44" t="s">
        <v>138</v>
      </c>
      <c r="C22" s="67"/>
      <c r="D22" s="21">
        <v>1000</v>
      </c>
    </row>
    <row r="23" spans="2:4" ht="16" thickBot="1" x14ac:dyDescent="0.25">
      <c r="B23" s="64" t="s">
        <v>139</v>
      </c>
      <c r="C23" s="25"/>
      <c r="D23" s="31"/>
    </row>
  </sheetData>
  <mergeCells count="2">
    <mergeCell ref="B2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9C66-3CA4-4739-A6A3-BB056C0B94A4}">
  <dimension ref="B1:F15"/>
  <sheetViews>
    <sheetView topLeftCell="C6" zoomScale="359" zoomScaleNormal="145" workbookViewId="0">
      <selection activeCell="I11" sqref="I11"/>
    </sheetView>
  </sheetViews>
  <sheetFormatPr baseColWidth="10" defaultColWidth="8.83203125" defaultRowHeight="15" x14ac:dyDescent="0.2"/>
  <cols>
    <col min="1" max="1" width="7.5" customWidth="1"/>
  </cols>
  <sheetData>
    <row r="1" spans="2:6" ht="16" thickBot="1" x14ac:dyDescent="0.25"/>
    <row r="2" spans="2:6" x14ac:dyDescent="0.2">
      <c r="B2" s="49" t="s">
        <v>90</v>
      </c>
      <c r="C2" s="50"/>
      <c r="D2" s="50"/>
      <c r="E2" s="50"/>
      <c r="F2" s="51"/>
    </row>
    <row r="3" spans="2:6" x14ac:dyDescent="0.2">
      <c r="B3" s="52" t="s">
        <v>87</v>
      </c>
      <c r="C3" s="53"/>
      <c r="D3" s="53"/>
      <c r="E3" s="53"/>
      <c r="F3" s="54"/>
    </row>
    <row r="4" spans="2:6" x14ac:dyDescent="0.2">
      <c r="B4" s="40" t="s">
        <v>80</v>
      </c>
      <c r="F4" s="35"/>
    </row>
    <row r="5" spans="2:6" x14ac:dyDescent="0.2">
      <c r="B5" s="17" t="s">
        <v>82</v>
      </c>
      <c r="F5" s="21">
        <v>9900</v>
      </c>
    </row>
    <row r="6" spans="2:6" x14ac:dyDescent="0.2">
      <c r="B6" s="17"/>
      <c r="F6" s="35"/>
    </row>
    <row r="7" spans="2:6" x14ac:dyDescent="0.2">
      <c r="B7" s="40" t="s">
        <v>81</v>
      </c>
      <c r="F7" s="35"/>
    </row>
    <row r="8" spans="2:6" x14ac:dyDescent="0.2">
      <c r="B8" s="43" t="s">
        <v>44</v>
      </c>
      <c r="E8" s="20">
        <v>200</v>
      </c>
      <c r="F8" s="35"/>
    </row>
    <row r="9" spans="2:6" x14ac:dyDescent="0.2">
      <c r="B9" s="43" t="s">
        <v>83</v>
      </c>
      <c r="E9" s="20">
        <v>500</v>
      </c>
      <c r="F9" s="35"/>
    </row>
    <row r="10" spans="2:6" x14ac:dyDescent="0.2">
      <c r="B10" s="43" t="s">
        <v>84</v>
      </c>
      <c r="E10" s="20">
        <v>700</v>
      </c>
      <c r="F10" s="35"/>
    </row>
    <row r="11" spans="2:6" x14ac:dyDescent="0.2">
      <c r="B11" s="43" t="s">
        <v>85</v>
      </c>
      <c r="E11" s="20">
        <v>600</v>
      </c>
      <c r="F11" s="35"/>
    </row>
    <row r="12" spans="2:6" x14ac:dyDescent="0.2">
      <c r="B12" s="44" t="s">
        <v>86</v>
      </c>
      <c r="E12" s="20">
        <v>5000</v>
      </c>
      <c r="F12" s="35"/>
    </row>
    <row r="13" spans="2:6" x14ac:dyDescent="0.2">
      <c r="B13" s="44" t="s">
        <v>89</v>
      </c>
      <c r="E13" s="42"/>
      <c r="F13" s="41">
        <f>SUM(E8:E12)</f>
        <v>7000</v>
      </c>
    </row>
    <row r="14" spans="2:6" x14ac:dyDescent="0.2">
      <c r="B14" s="45" t="s">
        <v>88</v>
      </c>
      <c r="F14" s="41">
        <v>2900</v>
      </c>
    </row>
    <row r="15" spans="2:6" ht="16" thickBot="1" x14ac:dyDescent="0.25">
      <c r="B15" s="36"/>
      <c r="C15" s="30"/>
      <c r="D15" s="30"/>
      <c r="E15" s="30"/>
      <c r="F15" s="26"/>
    </row>
  </sheetData>
  <mergeCells count="2">
    <mergeCell ref="B3:F3"/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FC87-7B79-4AF4-90E9-13BD22AE4B86}">
  <dimension ref="B1:H36"/>
  <sheetViews>
    <sheetView tabSelected="1" topLeftCell="A13" zoomScale="181" zoomScaleNormal="145" workbookViewId="0">
      <selection activeCell="B34" sqref="B34"/>
    </sheetView>
  </sheetViews>
  <sheetFormatPr baseColWidth="10" defaultColWidth="8.83203125" defaultRowHeight="15" x14ac:dyDescent="0.2"/>
  <cols>
    <col min="2" max="2" width="35.83203125" customWidth="1"/>
  </cols>
  <sheetData>
    <row r="1" spans="2:8" ht="16" thickBot="1" x14ac:dyDescent="0.25"/>
    <row r="2" spans="2:8" x14ac:dyDescent="0.2">
      <c r="B2" s="49" t="s">
        <v>91</v>
      </c>
      <c r="C2" s="50"/>
      <c r="D2" s="50"/>
      <c r="E2" s="50"/>
      <c r="F2" s="51"/>
    </row>
    <row r="3" spans="2:8" x14ac:dyDescent="0.2">
      <c r="B3" s="52" t="s">
        <v>92</v>
      </c>
      <c r="C3" s="53"/>
      <c r="D3" s="53"/>
      <c r="E3" s="53"/>
      <c r="F3" s="54"/>
    </row>
    <row r="4" spans="2:8" x14ac:dyDescent="0.2">
      <c r="B4" s="17" t="s">
        <v>105</v>
      </c>
      <c r="F4" s="35"/>
    </row>
    <row r="5" spans="2:8" x14ac:dyDescent="0.2">
      <c r="B5" s="17" t="s">
        <v>106</v>
      </c>
      <c r="F5" s="21">
        <v>23500</v>
      </c>
    </row>
    <row r="6" spans="2:8" x14ac:dyDescent="0.2">
      <c r="B6" s="38" t="s">
        <v>56</v>
      </c>
      <c r="F6" s="21">
        <v>2500</v>
      </c>
    </row>
    <row r="7" spans="2:8" x14ac:dyDescent="0.2">
      <c r="B7" s="38" t="s">
        <v>7</v>
      </c>
      <c r="F7" s="21">
        <v>500</v>
      </c>
    </row>
    <row r="8" spans="2:8" x14ac:dyDescent="0.2">
      <c r="B8" s="38"/>
      <c r="F8" s="21"/>
    </row>
    <row r="9" spans="2:8" x14ac:dyDescent="0.2">
      <c r="B9" s="17" t="s">
        <v>107</v>
      </c>
      <c r="F9" s="21">
        <f>SUM(F5:F7)</f>
        <v>26500</v>
      </c>
    </row>
    <row r="10" spans="2:8" x14ac:dyDescent="0.2">
      <c r="B10" s="17"/>
      <c r="F10" s="21"/>
    </row>
    <row r="11" spans="2:8" x14ac:dyDescent="0.2">
      <c r="B11" s="38" t="s">
        <v>108</v>
      </c>
      <c r="F11" s="21"/>
    </row>
    <row r="12" spans="2:8" x14ac:dyDescent="0.2">
      <c r="B12" s="38" t="s">
        <v>94</v>
      </c>
      <c r="E12" s="20">
        <v>12000</v>
      </c>
      <c r="F12" s="35"/>
      <c r="H12" s="20"/>
    </row>
    <row r="13" spans="2:8" x14ac:dyDescent="0.2">
      <c r="B13" s="38" t="s">
        <v>93</v>
      </c>
      <c r="E13" s="20">
        <v>200</v>
      </c>
      <c r="F13" s="21"/>
    </row>
    <row r="14" spans="2:8" x14ac:dyDescent="0.2">
      <c r="B14" s="38" t="s">
        <v>111</v>
      </c>
      <c r="E14" s="20"/>
      <c r="F14" s="21">
        <v>11800</v>
      </c>
    </row>
    <row r="15" spans="2:8" x14ac:dyDescent="0.2">
      <c r="B15" s="38"/>
      <c r="E15" s="20"/>
      <c r="F15" s="21"/>
    </row>
    <row r="16" spans="2:8" x14ac:dyDescent="0.2">
      <c r="B16" s="45" t="s">
        <v>95</v>
      </c>
      <c r="F16" s="47">
        <f>F9+F14</f>
        <v>38300</v>
      </c>
    </row>
    <row r="17" spans="2:6" x14ac:dyDescent="0.2">
      <c r="B17" s="17"/>
      <c r="F17" s="35"/>
    </row>
    <row r="18" spans="2:6" x14ac:dyDescent="0.2">
      <c r="B18" s="38" t="s">
        <v>109</v>
      </c>
      <c r="F18" s="35"/>
    </row>
    <row r="19" spans="2:6" x14ac:dyDescent="0.2">
      <c r="B19" s="17" t="s">
        <v>96</v>
      </c>
      <c r="F19" s="21">
        <v>8600</v>
      </c>
    </row>
    <row r="20" spans="2:6" x14ac:dyDescent="0.2">
      <c r="B20" s="17" t="s">
        <v>97</v>
      </c>
      <c r="F20" s="21">
        <v>600</v>
      </c>
    </row>
    <row r="21" spans="2:6" x14ac:dyDescent="0.2">
      <c r="B21" s="17" t="s">
        <v>98</v>
      </c>
      <c r="F21" s="21">
        <v>1200</v>
      </c>
    </row>
    <row r="22" spans="2:6" x14ac:dyDescent="0.2">
      <c r="B22" s="17" t="s">
        <v>99</v>
      </c>
      <c r="F22" s="21">
        <v>6000</v>
      </c>
    </row>
    <row r="23" spans="2:6" x14ac:dyDescent="0.2">
      <c r="B23" s="17" t="s">
        <v>130</v>
      </c>
      <c r="F23" s="21">
        <f>SUM(F19:F22)</f>
        <v>16400</v>
      </c>
    </row>
    <row r="24" spans="2:6" x14ac:dyDescent="0.2">
      <c r="B24" s="17"/>
      <c r="F24" s="21"/>
    </row>
    <row r="25" spans="2:6" x14ac:dyDescent="0.2">
      <c r="B25" s="38" t="s">
        <v>110</v>
      </c>
      <c r="F25" s="21"/>
    </row>
    <row r="26" spans="2:6" x14ac:dyDescent="0.2">
      <c r="B26" s="38"/>
      <c r="F26" s="21"/>
    </row>
    <row r="27" spans="2:6" x14ac:dyDescent="0.2">
      <c r="B27" s="45" t="s">
        <v>100</v>
      </c>
      <c r="F27" s="47">
        <f>F25+F23</f>
        <v>16400</v>
      </c>
    </row>
    <row r="28" spans="2:6" x14ac:dyDescent="0.2">
      <c r="B28" s="17"/>
      <c r="F28" s="35"/>
    </row>
    <row r="29" spans="2:6" x14ac:dyDescent="0.2">
      <c r="B29" s="40" t="s">
        <v>114</v>
      </c>
      <c r="F29" s="47">
        <f>F16-F27</f>
        <v>21900</v>
      </c>
    </row>
    <row r="30" spans="2:6" x14ac:dyDescent="0.2">
      <c r="B30" s="17"/>
      <c r="F30" s="35"/>
    </row>
    <row r="31" spans="2:6" x14ac:dyDescent="0.2">
      <c r="B31" s="17" t="s">
        <v>112</v>
      </c>
      <c r="F31" s="35"/>
    </row>
    <row r="32" spans="2:6" x14ac:dyDescent="0.2">
      <c r="B32" s="38" t="s">
        <v>24</v>
      </c>
      <c r="E32" s="20">
        <v>20000</v>
      </c>
      <c r="F32" s="35"/>
    </row>
    <row r="33" spans="2:6" x14ac:dyDescent="0.2">
      <c r="B33" s="38" t="s">
        <v>115</v>
      </c>
      <c r="E33" s="20">
        <v>2900</v>
      </c>
      <c r="F33" s="35"/>
    </row>
    <row r="34" spans="2:6" x14ac:dyDescent="0.2">
      <c r="B34" s="17" t="s">
        <v>101</v>
      </c>
      <c r="E34" s="20">
        <v>1000</v>
      </c>
      <c r="F34" s="35"/>
    </row>
    <row r="35" spans="2:6" x14ac:dyDescent="0.2">
      <c r="B35" s="40" t="s">
        <v>113</v>
      </c>
      <c r="F35" s="47">
        <v>21900</v>
      </c>
    </row>
    <row r="36" spans="2:6" ht="16" thickBot="1" x14ac:dyDescent="0.25">
      <c r="B36" s="36"/>
      <c r="C36" s="30"/>
      <c r="D36" s="30"/>
      <c r="E36" s="30"/>
      <c r="F36" s="26"/>
    </row>
  </sheetData>
  <mergeCells count="2"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Journal</vt:lpstr>
      <vt:lpstr>Ledger</vt:lpstr>
      <vt:lpstr>Trial Balance</vt:lpstr>
      <vt:lpstr>Closing Entry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Koh</dc:creator>
  <cp:lastModifiedBy>Joseph Koh</cp:lastModifiedBy>
  <dcterms:created xsi:type="dcterms:W3CDTF">2015-06-05T18:17:20Z</dcterms:created>
  <dcterms:modified xsi:type="dcterms:W3CDTF">2026-04-24T10:27:35Z</dcterms:modified>
</cp:coreProperties>
</file>