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9"/>
  <workbookPr/>
  <mc:AlternateContent xmlns:mc="http://schemas.openxmlformats.org/markup-compatibility/2006">
    <mc:Choice Requires="x15">
      <x15ac:absPath xmlns:x15ac="http://schemas.microsoft.com/office/spreadsheetml/2010/11/ac" url="/Users/joseph/Desktop/SIM-UOW-Mods/ACCY122/Assessment II Mock/"/>
    </mc:Choice>
  </mc:AlternateContent>
  <xr:revisionPtr revIDLastSave="0" documentId="13_ncr:1_{10A29095-7E6B-6D4C-9C02-23F3097B72D1}" xr6:coauthVersionLast="47" xr6:coauthVersionMax="47" xr10:uidLastSave="{00000000-0000-0000-0000-000000000000}"/>
  <bookViews>
    <workbookView xWindow="-20" yWindow="500" windowWidth="29040" windowHeight="15720" activeTab="2" xr2:uid="{00000000-000D-0000-FFFF-FFFF00000000}"/>
  </bookViews>
  <sheets>
    <sheet name="Journal" sheetId="1" r:id="rId1"/>
    <sheet name="Ledger" sheetId="2" r:id="rId2"/>
    <sheet name="Closing Entry" sheetId="6" r:id="rId3"/>
    <sheet name="Trial Balance" sheetId="3" r:id="rId4"/>
    <sheet name="Income Statement" sheetId="4" r:id="rId5"/>
    <sheet name="Balance Statement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5" l="1"/>
  <c r="F22" i="5"/>
  <c r="F16" i="5" l="1"/>
  <c r="F9" i="5"/>
  <c r="F14" i="4"/>
  <c r="F15" i="4" s="1"/>
  <c r="J22" i="2" l="1"/>
  <c r="D21" i="3"/>
  <c r="D16" i="2"/>
  <c r="C21" i="3"/>
  <c r="E16" i="2" l="1"/>
  <c r="L19" i="1" l="1"/>
  <c r="K19" i="1"/>
  <c r="F53" i="1"/>
  <c r="E53" i="1"/>
</calcChain>
</file>

<file path=xl/sharedStrings.xml><?xml version="1.0" encoding="utf-8"?>
<sst xmlns="http://schemas.openxmlformats.org/spreadsheetml/2006/main" count="298" uniqueCount="118">
  <si>
    <t>General Journal</t>
  </si>
  <si>
    <t xml:space="preserve">Adjusted Journal </t>
  </si>
  <si>
    <t>Ref</t>
  </si>
  <si>
    <t>Date</t>
  </si>
  <si>
    <t>Accounts</t>
  </si>
  <si>
    <t>Dr ($)</t>
  </si>
  <si>
    <t>Cr ($)</t>
  </si>
  <si>
    <t>Bank</t>
  </si>
  <si>
    <t>Capital</t>
  </si>
  <si>
    <t>(capital introduced)</t>
  </si>
  <si>
    <t>Prepaid Insurance</t>
  </si>
  <si>
    <t>Supplies</t>
  </si>
  <si>
    <t>(insurance purchased)</t>
  </si>
  <si>
    <t>(supplies purchased on credit)</t>
  </si>
  <si>
    <t>AR</t>
  </si>
  <si>
    <t xml:space="preserve">(invoice issued) </t>
  </si>
  <si>
    <t>Salary Expense</t>
  </si>
  <si>
    <t>(salaries paid)</t>
  </si>
  <si>
    <t>Office Equipment</t>
  </si>
  <si>
    <t>(office equip purchased with cash and credit)</t>
  </si>
  <si>
    <t>Short Term Loan</t>
  </si>
  <si>
    <t>(took short term loan from ANZ bank)</t>
  </si>
  <si>
    <t>(received cash from debtor)</t>
  </si>
  <si>
    <t>AP</t>
  </si>
  <si>
    <t>(creditor paid)</t>
  </si>
  <si>
    <t>Service Revenue</t>
  </si>
  <si>
    <t>(revenue received)</t>
  </si>
  <si>
    <t>Rent Expense</t>
  </si>
  <si>
    <t>(rent paid)</t>
  </si>
  <si>
    <t>Drawings</t>
  </si>
  <si>
    <t>(took out cash for personal use)</t>
  </si>
  <si>
    <t>a)</t>
  </si>
  <si>
    <t>Insurance Expense</t>
  </si>
  <si>
    <t>(insurance expired)</t>
  </si>
  <si>
    <t>b)</t>
  </si>
  <si>
    <t>Supplies Expense</t>
  </si>
  <si>
    <t xml:space="preserve">Supplies </t>
  </si>
  <si>
    <t>(supplies used up)</t>
  </si>
  <si>
    <t>c)</t>
  </si>
  <si>
    <t>Depreciation Expense - Equip</t>
  </si>
  <si>
    <t>Accum Depreciation Expense - Equip</t>
  </si>
  <si>
    <t>d)</t>
  </si>
  <si>
    <t xml:space="preserve">Interest Expense </t>
  </si>
  <si>
    <t xml:space="preserve">Interest Payable </t>
  </si>
  <si>
    <t>(depreciation on equipment)</t>
  </si>
  <si>
    <t>(1mth interest)</t>
  </si>
  <si>
    <t>Details</t>
  </si>
  <si>
    <t>Balance c/d</t>
  </si>
  <si>
    <t>Balance b/d</t>
  </si>
  <si>
    <t>Bank Account</t>
  </si>
  <si>
    <t>Capital Account</t>
  </si>
  <si>
    <t>Prepaid Insurance Account</t>
  </si>
  <si>
    <t>Supplies Account</t>
  </si>
  <si>
    <t>AP Account</t>
  </si>
  <si>
    <t>AR Account</t>
  </si>
  <si>
    <t>Service Revenue Account</t>
  </si>
  <si>
    <t>Rent Expense Account</t>
  </si>
  <si>
    <t>Drawings Account</t>
  </si>
  <si>
    <t>Insurance Expense Account</t>
  </si>
  <si>
    <t>Supplies Expense Account</t>
  </si>
  <si>
    <t>Interest Expense Account</t>
  </si>
  <si>
    <t>Trial Balance as at 31 July 2022</t>
  </si>
  <si>
    <t>Office Equipment Account</t>
  </si>
  <si>
    <t>Depreciation - Office Equipment</t>
  </si>
  <si>
    <t>Accumulated Depreciation Account - Office Equipment</t>
  </si>
  <si>
    <t>Accum Depreciation - Office Equipment</t>
  </si>
  <si>
    <t>Short Term Loan Account</t>
  </si>
  <si>
    <t>Interest Expense</t>
  </si>
  <si>
    <t>Depreciation Expense - Office Equip</t>
  </si>
  <si>
    <t>Depreciation Expense Account - Office Equipment</t>
  </si>
  <si>
    <t>Accumulated Depreciation - Office Equip</t>
  </si>
  <si>
    <t>Interest Payable Account</t>
  </si>
  <si>
    <t>Interest Payable</t>
  </si>
  <si>
    <t>Salaries Expense Account</t>
  </si>
  <si>
    <t>Salaries Expense</t>
  </si>
  <si>
    <t>Income Statement</t>
  </si>
  <si>
    <t>for the month ended 31 Aug 2025</t>
  </si>
  <si>
    <t>INCOME</t>
  </si>
  <si>
    <t>EXPENSE</t>
  </si>
  <si>
    <t>Profit</t>
  </si>
  <si>
    <t>Balance Sheet</t>
  </si>
  <si>
    <t>CURRENT ASSETS</t>
  </si>
  <si>
    <t>TOTAL CURRENT ASSETS</t>
  </si>
  <si>
    <t>NON CURRENT ASSETS</t>
  </si>
  <si>
    <t>TOTAL NON-CURRENT ASSETS</t>
  </si>
  <si>
    <t xml:space="preserve">LESS: Accumulated Depreciation - Office Equipment </t>
  </si>
  <si>
    <t>TOTAL ASSETS</t>
  </si>
  <si>
    <t>TOTAL LIABILITIES</t>
  </si>
  <si>
    <t>NET ASSETS (TA - TL)</t>
  </si>
  <si>
    <t>OWNER'S EQUITY</t>
  </si>
  <si>
    <t>TOTAL OWNER'S EQUITY</t>
  </si>
  <si>
    <t xml:space="preserve">Capital </t>
  </si>
  <si>
    <t>as at 31 Aug 2022</t>
  </si>
  <si>
    <t>ADD: Profit for the month ended 31 Aug22</t>
  </si>
  <si>
    <t xml:space="preserve">LESS: Drawings </t>
  </si>
  <si>
    <t>CURRENT LIABILITIES</t>
  </si>
  <si>
    <t>NON CURRENT LIABILITIES</t>
  </si>
  <si>
    <t>TOTAL CURRENT LIABILITIES</t>
  </si>
  <si>
    <t>1mth int = (6% x 2000 )/12 = 10</t>
  </si>
  <si>
    <t>deposit = receive money</t>
  </si>
  <si>
    <t>purchase policy = spend money</t>
  </si>
  <si>
    <t>purchase on credit = bill</t>
  </si>
  <si>
    <t>issue invoice = invoice</t>
  </si>
  <si>
    <t>paid wages / expense = spend money</t>
  </si>
  <si>
    <t>short term loan = receive money</t>
  </si>
  <si>
    <t>ref 8 - existing invoice</t>
  </si>
  <si>
    <t>ref 9 - existing invoice</t>
  </si>
  <si>
    <t>ref 10 - receive money</t>
  </si>
  <si>
    <t>ref 11 &amp; 12 - spend money</t>
  </si>
  <si>
    <t>Closing Entries</t>
  </si>
  <si>
    <t>DR ($)</t>
  </si>
  <si>
    <t>CR ($)</t>
  </si>
  <si>
    <t xml:space="preserve">Service Revenue </t>
  </si>
  <si>
    <t>Profit &amp; Loss Summary</t>
  </si>
  <si>
    <t>(Close Revenue Account)</t>
  </si>
  <si>
    <t>(Close Expense Account)</t>
  </si>
  <si>
    <t>(Xfer P/L to Capital)</t>
  </si>
  <si>
    <t>(Close drawings account)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</si>
</sst>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0" fontId="0" fillId="0" borderId="4" xfId="0" applyBorder="1"/>
    <xf numFmtId="16" fontId="0" fillId="0" borderId="0" xfId="0" applyNumberFormat="1"/>
    <xf numFmtId="0" fontId="0" fillId="0" borderId="5" xfId="0" applyBorder="1"/>
    <xf numFmtId="0" fontId="2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applyAlignment="1">
      <alignment horizontal="left" inden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right"/>
    </xf>
    <xf numFmtId="0" fontId="3" fillId="0" borderId="0" xfId="0" applyFont="1"/>
    <xf numFmtId="16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0" fontId="1" fillId="0" borderId="4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4" xfId="0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0" fillId="0" borderId="14" xfId="0" applyBorder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4" xfId="0" applyBorder="1" applyAlignment="1">
      <alignment horizontal="left" indent="1"/>
    </xf>
    <xf numFmtId="0" fontId="0" fillId="0" borderId="0" xfId="0" applyBorder="1"/>
    <xf numFmtId="0" fontId="2" fillId="0" borderId="4" xfId="0" applyFont="1" applyBorder="1"/>
    <xf numFmtId="0" fontId="2" fillId="0" borderId="8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518160</xdr:colOff>
      <xdr:row>55</xdr:row>
      <xdr:rowOff>0</xdr:rowOff>
    </xdr:from>
    <xdr:to>
      <xdr:col>9</xdr:col>
      <xdr:colOff>150706</xdr:colOff>
      <xdr:row>86</xdr:row>
      <xdr:rowOff>119310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CE0ABC-75D7-F435-7321-2B92A3D838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160" y="10657840"/>
          <a:ext cx="7772400" cy="6103551"/>
        </a:xfrm>
        <a:prstGeom prst="rect">
          <a:avLst/>
        </a:prstGeom>
      </xdr:spPr>
    </xdr:pic>
    <xdr:clientData/>
  </xdr:twoCellAnchor>
  <xdr:twoCellAnchor editAs="oneCell">
    <xdr:from>
      <xdr:col>6</xdr:col>
      <xdr:colOff>545253</xdr:colOff>
      <xdr:row>23</xdr:row>
      <xdr:rowOff>71120</xdr:rowOff>
    </xdr:from>
    <xdr:to>
      <xdr:col>12</xdr:col>
      <xdr:colOff>420793</xdr:colOff>
      <xdr:row>34</xdr:row>
      <xdr:rowOff>1362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1073AC8-3172-41EE-6090-44ED1B140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79920" y="4558453"/>
          <a:ext cx="6250940" cy="20616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66"/>
  <sheetViews>
    <sheetView topLeftCell="A48" zoomScale="150" zoomScaleNormal="115" workbookViewId="0">
      <selection activeCell="N12" sqref="N12"/>
    </sheetView>
  </sheetViews>
  <sheetFormatPr baseColWidth="10" defaultColWidth="8.83203125" defaultRowHeight="15" x14ac:dyDescent="0.2"/>
  <cols>
    <col min="4" max="4" width="40" customWidth="1"/>
    <col min="7" max="7" width="5.1640625" customWidth="1"/>
    <col min="10" max="10" width="40.83203125" customWidth="1"/>
  </cols>
  <sheetData>
    <row r="1" spans="2:12" ht="16" thickBot="1" x14ac:dyDescent="0.25"/>
    <row r="2" spans="2:12" s="1" customFormat="1" x14ac:dyDescent="0.2">
      <c r="B2" s="28" t="s">
        <v>0</v>
      </c>
      <c r="C2" s="29"/>
      <c r="D2" s="29"/>
      <c r="E2" s="29"/>
      <c r="F2" s="30"/>
      <c r="H2" s="28" t="s">
        <v>1</v>
      </c>
      <c r="I2" s="29"/>
      <c r="J2" s="29"/>
      <c r="K2" s="29"/>
      <c r="L2" s="30"/>
    </row>
    <row r="3" spans="2:12" s="1" customFormat="1" x14ac:dyDescent="0.2">
      <c r="B3" s="2" t="s">
        <v>2</v>
      </c>
      <c r="C3" s="1" t="s">
        <v>3</v>
      </c>
      <c r="D3" s="1" t="s">
        <v>4</v>
      </c>
      <c r="E3" s="1" t="s">
        <v>5</v>
      </c>
      <c r="F3" s="3" t="s">
        <v>6</v>
      </c>
      <c r="H3" s="2" t="s">
        <v>2</v>
      </c>
      <c r="I3" s="1" t="s">
        <v>3</v>
      </c>
      <c r="J3" s="1" t="s">
        <v>4</v>
      </c>
      <c r="K3" s="1" t="s">
        <v>5</v>
      </c>
      <c r="L3" s="3" t="s">
        <v>6</v>
      </c>
    </row>
    <row r="4" spans="2:12" x14ac:dyDescent="0.2">
      <c r="B4" s="5">
        <v>1</v>
      </c>
      <c r="C4" s="6">
        <v>46204</v>
      </c>
      <c r="D4" t="s">
        <v>7</v>
      </c>
      <c r="E4">
        <v>4800</v>
      </c>
      <c r="F4" s="7"/>
      <c r="H4" s="16" t="s">
        <v>31</v>
      </c>
      <c r="I4" s="6">
        <v>46234</v>
      </c>
      <c r="J4" t="s">
        <v>32</v>
      </c>
      <c r="K4">
        <v>200</v>
      </c>
      <c r="L4" s="7"/>
    </row>
    <row r="5" spans="2:12" x14ac:dyDescent="0.2">
      <c r="B5" s="5"/>
      <c r="D5" s="13" t="s">
        <v>8</v>
      </c>
      <c r="F5" s="7">
        <v>4800</v>
      </c>
      <c r="H5" s="16"/>
      <c r="J5" s="13" t="s">
        <v>10</v>
      </c>
      <c r="L5" s="7">
        <v>200</v>
      </c>
    </row>
    <row r="6" spans="2:12" x14ac:dyDescent="0.2">
      <c r="B6" s="5"/>
      <c r="D6" s="8" t="s">
        <v>9</v>
      </c>
      <c r="F6" s="7"/>
      <c r="H6" s="16"/>
      <c r="J6" s="8" t="s">
        <v>33</v>
      </c>
      <c r="L6" s="7"/>
    </row>
    <row r="7" spans="2:12" x14ac:dyDescent="0.2">
      <c r="B7" s="5"/>
      <c r="F7" s="7"/>
      <c r="H7" s="16"/>
      <c r="L7" s="7"/>
    </row>
    <row r="8" spans="2:12" x14ac:dyDescent="0.2">
      <c r="B8" s="5">
        <v>2</v>
      </c>
      <c r="C8" s="6">
        <v>46204</v>
      </c>
      <c r="D8" t="s">
        <v>10</v>
      </c>
      <c r="E8">
        <v>2400</v>
      </c>
      <c r="F8" s="7"/>
      <c r="H8" s="16" t="s">
        <v>34</v>
      </c>
      <c r="I8" s="6">
        <v>46234</v>
      </c>
      <c r="J8" t="s">
        <v>35</v>
      </c>
      <c r="K8">
        <v>283</v>
      </c>
      <c r="L8" s="7"/>
    </row>
    <row r="9" spans="2:12" x14ac:dyDescent="0.2">
      <c r="B9" s="5"/>
      <c r="D9" s="13" t="s">
        <v>7</v>
      </c>
      <c r="F9" s="7">
        <v>2400</v>
      </c>
      <c r="H9" s="16"/>
      <c r="J9" s="13" t="s">
        <v>36</v>
      </c>
      <c r="L9" s="7">
        <v>283</v>
      </c>
    </row>
    <row r="10" spans="2:12" x14ac:dyDescent="0.2">
      <c r="B10" s="5"/>
      <c r="D10" s="8" t="s">
        <v>12</v>
      </c>
      <c r="F10" s="7"/>
      <c r="H10" s="16"/>
      <c r="J10" s="8" t="s">
        <v>37</v>
      </c>
      <c r="L10" s="7"/>
    </row>
    <row r="11" spans="2:12" x14ac:dyDescent="0.2">
      <c r="B11" s="5"/>
      <c r="F11" s="7"/>
      <c r="H11" s="16"/>
      <c r="L11" s="7"/>
    </row>
    <row r="12" spans="2:12" x14ac:dyDescent="0.2">
      <c r="B12" s="5">
        <v>3</v>
      </c>
      <c r="C12" s="6">
        <v>46210</v>
      </c>
      <c r="D12" t="s">
        <v>11</v>
      </c>
      <c r="E12">
        <v>600</v>
      </c>
      <c r="F12" s="7"/>
      <c r="H12" s="16" t="s">
        <v>38</v>
      </c>
      <c r="I12" s="6">
        <v>46234</v>
      </c>
      <c r="J12" t="s">
        <v>39</v>
      </c>
      <c r="K12">
        <v>100</v>
      </c>
      <c r="L12" s="7"/>
    </row>
    <row r="13" spans="2:12" x14ac:dyDescent="0.2">
      <c r="B13" s="5"/>
      <c r="D13" s="13" t="s">
        <v>23</v>
      </c>
      <c r="F13" s="7">
        <v>600</v>
      </c>
      <c r="H13" s="16"/>
      <c r="J13" s="13" t="s">
        <v>40</v>
      </c>
      <c r="L13">
        <v>100</v>
      </c>
    </row>
    <row r="14" spans="2:12" x14ac:dyDescent="0.2">
      <c r="B14" s="5"/>
      <c r="D14" s="8" t="s">
        <v>13</v>
      </c>
      <c r="F14" s="7"/>
      <c r="H14" s="16"/>
      <c r="I14" s="6"/>
      <c r="J14" s="8" t="s">
        <v>44</v>
      </c>
      <c r="L14" s="7"/>
    </row>
    <row r="15" spans="2:12" x14ac:dyDescent="0.2">
      <c r="B15" s="5"/>
      <c r="F15" s="7"/>
      <c r="H15" s="16"/>
      <c r="L15" s="7"/>
    </row>
    <row r="16" spans="2:12" x14ac:dyDescent="0.2">
      <c r="B16" s="5">
        <v>4</v>
      </c>
      <c r="C16" s="6">
        <v>46212</v>
      </c>
      <c r="D16" t="s">
        <v>14</v>
      </c>
      <c r="E16">
        <v>3264</v>
      </c>
      <c r="F16" s="7"/>
      <c r="H16" s="16" t="s">
        <v>41</v>
      </c>
      <c r="I16" s="6">
        <v>46234</v>
      </c>
      <c r="J16" t="s">
        <v>42</v>
      </c>
      <c r="K16">
        <v>10</v>
      </c>
      <c r="L16" s="7"/>
    </row>
    <row r="17" spans="2:12" x14ac:dyDescent="0.2">
      <c r="B17" s="5"/>
      <c r="D17" s="13" t="s">
        <v>25</v>
      </c>
      <c r="F17" s="7">
        <v>3264</v>
      </c>
      <c r="H17" s="16"/>
      <c r="J17" s="13" t="s">
        <v>43</v>
      </c>
      <c r="L17" s="7">
        <v>10</v>
      </c>
    </row>
    <row r="18" spans="2:12" x14ac:dyDescent="0.2">
      <c r="B18" s="5"/>
      <c r="D18" s="8" t="s">
        <v>15</v>
      </c>
      <c r="F18" s="7"/>
      <c r="H18" s="16"/>
      <c r="I18" s="6"/>
      <c r="J18" s="8" t="s">
        <v>45</v>
      </c>
      <c r="L18" s="7"/>
    </row>
    <row r="19" spans="2:12" ht="16" thickBot="1" x14ac:dyDescent="0.25">
      <c r="B19" s="5"/>
      <c r="F19" s="7"/>
      <c r="H19" s="16"/>
      <c r="K19" s="4">
        <f>SUM(K4:K18)</f>
        <v>593</v>
      </c>
      <c r="L19" s="9">
        <f>SUM(L4:L18)</f>
        <v>593</v>
      </c>
    </row>
    <row r="20" spans="2:12" ht="17" thickTop="1" thickBot="1" x14ac:dyDescent="0.25">
      <c r="B20" s="5">
        <v>5</v>
      </c>
      <c r="C20" s="6">
        <v>46213</v>
      </c>
      <c r="D20" t="s">
        <v>16</v>
      </c>
      <c r="E20">
        <v>1467</v>
      </c>
      <c r="F20" s="7"/>
      <c r="H20" s="10"/>
      <c r="I20" s="11"/>
      <c r="J20" s="11"/>
      <c r="K20" s="11"/>
      <c r="L20" s="12"/>
    </row>
    <row r="21" spans="2:12" x14ac:dyDescent="0.2">
      <c r="B21" s="5"/>
      <c r="D21" s="13" t="s">
        <v>7</v>
      </c>
      <c r="F21" s="7">
        <v>1467</v>
      </c>
    </row>
    <row r="22" spans="2:12" x14ac:dyDescent="0.2">
      <c r="B22" s="5"/>
      <c r="D22" s="8" t="s">
        <v>17</v>
      </c>
      <c r="F22" s="7"/>
    </row>
    <row r="23" spans="2:12" x14ac:dyDescent="0.2">
      <c r="B23" s="5"/>
      <c r="F23" s="7"/>
    </row>
    <row r="24" spans="2:12" x14ac:dyDescent="0.2">
      <c r="B24" s="5">
        <v>6</v>
      </c>
      <c r="C24" s="6">
        <v>46217</v>
      </c>
      <c r="D24" t="s">
        <v>18</v>
      </c>
      <c r="E24">
        <v>6000</v>
      </c>
      <c r="F24" s="7"/>
    </row>
    <row r="25" spans="2:12" x14ac:dyDescent="0.2">
      <c r="B25" s="5"/>
      <c r="D25" s="13" t="s">
        <v>7</v>
      </c>
      <c r="F25" s="7">
        <v>1000</v>
      </c>
    </row>
    <row r="26" spans="2:12" x14ac:dyDescent="0.2">
      <c r="B26" s="5"/>
      <c r="D26" s="13" t="s">
        <v>23</v>
      </c>
      <c r="F26" s="7">
        <v>5000</v>
      </c>
    </row>
    <row r="27" spans="2:12" x14ac:dyDescent="0.2">
      <c r="B27" s="5"/>
      <c r="D27" s="8" t="s">
        <v>19</v>
      </c>
      <c r="F27" s="7"/>
    </row>
    <row r="28" spans="2:12" x14ac:dyDescent="0.2">
      <c r="B28" s="5"/>
      <c r="C28" s="6"/>
      <c r="F28" s="7"/>
    </row>
    <row r="29" spans="2:12" x14ac:dyDescent="0.2">
      <c r="B29" s="5">
        <v>7</v>
      </c>
      <c r="C29" s="6">
        <v>46218</v>
      </c>
      <c r="D29" t="s">
        <v>7</v>
      </c>
      <c r="E29">
        <v>2000</v>
      </c>
      <c r="F29" s="7"/>
    </row>
    <row r="30" spans="2:12" x14ac:dyDescent="0.2">
      <c r="B30" s="5"/>
      <c r="D30" s="13" t="s">
        <v>20</v>
      </c>
      <c r="F30" s="7">
        <v>2000</v>
      </c>
    </row>
    <row r="31" spans="2:12" x14ac:dyDescent="0.2">
      <c r="B31" s="5"/>
      <c r="D31" s="8" t="s">
        <v>21</v>
      </c>
      <c r="F31" s="7"/>
    </row>
    <row r="32" spans="2:12" x14ac:dyDescent="0.2">
      <c r="B32" s="5"/>
      <c r="F32" s="7"/>
    </row>
    <row r="33" spans="2:8" x14ac:dyDescent="0.2">
      <c r="B33" s="5">
        <v>8</v>
      </c>
      <c r="C33" s="6">
        <v>46220</v>
      </c>
      <c r="D33" t="s">
        <v>7</v>
      </c>
      <c r="E33">
        <v>3264</v>
      </c>
      <c r="F33" s="7"/>
    </row>
    <row r="34" spans="2:8" x14ac:dyDescent="0.2">
      <c r="B34" s="5"/>
      <c r="D34" s="13" t="s">
        <v>14</v>
      </c>
      <c r="F34" s="7">
        <v>3264</v>
      </c>
    </row>
    <row r="35" spans="2:8" x14ac:dyDescent="0.2">
      <c r="B35" s="5"/>
      <c r="D35" s="8" t="s">
        <v>22</v>
      </c>
      <c r="F35" s="7"/>
    </row>
    <row r="36" spans="2:8" x14ac:dyDescent="0.2">
      <c r="B36" s="5"/>
      <c r="F36" s="7"/>
      <c r="H36" s="17" t="s">
        <v>98</v>
      </c>
    </row>
    <row r="37" spans="2:8" x14ac:dyDescent="0.2">
      <c r="B37" s="5">
        <v>9</v>
      </c>
      <c r="C37" s="6">
        <v>46222</v>
      </c>
      <c r="D37" t="s">
        <v>23</v>
      </c>
      <c r="E37">
        <v>300</v>
      </c>
      <c r="F37" s="7"/>
    </row>
    <row r="38" spans="2:8" x14ac:dyDescent="0.2">
      <c r="B38" s="5"/>
      <c r="D38" s="13" t="s">
        <v>7</v>
      </c>
      <c r="F38" s="7">
        <v>300</v>
      </c>
    </row>
    <row r="39" spans="2:8" x14ac:dyDescent="0.2">
      <c r="B39" s="5"/>
      <c r="D39" s="8" t="s">
        <v>24</v>
      </c>
      <c r="F39" s="7"/>
    </row>
    <row r="40" spans="2:8" x14ac:dyDescent="0.2">
      <c r="B40" s="5"/>
      <c r="F40" s="7"/>
    </row>
    <row r="41" spans="2:8" x14ac:dyDescent="0.2">
      <c r="B41" s="5">
        <v>10</v>
      </c>
      <c r="C41" s="6">
        <v>46225</v>
      </c>
      <c r="D41" t="s">
        <v>7</v>
      </c>
      <c r="E41">
        <v>3536</v>
      </c>
      <c r="F41" s="7"/>
    </row>
    <row r="42" spans="2:8" x14ac:dyDescent="0.2">
      <c r="B42" s="5"/>
      <c r="D42" s="13" t="s">
        <v>25</v>
      </c>
      <c r="F42" s="7">
        <v>3536</v>
      </c>
    </row>
    <row r="43" spans="2:8" x14ac:dyDescent="0.2">
      <c r="B43" s="5"/>
      <c r="D43" s="8" t="s">
        <v>26</v>
      </c>
      <c r="F43" s="7"/>
    </row>
    <row r="44" spans="2:8" x14ac:dyDescent="0.2">
      <c r="B44" s="5"/>
      <c r="F44" s="7"/>
    </row>
    <row r="45" spans="2:8" x14ac:dyDescent="0.2">
      <c r="B45" s="5">
        <v>11</v>
      </c>
      <c r="C45" s="6">
        <v>46234</v>
      </c>
      <c r="D45" t="s">
        <v>27</v>
      </c>
      <c r="E45">
        <v>3000</v>
      </c>
      <c r="F45" s="7"/>
    </row>
    <row r="46" spans="2:8" x14ac:dyDescent="0.2">
      <c r="B46" s="5"/>
      <c r="D46" s="13" t="s">
        <v>7</v>
      </c>
      <c r="F46" s="7">
        <v>3000</v>
      </c>
    </row>
    <row r="47" spans="2:8" x14ac:dyDescent="0.2">
      <c r="B47" s="5"/>
      <c r="D47" s="8" t="s">
        <v>28</v>
      </c>
      <c r="F47" s="7"/>
    </row>
    <row r="48" spans="2:8" x14ac:dyDescent="0.2">
      <c r="B48" s="5"/>
      <c r="F48" s="7"/>
    </row>
    <row r="49" spans="2:11" x14ac:dyDescent="0.2">
      <c r="B49" s="5">
        <v>12</v>
      </c>
      <c r="C49" s="6">
        <v>46234</v>
      </c>
      <c r="D49" t="s">
        <v>29</v>
      </c>
      <c r="E49">
        <v>667</v>
      </c>
      <c r="F49" s="7"/>
    </row>
    <row r="50" spans="2:11" x14ac:dyDescent="0.2">
      <c r="B50" s="5"/>
      <c r="D50" s="13" t="s">
        <v>7</v>
      </c>
      <c r="F50" s="7">
        <v>667</v>
      </c>
    </row>
    <row r="51" spans="2:11" x14ac:dyDescent="0.2">
      <c r="B51" s="5"/>
      <c r="D51" s="8" t="s">
        <v>30</v>
      </c>
      <c r="F51" s="7"/>
    </row>
    <row r="52" spans="2:11" x14ac:dyDescent="0.2">
      <c r="B52" s="5"/>
      <c r="F52" s="7"/>
    </row>
    <row r="53" spans="2:11" ht="16" thickBot="1" x14ac:dyDescent="0.25">
      <c r="B53" s="5"/>
      <c r="E53" s="4">
        <f>SUM(E4:E52)</f>
        <v>31298</v>
      </c>
      <c r="F53" s="9">
        <f>SUM(F4:F52)</f>
        <v>31298</v>
      </c>
    </row>
    <row r="54" spans="2:11" ht="17" thickTop="1" thickBot="1" x14ac:dyDescent="0.25">
      <c r="B54" s="10"/>
      <c r="C54" s="11"/>
      <c r="D54" s="11"/>
      <c r="E54" s="11"/>
      <c r="F54" s="12"/>
    </row>
    <row r="57" spans="2:11" x14ac:dyDescent="0.2">
      <c r="K57" t="s">
        <v>99</v>
      </c>
    </row>
    <row r="58" spans="2:11" x14ac:dyDescent="0.2">
      <c r="K58" t="s">
        <v>100</v>
      </c>
    </row>
    <row r="59" spans="2:11" x14ac:dyDescent="0.2">
      <c r="K59" t="s">
        <v>101</v>
      </c>
    </row>
    <row r="60" spans="2:11" x14ac:dyDescent="0.2">
      <c r="K60" t="s">
        <v>102</v>
      </c>
    </row>
    <row r="61" spans="2:11" x14ac:dyDescent="0.2">
      <c r="K61" t="s">
        <v>103</v>
      </c>
    </row>
    <row r="62" spans="2:11" x14ac:dyDescent="0.2">
      <c r="K62" t="s">
        <v>104</v>
      </c>
    </row>
    <row r="63" spans="2:11" x14ac:dyDescent="0.2">
      <c r="K63" t="s">
        <v>105</v>
      </c>
    </row>
    <row r="64" spans="2:11" x14ac:dyDescent="0.2">
      <c r="K64" t="s">
        <v>106</v>
      </c>
    </row>
    <row r="65" spans="11:11" x14ac:dyDescent="0.2">
      <c r="K65" t="s">
        <v>107</v>
      </c>
    </row>
    <row r="66" spans="11:11" x14ac:dyDescent="0.2">
      <c r="K66" t="s">
        <v>108</v>
      </c>
    </row>
  </sheetData>
  <mergeCells count="2">
    <mergeCell ref="B2:F2"/>
    <mergeCell ref="H2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10609-EF1D-6C47-B6EA-5E080B01FD3F}">
  <dimension ref="B3:N76"/>
  <sheetViews>
    <sheetView topLeftCell="C21" zoomScale="191" workbookViewId="0">
      <selection activeCell="I26" sqref="I26"/>
    </sheetView>
  </sheetViews>
  <sheetFormatPr baseColWidth="10" defaultColWidth="11.5" defaultRowHeight="15" x14ac:dyDescent="0.2"/>
  <cols>
    <col min="1" max="1" width="8.83203125" customWidth="1"/>
    <col min="3" max="3" width="28.6640625" customWidth="1"/>
    <col min="6" max="6" width="5.33203125" customWidth="1"/>
    <col min="8" max="8" width="18.83203125" customWidth="1"/>
  </cols>
  <sheetData>
    <row r="3" spans="2:10" x14ac:dyDescent="0.2">
      <c r="B3" s="31" t="s">
        <v>49</v>
      </c>
      <c r="C3" s="31"/>
      <c r="D3" s="31"/>
      <c r="E3" s="31"/>
      <c r="G3" s="31" t="s">
        <v>50</v>
      </c>
      <c r="H3" s="31"/>
      <c r="I3" s="31"/>
      <c r="J3" s="31"/>
    </row>
    <row r="4" spans="2:10" x14ac:dyDescent="0.2">
      <c r="B4" t="s">
        <v>3</v>
      </c>
      <c r="C4" t="s">
        <v>46</v>
      </c>
      <c r="D4" s="1" t="s">
        <v>5</v>
      </c>
      <c r="E4" s="1" t="s">
        <v>6</v>
      </c>
      <c r="G4" t="s">
        <v>3</v>
      </c>
      <c r="H4" t="s">
        <v>46</v>
      </c>
      <c r="I4" s="1" t="s">
        <v>5</v>
      </c>
      <c r="J4" s="1" t="s">
        <v>6</v>
      </c>
    </row>
    <row r="5" spans="2:10" x14ac:dyDescent="0.2">
      <c r="B5" s="18">
        <v>46204</v>
      </c>
      <c r="C5" t="s">
        <v>8</v>
      </c>
      <c r="D5">
        <v>4800</v>
      </c>
      <c r="G5" s="18">
        <v>46204</v>
      </c>
      <c r="H5" t="s">
        <v>7</v>
      </c>
      <c r="J5">
        <v>4800</v>
      </c>
    </row>
    <row r="6" spans="2:10" x14ac:dyDescent="0.2">
      <c r="B6" s="18">
        <v>46204</v>
      </c>
      <c r="C6" t="s">
        <v>10</v>
      </c>
      <c r="E6">
        <v>2400</v>
      </c>
      <c r="G6" s="18">
        <v>46234</v>
      </c>
      <c r="H6" t="s">
        <v>47</v>
      </c>
      <c r="J6">
        <v>4800</v>
      </c>
    </row>
    <row r="7" spans="2:10" x14ac:dyDescent="0.2">
      <c r="B7" s="18">
        <v>46213</v>
      </c>
      <c r="C7" t="s">
        <v>16</v>
      </c>
      <c r="E7">
        <v>1467</v>
      </c>
      <c r="G7" s="18">
        <v>46235</v>
      </c>
      <c r="H7" s="19" t="s">
        <v>48</v>
      </c>
      <c r="J7">
        <v>4800</v>
      </c>
    </row>
    <row r="8" spans="2:10" x14ac:dyDescent="0.2">
      <c r="B8" s="18">
        <v>46217</v>
      </c>
      <c r="C8" t="s">
        <v>18</v>
      </c>
      <c r="E8">
        <v>1000</v>
      </c>
    </row>
    <row r="9" spans="2:10" x14ac:dyDescent="0.2">
      <c r="B9" s="18">
        <v>46218</v>
      </c>
      <c r="C9" t="s">
        <v>20</v>
      </c>
      <c r="D9">
        <v>2000</v>
      </c>
      <c r="G9" s="31" t="s">
        <v>53</v>
      </c>
      <c r="H9" s="31"/>
      <c r="I9" s="31"/>
      <c r="J9" s="31"/>
    </row>
    <row r="10" spans="2:10" x14ac:dyDescent="0.2">
      <c r="B10" s="18">
        <v>46220</v>
      </c>
      <c r="C10" t="s">
        <v>14</v>
      </c>
      <c r="D10">
        <v>3264</v>
      </c>
      <c r="G10" t="s">
        <v>3</v>
      </c>
      <c r="H10" t="s">
        <v>46</v>
      </c>
      <c r="I10" s="1" t="s">
        <v>5</v>
      </c>
      <c r="J10" s="1" t="s">
        <v>6</v>
      </c>
    </row>
    <row r="11" spans="2:10" x14ac:dyDescent="0.2">
      <c r="B11" s="18">
        <v>46222</v>
      </c>
      <c r="C11" t="s">
        <v>23</v>
      </c>
      <c r="E11">
        <v>300</v>
      </c>
      <c r="G11" s="18">
        <v>46210</v>
      </c>
      <c r="H11" t="s">
        <v>11</v>
      </c>
      <c r="J11">
        <v>600</v>
      </c>
    </row>
    <row r="12" spans="2:10" x14ac:dyDescent="0.2">
      <c r="B12" s="18">
        <v>46225</v>
      </c>
      <c r="C12" t="s">
        <v>25</v>
      </c>
      <c r="D12">
        <v>3536</v>
      </c>
      <c r="G12" s="18">
        <v>46217</v>
      </c>
      <c r="H12" t="s">
        <v>18</v>
      </c>
      <c r="J12">
        <v>5000</v>
      </c>
    </row>
    <row r="13" spans="2:10" x14ac:dyDescent="0.2">
      <c r="B13" s="18">
        <v>46234</v>
      </c>
      <c r="C13" t="s">
        <v>27</v>
      </c>
      <c r="E13">
        <v>3000</v>
      </c>
      <c r="G13" s="18">
        <v>46222</v>
      </c>
      <c r="H13" s="15" t="s">
        <v>7</v>
      </c>
      <c r="I13">
        <v>300</v>
      </c>
    </row>
    <row r="14" spans="2:10" x14ac:dyDescent="0.2">
      <c r="B14" s="18">
        <v>46234</v>
      </c>
      <c r="C14" t="s">
        <v>29</v>
      </c>
      <c r="E14">
        <v>667</v>
      </c>
      <c r="G14" s="18">
        <v>46234</v>
      </c>
      <c r="H14" t="s">
        <v>47</v>
      </c>
      <c r="I14">
        <v>5300</v>
      </c>
    </row>
    <row r="15" spans="2:10" ht="16" thickBot="1" x14ac:dyDescent="0.25">
      <c r="B15" s="18">
        <v>46234</v>
      </c>
      <c r="C15" s="15" t="s">
        <v>47</v>
      </c>
      <c r="E15">
        <v>4766</v>
      </c>
      <c r="G15" s="14"/>
      <c r="I15" s="4">
        <v>5600</v>
      </c>
      <c r="J15" s="4">
        <v>5600</v>
      </c>
    </row>
    <row r="16" spans="2:10" ht="17" thickTop="1" thickBot="1" x14ac:dyDescent="0.25">
      <c r="B16" s="14"/>
      <c r="D16" s="4">
        <f>SUM(D5:D15)</f>
        <v>13600</v>
      </c>
      <c r="E16" s="4">
        <f>SUM(E5:E15)</f>
        <v>13600</v>
      </c>
      <c r="G16" s="18">
        <v>46235</v>
      </c>
      <c r="H16" s="19" t="s">
        <v>48</v>
      </c>
      <c r="J16">
        <v>5300</v>
      </c>
    </row>
    <row r="17" spans="2:14" ht="16" thickTop="1" x14ac:dyDescent="0.2">
      <c r="B17" s="18">
        <v>46235</v>
      </c>
      <c r="C17" s="19" t="s">
        <v>48</v>
      </c>
      <c r="D17">
        <v>4766</v>
      </c>
      <c r="G17" s="18"/>
    </row>
    <row r="18" spans="2:14" x14ac:dyDescent="0.2">
      <c r="G18" s="31" t="s">
        <v>55</v>
      </c>
      <c r="H18" s="31"/>
      <c r="I18" s="31"/>
      <c r="J18" s="31"/>
    </row>
    <row r="19" spans="2:14" x14ac:dyDescent="0.2">
      <c r="B19" s="31" t="s">
        <v>51</v>
      </c>
      <c r="C19" s="31"/>
      <c r="D19" s="31"/>
      <c r="E19" s="31"/>
      <c r="G19" t="s">
        <v>3</v>
      </c>
      <c r="H19" t="s">
        <v>46</v>
      </c>
      <c r="I19" s="1" t="s">
        <v>5</v>
      </c>
      <c r="J19" s="1" t="s">
        <v>6</v>
      </c>
    </row>
    <row r="20" spans="2:14" x14ac:dyDescent="0.2">
      <c r="B20" t="s">
        <v>3</v>
      </c>
      <c r="C20" t="s">
        <v>46</v>
      </c>
      <c r="D20" s="1" t="s">
        <v>5</v>
      </c>
      <c r="E20" s="1" t="s">
        <v>6</v>
      </c>
      <c r="G20" s="18">
        <v>46212</v>
      </c>
      <c r="H20" s="15" t="s">
        <v>14</v>
      </c>
      <c r="J20">
        <v>3264</v>
      </c>
    </row>
    <row r="21" spans="2:14" x14ac:dyDescent="0.2">
      <c r="B21" s="18">
        <v>46204</v>
      </c>
      <c r="C21" t="s">
        <v>7</v>
      </c>
      <c r="D21">
        <v>2400</v>
      </c>
      <c r="G21" s="18">
        <v>46225</v>
      </c>
      <c r="H21" s="15" t="s">
        <v>7</v>
      </c>
      <c r="J21">
        <v>3536</v>
      </c>
    </row>
    <row r="22" spans="2:14" x14ac:dyDescent="0.2">
      <c r="B22" s="18">
        <v>46234</v>
      </c>
      <c r="C22" t="s">
        <v>32</v>
      </c>
      <c r="E22">
        <v>200</v>
      </c>
      <c r="J22" s="21">
        <f>SUM(J20:J21)</f>
        <v>6800</v>
      </c>
      <c r="M22" s="1"/>
      <c r="N22" s="1"/>
    </row>
    <row r="23" spans="2:14" x14ac:dyDescent="0.2">
      <c r="B23" s="18">
        <v>46234</v>
      </c>
      <c r="C23" t="s">
        <v>47</v>
      </c>
      <c r="E23">
        <v>2200</v>
      </c>
      <c r="G23" s="31"/>
      <c r="H23" s="31"/>
      <c r="I23" s="31"/>
      <c r="J23" s="31"/>
      <c r="K23" s="18"/>
    </row>
    <row r="24" spans="2:14" ht="16" thickBot="1" x14ac:dyDescent="0.25">
      <c r="B24" s="14"/>
      <c r="D24" s="4">
        <v>2400</v>
      </c>
      <c r="E24" s="4">
        <v>2400</v>
      </c>
      <c r="G24" s="31" t="s">
        <v>57</v>
      </c>
      <c r="H24" s="31"/>
      <c r="I24" s="31"/>
      <c r="J24" s="31"/>
      <c r="M24" s="1"/>
      <c r="N24" s="1"/>
    </row>
    <row r="25" spans="2:14" ht="16" thickTop="1" x14ac:dyDescent="0.2">
      <c r="B25" s="18">
        <v>46235</v>
      </c>
      <c r="C25" t="s">
        <v>48</v>
      </c>
      <c r="D25">
        <v>2200</v>
      </c>
      <c r="G25" t="s">
        <v>3</v>
      </c>
      <c r="H25" t="s">
        <v>46</v>
      </c>
      <c r="I25" s="1" t="s">
        <v>5</v>
      </c>
      <c r="J25" s="1" t="s">
        <v>6</v>
      </c>
      <c r="K25" s="31"/>
      <c r="L25" s="31"/>
      <c r="M25" s="31"/>
      <c r="N25" s="31"/>
    </row>
    <row r="26" spans="2:14" x14ac:dyDescent="0.2">
      <c r="G26" s="18">
        <v>46234</v>
      </c>
      <c r="H26" t="s">
        <v>7</v>
      </c>
      <c r="I26">
        <v>667</v>
      </c>
      <c r="M26" s="1"/>
      <c r="N26" s="1"/>
    </row>
    <row r="27" spans="2:14" x14ac:dyDescent="0.2">
      <c r="B27" s="31" t="s">
        <v>52</v>
      </c>
      <c r="C27" s="31"/>
      <c r="D27" s="31"/>
      <c r="E27" s="31"/>
      <c r="G27" s="31"/>
      <c r="H27" s="31"/>
      <c r="I27" s="31"/>
      <c r="J27" s="31"/>
      <c r="K27" s="18"/>
      <c r="L27" s="15"/>
    </row>
    <row r="28" spans="2:14" x14ac:dyDescent="0.2">
      <c r="B28" t="s">
        <v>3</v>
      </c>
      <c r="C28" t="s">
        <v>46</v>
      </c>
      <c r="D28" s="1" t="s">
        <v>5</v>
      </c>
      <c r="E28" s="1" t="s">
        <v>6</v>
      </c>
      <c r="G28" s="31" t="s">
        <v>66</v>
      </c>
      <c r="H28" s="31"/>
      <c r="I28" s="31"/>
      <c r="J28" s="31"/>
      <c r="K28" s="18"/>
    </row>
    <row r="29" spans="2:14" x14ac:dyDescent="0.2">
      <c r="B29" s="18">
        <v>46210</v>
      </c>
      <c r="C29" s="15" t="s">
        <v>23</v>
      </c>
      <c r="D29">
        <v>600</v>
      </c>
      <c r="G29" t="s">
        <v>3</v>
      </c>
      <c r="H29" t="s">
        <v>46</v>
      </c>
      <c r="I29" s="1" t="s">
        <v>5</v>
      </c>
      <c r="J29" s="1" t="s">
        <v>6</v>
      </c>
      <c r="K29" s="18"/>
      <c r="L29" s="19"/>
    </row>
    <row r="30" spans="2:14" x14ac:dyDescent="0.2">
      <c r="B30" s="18">
        <v>46234</v>
      </c>
      <c r="C30" t="s">
        <v>35</v>
      </c>
      <c r="E30">
        <v>283</v>
      </c>
      <c r="G30" s="18">
        <v>46225</v>
      </c>
      <c r="H30" s="15" t="s">
        <v>7</v>
      </c>
      <c r="J30">
        <v>2000</v>
      </c>
    </row>
    <row r="31" spans="2:14" x14ac:dyDescent="0.2">
      <c r="B31" s="18">
        <v>46234</v>
      </c>
      <c r="C31" t="s">
        <v>47</v>
      </c>
      <c r="E31">
        <v>317</v>
      </c>
      <c r="G31" s="18">
        <v>46234</v>
      </c>
      <c r="H31" t="s">
        <v>47</v>
      </c>
      <c r="J31">
        <v>2000</v>
      </c>
      <c r="K31" s="31"/>
      <c r="L31" s="31"/>
      <c r="M31" s="31"/>
      <c r="N31" s="31"/>
    </row>
    <row r="32" spans="2:14" ht="16" thickBot="1" x14ac:dyDescent="0.25">
      <c r="B32" s="14"/>
      <c r="D32" s="4">
        <v>600</v>
      </c>
      <c r="E32" s="4">
        <v>600</v>
      </c>
      <c r="G32" s="18">
        <v>46235</v>
      </c>
      <c r="H32" s="19" t="s">
        <v>48</v>
      </c>
      <c r="J32">
        <v>2000</v>
      </c>
      <c r="M32" s="1"/>
      <c r="N32" s="1"/>
    </row>
    <row r="33" spans="2:12" ht="16" thickTop="1" x14ac:dyDescent="0.2">
      <c r="B33" s="18">
        <v>46235</v>
      </c>
      <c r="C33" t="s">
        <v>48</v>
      </c>
      <c r="D33">
        <v>317</v>
      </c>
      <c r="G33" s="31"/>
      <c r="H33" s="31"/>
      <c r="I33" s="31"/>
      <c r="J33" s="31"/>
      <c r="K33" s="18"/>
    </row>
    <row r="34" spans="2:12" x14ac:dyDescent="0.2">
      <c r="B34" s="18"/>
      <c r="G34" s="31" t="s">
        <v>71</v>
      </c>
      <c r="H34" s="31"/>
      <c r="I34" s="31"/>
      <c r="J34" s="31"/>
      <c r="K34" s="18"/>
    </row>
    <row r="35" spans="2:12" x14ac:dyDescent="0.2">
      <c r="B35" s="31" t="s">
        <v>62</v>
      </c>
      <c r="C35" s="31"/>
      <c r="D35" s="31"/>
      <c r="E35" s="31"/>
      <c r="G35" t="s">
        <v>3</v>
      </c>
      <c r="H35" t="s">
        <v>46</v>
      </c>
      <c r="I35" s="1" t="s">
        <v>5</v>
      </c>
      <c r="J35" s="1" t="s">
        <v>6</v>
      </c>
      <c r="K35" s="18"/>
      <c r="L35" s="19"/>
    </row>
    <row r="36" spans="2:12" x14ac:dyDescent="0.2">
      <c r="B36" t="s">
        <v>3</v>
      </c>
      <c r="C36" t="s">
        <v>46</v>
      </c>
      <c r="D36" s="1" t="s">
        <v>5</v>
      </c>
      <c r="E36" s="1" t="s">
        <v>6</v>
      </c>
      <c r="G36" s="18">
        <v>46234</v>
      </c>
      <c r="H36" t="s">
        <v>42</v>
      </c>
      <c r="J36">
        <v>10</v>
      </c>
    </row>
    <row r="37" spans="2:12" x14ac:dyDescent="0.2">
      <c r="B37" s="18">
        <v>46217</v>
      </c>
      <c r="C37" s="15" t="s">
        <v>7</v>
      </c>
      <c r="D37">
        <v>1000</v>
      </c>
      <c r="G37" s="18">
        <v>46234</v>
      </c>
      <c r="H37" t="s">
        <v>47</v>
      </c>
      <c r="J37">
        <v>10</v>
      </c>
    </row>
    <row r="38" spans="2:12" x14ac:dyDescent="0.2">
      <c r="B38" s="18">
        <v>46217</v>
      </c>
      <c r="C38" s="15" t="s">
        <v>23</v>
      </c>
      <c r="D38">
        <v>5000</v>
      </c>
      <c r="G38" s="18">
        <v>46235</v>
      </c>
      <c r="H38" s="19" t="s">
        <v>48</v>
      </c>
      <c r="J38">
        <v>10</v>
      </c>
    </row>
    <row r="39" spans="2:12" x14ac:dyDescent="0.2">
      <c r="B39" s="18"/>
      <c r="C39" s="13"/>
      <c r="D39" s="21">
        <v>6000</v>
      </c>
    </row>
    <row r="40" spans="2:12" x14ac:dyDescent="0.2">
      <c r="B40" s="18">
        <v>46234</v>
      </c>
      <c r="C40" t="s">
        <v>47</v>
      </c>
      <c r="D40">
        <v>6000</v>
      </c>
    </row>
    <row r="41" spans="2:12" x14ac:dyDescent="0.2">
      <c r="B41" s="18">
        <v>46235</v>
      </c>
      <c r="C41" t="s">
        <v>48</v>
      </c>
      <c r="D41">
        <v>6000</v>
      </c>
      <c r="G41" s="31"/>
      <c r="H41" s="31"/>
      <c r="I41" s="31"/>
      <c r="J41" s="31"/>
    </row>
    <row r="42" spans="2:12" x14ac:dyDescent="0.2">
      <c r="I42" s="1"/>
      <c r="J42" s="1"/>
    </row>
    <row r="43" spans="2:12" x14ac:dyDescent="0.2">
      <c r="B43" s="31" t="s">
        <v>54</v>
      </c>
      <c r="C43" s="31"/>
      <c r="D43" s="31"/>
      <c r="E43" s="31"/>
      <c r="G43" s="18"/>
      <c r="H43" s="15"/>
    </row>
    <row r="44" spans="2:12" x14ac:dyDescent="0.2">
      <c r="B44" t="s">
        <v>3</v>
      </c>
      <c r="C44" t="s">
        <v>46</v>
      </c>
      <c r="D44" s="1" t="s">
        <v>5</v>
      </c>
      <c r="E44" s="1" t="s">
        <v>6</v>
      </c>
      <c r="G44" s="18"/>
      <c r="H44" s="15"/>
    </row>
    <row r="45" spans="2:12" x14ac:dyDescent="0.2">
      <c r="B45" s="18">
        <v>46212</v>
      </c>
      <c r="C45" t="s">
        <v>25</v>
      </c>
      <c r="D45">
        <v>3264</v>
      </c>
    </row>
    <row r="46" spans="2:12" x14ac:dyDescent="0.2">
      <c r="B46" s="18">
        <v>46220</v>
      </c>
      <c r="C46" t="s">
        <v>7</v>
      </c>
      <c r="E46">
        <v>3264</v>
      </c>
    </row>
    <row r="47" spans="2:12" x14ac:dyDescent="0.2">
      <c r="I47" s="1"/>
      <c r="J47" s="1"/>
    </row>
    <row r="48" spans="2:12" x14ac:dyDescent="0.2">
      <c r="B48" s="31" t="s">
        <v>56</v>
      </c>
      <c r="C48" s="31"/>
      <c r="D48" s="31"/>
      <c r="E48" s="31"/>
      <c r="G48" s="18"/>
    </row>
    <row r="49" spans="2:10" x14ac:dyDescent="0.2">
      <c r="B49" t="s">
        <v>3</v>
      </c>
      <c r="C49" t="s">
        <v>46</v>
      </c>
      <c r="D49" s="1" t="s">
        <v>5</v>
      </c>
      <c r="E49" s="1" t="s">
        <v>6</v>
      </c>
      <c r="I49" s="1"/>
      <c r="J49" s="1"/>
    </row>
    <row r="50" spans="2:10" x14ac:dyDescent="0.2">
      <c r="B50" s="18">
        <v>46234</v>
      </c>
      <c r="C50" t="s">
        <v>7</v>
      </c>
      <c r="D50">
        <v>3000</v>
      </c>
    </row>
    <row r="51" spans="2:10" x14ac:dyDescent="0.2">
      <c r="I51" s="1"/>
      <c r="J51" s="1"/>
    </row>
    <row r="52" spans="2:10" x14ac:dyDescent="0.2">
      <c r="B52" s="31" t="s">
        <v>58</v>
      </c>
      <c r="C52" s="31"/>
      <c r="D52" s="31"/>
      <c r="E52" s="31"/>
      <c r="G52" s="18"/>
      <c r="H52" s="15"/>
    </row>
    <row r="53" spans="2:10" x14ac:dyDescent="0.2">
      <c r="B53" t="s">
        <v>3</v>
      </c>
      <c r="C53" t="s">
        <v>46</v>
      </c>
      <c r="D53" s="1" t="s">
        <v>5</v>
      </c>
      <c r="E53" s="1" t="s">
        <v>6</v>
      </c>
      <c r="G53" s="18"/>
    </row>
    <row r="54" spans="2:10" x14ac:dyDescent="0.2">
      <c r="B54" s="18">
        <v>46234</v>
      </c>
      <c r="C54" t="s">
        <v>10</v>
      </c>
      <c r="D54">
        <v>200</v>
      </c>
      <c r="G54" s="18"/>
      <c r="H54" s="19"/>
    </row>
    <row r="56" spans="2:10" x14ac:dyDescent="0.2">
      <c r="B56" s="31" t="s">
        <v>59</v>
      </c>
      <c r="C56" s="31"/>
      <c r="D56" s="31"/>
      <c r="E56" s="31"/>
    </row>
    <row r="57" spans="2:10" x14ac:dyDescent="0.2">
      <c r="B57" t="s">
        <v>3</v>
      </c>
      <c r="C57" t="s">
        <v>46</v>
      </c>
      <c r="D57" s="1" t="s">
        <v>5</v>
      </c>
      <c r="E57" s="1" t="s">
        <v>6</v>
      </c>
      <c r="I57" s="1"/>
      <c r="J57" s="1"/>
    </row>
    <row r="58" spans="2:10" x14ac:dyDescent="0.2">
      <c r="B58" s="18">
        <v>46234</v>
      </c>
      <c r="C58" t="s">
        <v>11</v>
      </c>
      <c r="D58">
        <v>283</v>
      </c>
      <c r="G58" s="18"/>
    </row>
    <row r="59" spans="2:10" x14ac:dyDescent="0.2">
      <c r="G59" s="18"/>
    </row>
    <row r="60" spans="2:10" x14ac:dyDescent="0.2">
      <c r="B60" s="31" t="s">
        <v>73</v>
      </c>
      <c r="C60" s="31"/>
      <c r="D60" s="31"/>
      <c r="E60" s="31"/>
      <c r="G60" s="18"/>
    </row>
    <row r="61" spans="2:10" x14ac:dyDescent="0.2">
      <c r="B61" t="s">
        <v>3</v>
      </c>
      <c r="C61" t="s">
        <v>46</v>
      </c>
      <c r="D61" s="1" t="s">
        <v>5</v>
      </c>
      <c r="E61" s="1" t="s">
        <v>6</v>
      </c>
      <c r="G61" s="18"/>
    </row>
    <row r="62" spans="2:10" x14ac:dyDescent="0.2">
      <c r="B62" s="18">
        <v>46234</v>
      </c>
      <c r="C62" t="s">
        <v>7</v>
      </c>
      <c r="D62">
        <v>1467</v>
      </c>
      <c r="G62" s="18"/>
    </row>
    <row r="63" spans="2:10" x14ac:dyDescent="0.2">
      <c r="B63" s="18"/>
      <c r="G63" s="18"/>
    </row>
    <row r="64" spans="2:10" x14ac:dyDescent="0.2">
      <c r="B64" s="31" t="s">
        <v>60</v>
      </c>
      <c r="C64" s="31"/>
      <c r="D64" s="31"/>
      <c r="E64" s="31"/>
      <c r="G64" s="18"/>
      <c r="H64" s="19"/>
    </row>
    <row r="65" spans="2:5" x14ac:dyDescent="0.2">
      <c r="B65" t="s">
        <v>3</v>
      </c>
      <c r="C65" t="s">
        <v>46</v>
      </c>
      <c r="D65" s="1" t="s">
        <v>5</v>
      </c>
      <c r="E65" s="1" t="s">
        <v>6</v>
      </c>
    </row>
    <row r="66" spans="2:5" x14ac:dyDescent="0.2">
      <c r="B66" s="18">
        <v>46234</v>
      </c>
      <c r="C66" s="15" t="s">
        <v>43</v>
      </c>
      <c r="D66">
        <v>10</v>
      </c>
    </row>
    <row r="68" spans="2:5" x14ac:dyDescent="0.2">
      <c r="B68" s="31" t="s">
        <v>69</v>
      </c>
      <c r="C68" s="31"/>
      <c r="D68" s="31"/>
      <c r="E68" s="31"/>
    </row>
    <row r="69" spans="2:5" x14ac:dyDescent="0.2">
      <c r="B69" t="s">
        <v>3</v>
      </c>
      <c r="C69" t="s">
        <v>46</v>
      </c>
      <c r="D69" s="1" t="s">
        <v>5</v>
      </c>
      <c r="E69" s="1" t="s">
        <v>6</v>
      </c>
    </row>
    <row r="70" spans="2:5" x14ac:dyDescent="0.2">
      <c r="B70" s="18">
        <v>46234</v>
      </c>
      <c r="C70" s="15" t="s">
        <v>65</v>
      </c>
      <c r="D70">
        <v>100</v>
      </c>
    </row>
    <row r="72" spans="2:5" x14ac:dyDescent="0.2">
      <c r="B72" s="31" t="s">
        <v>64</v>
      </c>
      <c r="C72" s="31"/>
      <c r="D72" s="31"/>
      <c r="E72" s="31"/>
    </row>
    <row r="73" spans="2:5" x14ac:dyDescent="0.2">
      <c r="B73" t="s">
        <v>3</v>
      </c>
      <c r="C73" t="s">
        <v>46</v>
      </c>
      <c r="D73" s="1" t="s">
        <v>5</v>
      </c>
      <c r="E73" s="1" t="s">
        <v>6</v>
      </c>
    </row>
    <row r="74" spans="2:5" x14ac:dyDescent="0.2">
      <c r="B74" s="18">
        <v>46234</v>
      </c>
      <c r="C74" s="15" t="s">
        <v>63</v>
      </c>
      <c r="E74">
        <v>100</v>
      </c>
    </row>
    <row r="75" spans="2:5" x14ac:dyDescent="0.2">
      <c r="B75" s="18">
        <v>46234</v>
      </c>
      <c r="C75" t="s">
        <v>47</v>
      </c>
      <c r="E75">
        <v>100</v>
      </c>
    </row>
    <row r="76" spans="2:5" x14ac:dyDescent="0.2">
      <c r="B76" s="18">
        <v>46235</v>
      </c>
      <c r="C76" s="19" t="s">
        <v>48</v>
      </c>
      <c r="E76">
        <v>100</v>
      </c>
    </row>
  </sheetData>
  <mergeCells count="24">
    <mergeCell ref="K25:N25"/>
    <mergeCell ref="K31:N31"/>
    <mergeCell ref="G27:J27"/>
    <mergeCell ref="G33:J33"/>
    <mergeCell ref="G41:J41"/>
    <mergeCell ref="G28:J28"/>
    <mergeCell ref="G34:J34"/>
    <mergeCell ref="B60:E60"/>
    <mergeCell ref="B68:E68"/>
    <mergeCell ref="B72:E72"/>
    <mergeCell ref="B48:E48"/>
    <mergeCell ref="B52:E52"/>
    <mergeCell ref="B56:E56"/>
    <mergeCell ref="B64:E64"/>
    <mergeCell ref="B35:E35"/>
    <mergeCell ref="B43:E43"/>
    <mergeCell ref="B3:E3"/>
    <mergeCell ref="G3:J3"/>
    <mergeCell ref="B19:E19"/>
    <mergeCell ref="B27:E27"/>
    <mergeCell ref="G9:J9"/>
    <mergeCell ref="G18:J18"/>
    <mergeCell ref="G24:J24"/>
    <mergeCell ref="G23:J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0FFF5-219B-684D-920D-B22B85EE4923}">
  <dimension ref="B1:D24"/>
  <sheetViews>
    <sheetView tabSelected="1" zoomScale="185" workbookViewId="0">
      <selection activeCell="H16" sqref="H16"/>
    </sheetView>
  </sheetViews>
  <sheetFormatPr baseColWidth="10" defaultRowHeight="15" x14ac:dyDescent="0.2"/>
  <cols>
    <col min="2" max="2" width="19.83203125" customWidth="1"/>
  </cols>
  <sheetData>
    <row r="1" spans="2:4" ht="16" thickBot="1" x14ac:dyDescent="0.25"/>
    <row r="2" spans="2:4" x14ac:dyDescent="0.2">
      <c r="B2" s="42" t="s">
        <v>0</v>
      </c>
      <c r="C2" s="43"/>
      <c r="D2" s="44"/>
    </row>
    <row r="3" spans="2:4" x14ac:dyDescent="0.2">
      <c r="B3" s="45" t="s">
        <v>109</v>
      </c>
      <c r="C3" s="46"/>
      <c r="D3" s="47"/>
    </row>
    <row r="4" spans="2:4" x14ac:dyDescent="0.2">
      <c r="B4" s="5" t="s">
        <v>46</v>
      </c>
      <c r="C4" s="39" t="s">
        <v>110</v>
      </c>
      <c r="D4" s="7" t="s">
        <v>111</v>
      </c>
    </row>
    <row r="5" spans="2:4" x14ac:dyDescent="0.2">
      <c r="B5" s="5" t="s">
        <v>112</v>
      </c>
      <c r="C5" s="39">
        <v>6800</v>
      </c>
      <c r="D5" s="7"/>
    </row>
    <row r="6" spans="2:4" x14ac:dyDescent="0.2">
      <c r="B6" s="38" t="s">
        <v>113</v>
      </c>
      <c r="C6" s="39"/>
      <c r="D6" s="7">
        <v>6800</v>
      </c>
    </row>
    <row r="7" spans="2:4" x14ac:dyDescent="0.2">
      <c r="B7" s="40" t="s">
        <v>114</v>
      </c>
      <c r="C7" s="39"/>
      <c r="D7" s="7"/>
    </row>
    <row r="8" spans="2:4" x14ac:dyDescent="0.2">
      <c r="B8" s="5"/>
      <c r="C8" s="39"/>
      <c r="D8" s="7"/>
    </row>
    <row r="9" spans="2:4" x14ac:dyDescent="0.2">
      <c r="B9" s="5" t="s">
        <v>113</v>
      </c>
      <c r="C9" s="39">
        <v>5060</v>
      </c>
      <c r="D9" s="7"/>
    </row>
    <row r="10" spans="2:4" x14ac:dyDescent="0.2">
      <c r="B10" s="38" t="s">
        <v>27</v>
      </c>
      <c r="C10" s="39"/>
      <c r="D10" s="7">
        <v>3000</v>
      </c>
    </row>
    <row r="11" spans="2:4" x14ac:dyDescent="0.2">
      <c r="B11" s="38" t="s">
        <v>32</v>
      </c>
      <c r="C11" s="39"/>
      <c r="D11" s="7">
        <v>200</v>
      </c>
    </row>
    <row r="12" spans="2:4" x14ac:dyDescent="0.2">
      <c r="B12" s="38" t="s">
        <v>35</v>
      </c>
      <c r="C12" s="39"/>
      <c r="D12" s="7">
        <v>283</v>
      </c>
    </row>
    <row r="13" spans="2:4" x14ac:dyDescent="0.2">
      <c r="B13" s="38" t="s">
        <v>74</v>
      </c>
      <c r="C13" s="39"/>
      <c r="D13" s="7">
        <v>1467</v>
      </c>
    </row>
    <row r="14" spans="2:4" x14ac:dyDescent="0.2">
      <c r="B14" s="38" t="s">
        <v>67</v>
      </c>
      <c r="C14" s="39"/>
      <c r="D14" s="7">
        <v>10</v>
      </c>
    </row>
    <row r="15" spans="2:4" x14ac:dyDescent="0.2">
      <c r="B15" s="38" t="s">
        <v>68</v>
      </c>
      <c r="C15" s="39"/>
      <c r="D15" s="7">
        <v>100</v>
      </c>
    </row>
    <row r="16" spans="2:4" x14ac:dyDescent="0.2">
      <c r="B16" s="40" t="s">
        <v>115</v>
      </c>
      <c r="C16" s="39"/>
      <c r="D16" s="7"/>
    </row>
    <row r="17" spans="2:4" x14ac:dyDescent="0.2">
      <c r="B17" s="5"/>
      <c r="C17" s="39"/>
      <c r="D17" s="7"/>
    </row>
    <row r="18" spans="2:4" x14ac:dyDescent="0.2">
      <c r="B18" s="5" t="s">
        <v>113</v>
      </c>
      <c r="C18" s="39">
        <v>1740</v>
      </c>
      <c r="D18" s="7"/>
    </row>
    <row r="19" spans="2:4" x14ac:dyDescent="0.2">
      <c r="B19" s="38" t="s">
        <v>8</v>
      </c>
      <c r="C19" s="39"/>
      <c r="D19" s="7">
        <v>1740</v>
      </c>
    </row>
    <row r="20" spans="2:4" x14ac:dyDescent="0.2">
      <c r="B20" s="40" t="s">
        <v>116</v>
      </c>
      <c r="C20" s="39"/>
      <c r="D20" s="7"/>
    </row>
    <row r="21" spans="2:4" x14ac:dyDescent="0.2">
      <c r="B21" s="5"/>
      <c r="C21" s="39"/>
      <c r="D21" s="7"/>
    </row>
    <row r="22" spans="2:4" x14ac:dyDescent="0.2">
      <c r="B22" s="5" t="s">
        <v>8</v>
      </c>
      <c r="C22" s="39">
        <v>667</v>
      </c>
      <c r="D22" s="7"/>
    </row>
    <row r="23" spans="2:4" x14ac:dyDescent="0.2">
      <c r="B23" s="5" t="s">
        <v>29</v>
      </c>
      <c r="C23" s="39"/>
      <c r="D23" s="7">
        <v>667</v>
      </c>
    </row>
    <row r="24" spans="2:4" ht="16" thickBot="1" x14ac:dyDescent="0.25">
      <c r="B24" s="41" t="s">
        <v>117</v>
      </c>
      <c r="C24" s="11"/>
      <c r="D24" s="12"/>
    </row>
  </sheetData>
  <mergeCells count="2">
    <mergeCell ref="B2:D2"/>
    <mergeCell ref="B3:D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824-797A-F54F-B04B-8F704C481153}">
  <dimension ref="B1:D22"/>
  <sheetViews>
    <sheetView topLeftCell="A3" zoomScale="217" workbookViewId="0">
      <selection activeCell="B8" sqref="B8:C13"/>
    </sheetView>
  </sheetViews>
  <sheetFormatPr baseColWidth="10" defaultColWidth="11.5" defaultRowHeight="15" x14ac:dyDescent="0.2"/>
  <cols>
    <col min="2" max="2" width="33" customWidth="1"/>
  </cols>
  <sheetData>
    <row r="1" spans="2:4" ht="16" thickBot="1" x14ac:dyDescent="0.25"/>
    <row r="2" spans="2:4" x14ac:dyDescent="0.2">
      <c r="B2" s="32" t="s">
        <v>61</v>
      </c>
      <c r="C2" s="33"/>
      <c r="D2" s="34"/>
    </row>
    <row r="3" spans="2:4" x14ac:dyDescent="0.2">
      <c r="B3" s="20" t="s">
        <v>4</v>
      </c>
      <c r="C3" s="1" t="s">
        <v>5</v>
      </c>
      <c r="D3" s="3" t="s">
        <v>6</v>
      </c>
    </row>
    <row r="4" spans="2:4" x14ac:dyDescent="0.2">
      <c r="B4" s="5" t="s">
        <v>7</v>
      </c>
      <c r="C4">
        <v>4766</v>
      </c>
      <c r="D4" s="7"/>
    </row>
    <row r="5" spans="2:4" x14ac:dyDescent="0.2">
      <c r="B5" s="5" t="s">
        <v>10</v>
      </c>
      <c r="C5">
        <v>2200</v>
      </c>
      <c r="D5" s="7"/>
    </row>
    <row r="6" spans="2:4" x14ac:dyDescent="0.2">
      <c r="B6" s="5" t="s">
        <v>11</v>
      </c>
      <c r="C6">
        <v>317</v>
      </c>
      <c r="D6" s="7"/>
    </row>
    <row r="7" spans="2:4" x14ac:dyDescent="0.2">
      <c r="B7" s="5" t="s">
        <v>18</v>
      </c>
      <c r="C7">
        <v>6000</v>
      </c>
      <c r="D7" s="7"/>
    </row>
    <row r="8" spans="2:4" x14ac:dyDescent="0.2">
      <c r="B8" s="5" t="s">
        <v>27</v>
      </c>
      <c r="C8">
        <v>3000</v>
      </c>
      <c r="D8" s="7"/>
    </row>
    <row r="9" spans="2:4" x14ac:dyDescent="0.2">
      <c r="B9" s="5" t="s">
        <v>32</v>
      </c>
      <c r="C9">
        <v>200</v>
      </c>
      <c r="D9" s="7"/>
    </row>
    <row r="10" spans="2:4" x14ac:dyDescent="0.2">
      <c r="B10" s="5" t="s">
        <v>35</v>
      </c>
      <c r="C10">
        <v>283</v>
      </c>
      <c r="D10" s="7"/>
    </row>
    <row r="11" spans="2:4" x14ac:dyDescent="0.2">
      <c r="B11" s="5" t="s">
        <v>74</v>
      </c>
      <c r="C11">
        <v>1467</v>
      </c>
      <c r="D11" s="7"/>
    </row>
    <row r="12" spans="2:4" x14ac:dyDescent="0.2">
      <c r="B12" s="5" t="s">
        <v>67</v>
      </c>
      <c r="C12">
        <v>10</v>
      </c>
      <c r="D12" s="7"/>
    </row>
    <row r="13" spans="2:4" x14ac:dyDescent="0.2">
      <c r="B13" s="5" t="s">
        <v>68</v>
      </c>
      <c r="C13">
        <v>100</v>
      </c>
      <c r="D13" s="7"/>
    </row>
    <row r="14" spans="2:4" x14ac:dyDescent="0.2">
      <c r="B14" s="5" t="s">
        <v>70</v>
      </c>
      <c r="D14" s="7">
        <v>100</v>
      </c>
    </row>
    <row r="15" spans="2:4" x14ac:dyDescent="0.2">
      <c r="B15" s="5" t="s">
        <v>8</v>
      </c>
      <c r="D15" s="7">
        <v>4800</v>
      </c>
    </row>
    <row r="16" spans="2:4" x14ac:dyDescent="0.2">
      <c r="B16" s="5" t="s">
        <v>23</v>
      </c>
      <c r="D16" s="7">
        <v>5300</v>
      </c>
    </row>
    <row r="17" spans="2:4" x14ac:dyDescent="0.2">
      <c r="B17" s="5" t="s">
        <v>25</v>
      </c>
      <c r="D17" s="7">
        <v>6800</v>
      </c>
    </row>
    <row r="18" spans="2:4" x14ac:dyDescent="0.2">
      <c r="B18" s="5" t="s">
        <v>29</v>
      </c>
      <c r="C18">
        <v>667</v>
      </c>
      <c r="D18" s="7"/>
    </row>
    <row r="19" spans="2:4" x14ac:dyDescent="0.2">
      <c r="B19" s="5" t="s">
        <v>72</v>
      </c>
      <c r="D19" s="7">
        <v>10</v>
      </c>
    </row>
    <row r="20" spans="2:4" x14ac:dyDescent="0.2">
      <c r="B20" s="5" t="s">
        <v>20</v>
      </c>
      <c r="D20" s="7">
        <v>2000</v>
      </c>
    </row>
    <row r="21" spans="2:4" ht="16" thickBot="1" x14ac:dyDescent="0.25">
      <c r="B21" s="5"/>
      <c r="C21" s="4">
        <f>SUM(C4:C20)</f>
        <v>19010</v>
      </c>
      <c r="D21" s="9">
        <f>SUM(D4:D20)</f>
        <v>19010</v>
      </c>
    </row>
    <row r="22" spans="2:4" ht="17" thickTop="1" thickBot="1" x14ac:dyDescent="0.25">
      <c r="B22" s="10"/>
      <c r="C22" s="11"/>
      <c r="D22" s="12"/>
    </row>
  </sheetData>
  <mergeCells count="1">
    <mergeCell ref="B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148A8-90AB-1C45-8E98-E96A92823CF0}">
  <dimension ref="B1:F16"/>
  <sheetViews>
    <sheetView zoomScale="200" workbookViewId="0">
      <selection activeCell="H11" sqref="H11"/>
    </sheetView>
  </sheetViews>
  <sheetFormatPr baseColWidth="10" defaultColWidth="11.5" defaultRowHeight="15" x14ac:dyDescent="0.2"/>
  <sheetData>
    <row r="1" spans="2:6" ht="16" thickBot="1" x14ac:dyDescent="0.25"/>
    <row r="2" spans="2:6" x14ac:dyDescent="0.2">
      <c r="B2" s="32" t="s">
        <v>75</v>
      </c>
      <c r="C2" s="33"/>
      <c r="D2" s="33"/>
      <c r="E2" s="33"/>
      <c r="F2" s="34"/>
    </row>
    <row r="3" spans="2:6" x14ac:dyDescent="0.2">
      <c r="B3" s="35" t="s">
        <v>76</v>
      </c>
      <c r="C3" s="36"/>
      <c r="D3" s="36"/>
      <c r="E3" s="36"/>
      <c r="F3" s="37"/>
    </row>
    <row r="4" spans="2:6" x14ac:dyDescent="0.2">
      <c r="B4" s="20" t="s">
        <v>77</v>
      </c>
      <c r="F4" s="7"/>
    </row>
    <row r="5" spans="2:6" x14ac:dyDescent="0.2">
      <c r="B5" s="5" t="s">
        <v>25</v>
      </c>
      <c r="F5" s="7">
        <v>6800</v>
      </c>
    </row>
    <row r="6" spans="2:6" x14ac:dyDescent="0.2">
      <c r="B6" s="5"/>
      <c r="F6" s="7"/>
    </row>
    <row r="7" spans="2:6" x14ac:dyDescent="0.2">
      <c r="B7" s="20" t="s">
        <v>78</v>
      </c>
      <c r="F7" s="7"/>
    </row>
    <row r="8" spans="2:6" x14ac:dyDescent="0.2">
      <c r="B8" s="5" t="s">
        <v>32</v>
      </c>
      <c r="E8">
        <v>200</v>
      </c>
      <c r="F8" s="7"/>
    </row>
    <row r="9" spans="2:6" x14ac:dyDescent="0.2">
      <c r="B9" s="5" t="s">
        <v>35</v>
      </c>
      <c r="E9">
        <v>283</v>
      </c>
      <c r="F9" s="7"/>
    </row>
    <row r="10" spans="2:6" x14ac:dyDescent="0.2">
      <c r="B10" s="5" t="s">
        <v>74</v>
      </c>
      <c r="E10">
        <v>1467</v>
      </c>
      <c r="F10" s="7"/>
    </row>
    <row r="11" spans="2:6" x14ac:dyDescent="0.2">
      <c r="B11" s="5" t="s">
        <v>67</v>
      </c>
      <c r="E11">
        <v>10</v>
      </c>
      <c r="F11" s="7"/>
    </row>
    <row r="12" spans="2:6" x14ac:dyDescent="0.2">
      <c r="B12" s="5" t="s">
        <v>27</v>
      </c>
      <c r="E12">
        <v>3000</v>
      </c>
      <c r="F12" s="7"/>
    </row>
    <row r="13" spans="2:6" x14ac:dyDescent="0.2">
      <c r="B13" s="5" t="s">
        <v>68</v>
      </c>
      <c r="E13">
        <v>100</v>
      </c>
      <c r="F13" s="7"/>
    </row>
    <row r="14" spans="2:6" x14ac:dyDescent="0.2">
      <c r="B14" s="5"/>
      <c r="E14" s="22"/>
      <c r="F14" s="23">
        <f>SUM(E8:E13)</f>
        <v>5060</v>
      </c>
    </row>
    <row r="15" spans="2:6" x14ac:dyDescent="0.2">
      <c r="B15" s="20" t="s">
        <v>79</v>
      </c>
      <c r="F15" s="24">
        <f>F5-F14</f>
        <v>1740</v>
      </c>
    </row>
    <row r="16" spans="2:6" ht="16" thickBot="1" x14ac:dyDescent="0.25">
      <c r="B16" s="10"/>
      <c r="C16" s="11"/>
      <c r="D16" s="11"/>
      <c r="E16" s="11"/>
      <c r="F16" s="12"/>
    </row>
  </sheetData>
  <mergeCells count="2">
    <mergeCell ref="B2:F2"/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4CFB-5525-6F48-8029-61180F2430F3}">
  <dimension ref="B1:F36"/>
  <sheetViews>
    <sheetView topLeftCell="A12" zoomScale="142" workbookViewId="0">
      <selection activeCell="E32" sqref="E32"/>
    </sheetView>
  </sheetViews>
  <sheetFormatPr baseColWidth="10" defaultColWidth="11.5" defaultRowHeight="15" x14ac:dyDescent="0.2"/>
  <sheetData>
    <row r="1" spans="2:6" ht="16" thickBot="1" x14ac:dyDescent="0.25"/>
    <row r="2" spans="2:6" x14ac:dyDescent="0.2">
      <c r="B2" s="32" t="s">
        <v>80</v>
      </c>
      <c r="C2" s="33"/>
      <c r="D2" s="33"/>
      <c r="E2" s="33"/>
      <c r="F2" s="34"/>
    </row>
    <row r="3" spans="2:6" x14ac:dyDescent="0.2">
      <c r="B3" s="35" t="s">
        <v>92</v>
      </c>
      <c r="C3" s="36"/>
      <c r="D3" s="36"/>
      <c r="E3" s="36"/>
      <c r="F3" s="37"/>
    </row>
    <row r="4" spans="2:6" x14ac:dyDescent="0.2">
      <c r="B4" s="5" t="s">
        <v>81</v>
      </c>
      <c r="F4" s="7"/>
    </row>
    <row r="5" spans="2:6" x14ac:dyDescent="0.2">
      <c r="B5" s="5" t="s">
        <v>7</v>
      </c>
      <c r="F5" s="7">
        <v>4766</v>
      </c>
    </row>
    <row r="6" spans="2:6" x14ac:dyDescent="0.2">
      <c r="B6" s="5" t="s">
        <v>10</v>
      </c>
      <c r="F6" s="7">
        <v>2200</v>
      </c>
    </row>
    <row r="7" spans="2:6" x14ac:dyDescent="0.2">
      <c r="B7" s="5" t="s">
        <v>11</v>
      </c>
      <c r="F7" s="7">
        <v>317</v>
      </c>
    </row>
    <row r="8" spans="2:6" x14ac:dyDescent="0.2">
      <c r="B8" s="5"/>
      <c r="F8" s="7"/>
    </row>
    <row r="9" spans="2:6" x14ac:dyDescent="0.2">
      <c r="B9" s="5" t="s">
        <v>82</v>
      </c>
      <c r="F9" s="7">
        <f>SUM(F5:F8)</f>
        <v>7283</v>
      </c>
    </row>
    <row r="10" spans="2:6" x14ac:dyDescent="0.2">
      <c r="B10" s="5"/>
      <c r="F10" s="7"/>
    </row>
    <row r="11" spans="2:6" x14ac:dyDescent="0.2">
      <c r="B11" s="5" t="s">
        <v>83</v>
      </c>
      <c r="F11" s="7"/>
    </row>
    <row r="12" spans="2:6" x14ac:dyDescent="0.2">
      <c r="B12" s="25" t="s">
        <v>18</v>
      </c>
      <c r="E12">
        <v>6000</v>
      </c>
      <c r="F12" s="7"/>
    </row>
    <row r="13" spans="2:6" x14ac:dyDescent="0.2">
      <c r="B13" s="25" t="s">
        <v>85</v>
      </c>
      <c r="E13">
        <v>100</v>
      </c>
      <c r="F13" s="7"/>
    </row>
    <row r="14" spans="2:6" x14ac:dyDescent="0.2">
      <c r="B14" s="25" t="s">
        <v>84</v>
      </c>
      <c r="F14" s="7">
        <v>5900</v>
      </c>
    </row>
    <row r="15" spans="2:6" x14ac:dyDescent="0.2">
      <c r="B15" s="5"/>
      <c r="F15" s="7"/>
    </row>
    <row r="16" spans="2:6" x14ac:dyDescent="0.2">
      <c r="B16" s="26" t="s">
        <v>86</v>
      </c>
      <c r="F16" s="27">
        <f>SUM(F9+F14)</f>
        <v>13183</v>
      </c>
    </row>
    <row r="17" spans="2:6" x14ac:dyDescent="0.2">
      <c r="B17" s="5"/>
      <c r="F17" s="7"/>
    </row>
    <row r="18" spans="2:6" x14ac:dyDescent="0.2">
      <c r="B18" s="25" t="s">
        <v>95</v>
      </c>
      <c r="F18" s="7"/>
    </row>
    <row r="19" spans="2:6" x14ac:dyDescent="0.2">
      <c r="B19" s="5" t="s">
        <v>23</v>
      </c>
      <c r="F19" s="7">
        <v>5300</v>
      </c>
    </row>
    <row r="20" spans="2:6" x14ac:dyDescent="0.2">
      <c r="B20" s="5" t="s">
        <v>72</v>
      </c>
      <c r="F20" s="7">
        <v>10</v>
      </c>
    </row>
    <row r="21" spans="2:6" x14ac:dyDescent="0.2">
      <c r="B21" s="5" t="s">
        <v>20</v>
      </c>
      <c r="F21" s="7">
        <v>2000</v>
      </c>
    </row>
    <row r="22" spans="2:6" x14ac:dyDescent="0.2">
      <c r="B22" s="5" t="s">
        <v>97</v>
      </c>
      <c r="F22" s="7">
        <f>SUM(F19:F21)</f>
        <v>7310</v>
      </c>
    </row>
    <row r="23" spans="2:6" x14ac:dyDescent="0.2">
      <c r="B23" s="25"/>
      <c r="F23" s="7"/>
    </row>
    <row r="24" spans="2:6" x14ac:dyDescent="0.2">
      <c r="B24" s="5"/>
      <c r="F24" s="7"/>
    </row>
    <row r="25" spans="2:6" x14ac:dyDescent="0.2">
      <c r="B25" s="25" t="s">
        <v>96</v>
      </c>
      <c r="F25" s="7"/>
    </row>
    <row r="26" spans="2:6" x14ac:dyDescent="0.2">
      <c r="B26" s="25"/>
      <c r="F26" s="7"/>
    </row>
    <row r="27" spans="2:6" x14ac:dyDescent="0.2">
      <c r="B27" s="26" t="s">
        <v>87</v>
      </c>
      <c r="F27" s="24">
        <v>7310</v>
      </c>
    </row>
    <row r="28" spans="2:6" x14ac:dyDescent="0.2">
      <c r="B28" s="5"/>
      <c r="F28" s="7"/>
    </row>
    <row r="29" spans="2:6" x14ac:dyDescent="0.2">
      <c r="B29" s="20" t="s">
        <v>88</v>
      </c>
      <c r="F29" s="24">
        <f>F16-F27</f>
        <v>5873</v>
      </c>
    </row>
    <row r="30" spans="2:6" x14ac:dyDescent="0.2">
      <c r="B30" s="5"/>
      <c r="F30" s="7"/>
    </row>
    <row r="31" spans="2:6" x14ac:dyDescent="0.2">
      <c r="B31" s="5" t="s">
        <v>89</v>
      </c>
      <c r="F31" s="7"/>
    </row>
    <row r="32" spans="2:6" x14ac:dyDescent="0.2">
      <c r="B32" s="25" t="s">
        <v>91</v>
      </c>
      <c r="E32" s="7">
        <v>4800</v>
      </c>
      <c r="F32" s="7"/>
    </row>
    <row r="33" spans="2:6" x14ac:dyDescent="0.2">
      <c r="B33" s="25" t="s">
        <v>93</v>
      </c>
      <c r="E33">
        <v>1740</v>
      </c>
      <c r="F33" s="7"/>
    </row>
    <row r="34" spans="2:6" x14ac:dyDescent="0.2">
      <c r="B34" s="5" t="s">
        <v>94</v>
      </c>
      <c r="E34">
        <v>667</v>
      </c>
      <c r="F34" s="7"/>
    </row>
    <row r="35" spans="2:6" x14ac:dyDescent="0.2">
      <c r="B35" s="20" t="s">
        <v>90</v>
      </c>
      <c r="F35" s="24">
        <v>5873</v>
      </c>
    </row>
    <row r="36" spans="2:6" ht="16" thickBot="1" x14ac:dyDescent="0.25">
      <c r="B36" s="10"/>
      <c r="C36" s="11"/>
      <c r="D36" s="11"/>
      <c r="E36" s="11"/>
      <c r="F36" s="12"/>
    </row>
  </sheetData>
  <mergeCells count="2">
    <mergeCell ref="B2:F2"/>
    <mergeCell ref="B3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Journal</vt:lpstr>
      <vt:lpstr>Ledger</vt:lpstr>
      <vt:lpstr>Closing Entry</vt:lpstr>
      <vt:lpstr>Trial Balance</vt:lpstr>
      <vt:lpstr>Income Statement</vt:lpstr>
      <vt:lpstr>Balance 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Koh</dc:creator>
  <cp:lastModifiedBy>Joseph Koh</cp:lastModifiedBy>
  <dcterms:created xsi:type="dcterms:W3CDTF">2015-06-05T18:17:20Z</dcterms:created>
  <dcterms:modified xsi:type="dcterms:W3CDTF">2026-04-24T05:42:59Z</dcterms:modified>
</cp:coreProperties>
</file>