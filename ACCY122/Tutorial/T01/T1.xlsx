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Desktop\SIM-UOW-Mods\ACCY122\Tutorial\T01\"/>
    </mc:Choice>
  </mc:AlternateContent>
  <xr:revisionPtr revIDLastSave="0" documentId="13_ncr:1_{071E22ED-1867-4ECB-ABF9-5A7168C51BF2}" xr6:coauthVersionLast="47" xr6:coauthVersionMax="47" xr10:uidLastSave="{00000000-0000-0000-0000-000000000000}"/>
  <bookViews>
    <workbookView xWindow="-120" yWindow="-120" windowWidth="29040" windowHeight="15720" activeTab="4" xr2:uid="{5791E237-50C4-4F3C-9FBA-44DBC18D103A}"/>
  </bookViews>
  <sheets>
    <sheet name="System" sheetId="10" r:id="rId1"/>
    <sheet name="Ex 2.4" sheetId="4" r:id="rId2"/>
    <sheet name="Ex 2.11" sheetId="1" r:id="rId3"/>
    <sheet name="P2.23" sheetId="2" r:id="rId4"/>
    <sheet name="P2.21" sheetId="3" r:id="rId5"/>
    <sheet name="Answer" sheetId="5" r:id="rId6"/>
    <sheet name="Ex 2.4 (2)" sheetId="6" r:id="rId7"/>
    <sheet name="Ex 2.11 (2)" sheetId="7" r:id="rId8"/>
    <sheet name="P2.23 (2)" sheetId="8" r:id="rId9"/>
    <sheet name="P2.21 (2)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L11" i="9"/>
  <c r="K11" i="9"/>
  <c r="J11" i="9"/>
  <c r="I11" i="9"/>
  <c r="H11" i="9"/>
  <c r="H12" i="9" s="1"/>
  <c r="F11" i="9"/>
  <c r="E11" i="9"/>
  <c r="D11" i="9"/>
  <c r="C11" i="9"/>
  <c r="B12" i="9" s="1"/>
  <c r="B11" i="9"/>
  <c r="M17" i="8"/>
  <c r="L17" i="8"/>
  <c r="I18" i="8" s="1"/>
  <c r="K17" i="8"/>
  <c r="J17" i="8"/>
  <c r="I17" i="8"/>
  <c r="G17" i="8"/>
  <c r="F17" i="8"/>
  <c r="E17" i="8"/>
  <c r="C18" i="8" s="1"/>
  <c r="D17" i="8"/>
  <c r="C17" i="8"/>
  <c r="F15" i="7"/>
  <c r="B15" i="7"/>
  <c r="I14" i="7"/>
  <c r="H14" i="7"/>
  <c r="G14" i="7"/>
  <c r="F14" i="7"/>
  <c r="D14" i="7"/>
  <c r="C14" i="7"/>
  <c r="B14" i="7"/>
  <c r="E4" i="6"/>
  <c r="L12" i="3"/>
  <c r="E12" i="3"/>
  <c r="H12" i="3"/>
  <c r="F12" i="3"/>
  <c r="C12" i="3"/>
  <c r="D12" i="3"/>
  <c r="I12" i="3"/>
  <c r="J12" i="3"/>
  <c r="K12" i="3"/>
  <c r="B12" i="3"/>
  <c r="J17" i="2"/>
  <c r="K17" i="2"/>
  <c r="L17" i="2"/>
  <c r="M17" i="2"/>
  <c r="I17" i="2"/>
  <c r="D17" i="2"/>
  <c r="E17" i="2"/>
  <c r="F17" i="2"/>
  <c r="G17" i="2"/>
  <c r="C17" i="2"/>
  <c r="C14" i="1"/>
  <c r="D14" i="1"/>
  <c r="F14" i="1"/>
  <c r="G14" i="1"/>
  <c r="H14" i="1"/>
  <c r="B14" i="1"/>
  <c r="B15" i="1" l="1"/>
  <c r="F15" i="1"/>
  <c r="H13" i="3"/>
  <c r="B13" i="3"/>
  <c r="I18" i="2"/>
  <c r="C18" i="2"/>
</calcChain>
</file>

<file path=xl/sharedStrings.xml><?xml version="1.0" encoding="utf-8"?>
<sst xmlns="http://schemas.openxmlformats.org/spreadsheetml/2006/main" count="279" uniqueCount="66">
  <si>
    <t>ASSETS</t>
  </si>
  <si>
    <t>T#</t>
  </si>
  <si>
    <t>Bank</t>
  </si>
  <si>
    <t>Accessories</t>
  </si>
  <si>
    <t>Equipment</t>
  </si>
  <si>
    <t xml:space="preserve"> =</t>
  </si>
  <si>
    <t>AP</t>
  </si>
  <si>
    <t>O Equity</t>
  </si>
  <si>
    <t>Capital</t>
  </si>
  <si>
    <t>Retained</t>
  </si>
  <si>
    <t>Profit</t>
  </si>
  <si>
    <t>LIABILITY</t>
  </si>
  <si>
    <t>Details</t>
  </si>
  <si>
    <t>Cynthia Beauty Services</t>
  </si>
  <si>
    <t>J Tran</t>
  </si>
  <si>
    <t>Creditor</t>
  </si>
  <si>
    <t>Supplies</t>
  </si>
  <si>
    <t>Bal</t>
  </si>
  <si>
    <t>Total</t>
  </si>
  <si>
    <t>Rev (Exp)</t>
  </si>
  <si>
    <t>Cash</t>
  </si>
  <si>
    <t>Revenue</t>
  </si>
  <si>
    <t>Rent exp</t>
  </si>
  <si>
    <t>Elect exp</t>
  </si>
  <si>
    <t>Wage  exp</t>
  </si>
  <si>
    <t>Transfer</t>
  </si>
  <si>
    <t>Transfer Loss</t>
  </si>
  <si>
    <t>AR</t>
  </si>
  <si>
    <t>O Equip</t>
  </si>
  <si>
    <t>Motor V</t>
  </si>
  <si>
    <t>Fuel Supp</t>
  </si>
  <si>
    <t>Loan</t>
  </si>
  <si>
    <t>T Capital</t>
  </si>
  <si>
    <t xml:space="preserve">Retained </t>
  </si>
  <si>
    <t>T #</t>
  </si>
  <si>
    <t>Terry Wedding Cars</t>
  </si>
  <si>
    <t>O EQUITY</t>
  </si>
  <si>
    <t>Creditors</t>
  </si>
  <si>
    <t>Debtors</t>
  </si>
  <si>
    <t>Wage exp</t>
  </si>
  <si>
    <t>Car cleaning</t>
  </si>
  <si>
    <t>advert exp</t>
  </si>
  <si>
    <t>Parking fines</t>
  </si>
  <si>
    <t>Fuel exp</t>
  </si>
  <si>
    <t>OA</t>
  </si>
  <si>
    <t>IA</t>
  </si>
  <si>
    <t>FA</t>
  </si>
  <si>
    <t>BANK</t>
  </si>
  <si>
    <t>EQUIP</t>
  </si>
  <si>
    <t>VEHICLE</t>
  </si>
  <si>
    <t>Amir Delivery Service</t>
  </si>
  <si>
    <t>Office exp</t>
  </si>
  <si>
    <t>Drawings</t>
  </si>
  <si>
    <t>Net profit (1)</t>
  </si>
  <si>
    <t>Net Profit (2)</t>
  </si>
  <si>
    <t>Start</t>
  </si>
  <si>
    <t>Add</t>
  </si>
  <si>
    <t>Less</t>
  </si>
  <si>
    <t>Equal</t>
  </si>
  <si>
    <t>End</t>
  </si>
  <si>
    <t>2022-23</t>
  </si>
  <si>
    <t>2023-24</t>
  </si>
  <si>
    <t>OE</t>
  </si>
  <si>
    <t>Capital Intro</t>
  </si>
  <si>
    <t>Net Profit</t>
  </si>
  <si>
    <r>
      <t xml:space="preserve">this question is testing whether you understand </t>
    </r>
    <r>
      <rPr>
        <b/>
        <sz val="11"/>
        <color rgb="FFFF0000"/>
        <rFont val="Aptos Narrow"/>
        <family val="2"/>
        <scheme val="minor"/>
      </rPr>
      <t>adjustments (accrual accounting)</t>
    </r>
    <r>
      <rPr>
        <sz val="11"/>
        <color rgb="FFFF0000"/>
        <rFont val="Aptos Narrow"/>
        <family val="2"/>
        <scheme val="minor"/>
      </rPr>
      <t xml:space="preserve"> and where each item belongs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</si>
</sst>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/>
    <xf numFmtId="0" fontId="2" fillId="0" borderId="0" xfId="0" applyFon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11" borderId="0" xfId="0" applyFill="1" applyAlignment="1">
      <alignment horizontal="center" wrapText="1"/>
    </xf>
    <xf numFmtId="0" fontId="0" fillId="11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416298</xdr:colOff>
      <xdr:row>3</xdr:row>
      <xdr:rowOff>85194</xdr:rowOff>
    </xdr:from>
    <xdr:to>
      <xdr:col>10</xdr:col>
      <xdr:colOff>313283</xdr:colOff>
      <xdr:row>34</xdr:row>
      <xdr:rowOff>64098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A527662-B29B-4C84-BF3B-4568FBA3F5EC}"/>
            </a:ext>
          </a:extLst>
        </xdr:cNvPr>
        <xdr:cNvGrpSpPr/>
      </xdr:nvGrpSpPr>
      <xdr:grpSpPr bwMode="auto">
        <a:xfrm>
          <a:off x="1006279" y="660959"/>
          <a:ext cx="5206817" cy="5928475"/>
          <a:chOff x="0" y="78429"/>
          <a:chExt cx="6059328" cy="3928254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578A2461-A950-A463-2053-E773A38A708B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D2E94F2B-8256-4E72-E1BF-3C9A4B0F60FD}"/>
              </a:ext>
            </a:extLst>
          </xdr:cNvPr>
          <xdr:cNvGrpSpPr>
            <a:grpSpLocks/>
          </xdr:cNvGrpSpPr>
        </xdr:nvGrpSpPr>
        <xdr:grpSpPr bwMode="auto">
          <a:xfrm>
            <a:off x="7778" y="78429"/>
            <a:ext cx="6051550" cy="3928254"/>
            <a:chOff x="7778" y="78429"/>
            <a:chExt cx="6051550" cy="3928254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A91804FB-7B7A-E66B-E432-F1E37EFC0F8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989" y="78429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AD41CDA1-AD40-11C7-1713-4CDBAAAD4A9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433ADCC2-469C-3914-C7DF-E55C8509CD3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6C43214D-31A3-DDD0-432D-F1CF88FC295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0B55E6DE-E6E1-4EF7-955B-81BAF19965E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10</xdr:col>
      <xdr:colOff>603658</xdr:colOff>
      <xdr:row>2</xdr:row>
      <xdr:rowOff>38661</xdr:rowOff>
    </xdr:from>
    <xdr:to>
      <xdr:col>25</xdr:col>
      <xdr:colOff>101853</xdr:colOff>
      <xdr:row>34</xdr:row>
      <xdr:rowOff>19611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F0BBCC9-556E-48B2-93AE-CAB2CD7B0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9658" y="406961"/>
          <a:ext cx="8642195" cy="587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199774</xdr:colOff>
      <xdr:row>8</xdr:row>
      <xdr:rowOff>164101</xdr:rowOff>
    </xdr:from>
    <xdr:to>
      <xdr:col>13</xdr:col>
      <xdr:colOff>155895</xdr:colOff>
      <xdr:row>16</xdr:row>
      <xdr:rowOff>118296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4035EC-2886-BF88-A8C6-725E65555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774" y="1648146"/>
          <a:ext cx="8025615" cy="1438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33293</xdr:rowOff>
    </xdr:from>
    <xdr:to>
      <xdr:col>11</xdr:col>
      <xdr:colOff>490770</xdr:colOff>
      <xdr:row>20</xdr:row>
      <xdr:rowOff>147121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6CC74-C405-C531-E12D-4C8D9D8E8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6714"/>
          <a:ext cx="6463112" cy="1032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199774</xdr:colOff>
      <xdr:row>8</xdr:row>
      <xdr:rowOff>164101</xdr:rowOff>
    </xdr:from>
    <xdr:to>
      <xdr:col>13</xdr:col>
      <xdr:colOff>155895</xdr:colOff>
      <xdr:row>16</xdr:row>
      <xdr:rowOff>118296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BE01B1-7F8F-4CD2-A0EA-2D89ECFB3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774" y="1637301"/>
          <a:ext cx="8020621" cy="142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143583</xdr:rowOff>
    </xdr:from>
    <xdr:to>
      <xdr:col>11</xdr:col>
      <xdr:colOff>490770</xdr:colOff>
      <xdr:row>18</xdr:row>
      <xdr:rowOff>73594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15A7D9-2F88-47EF-8373-65799474D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3383"/>
          <a:ext cx="6472470" cy="1034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C6B8-DEA9-4608-AC99-9CB36941A1AB}">
  <dimension ref="A1"/>
  <sheetViews>
    <sheetView topLeftCell="A48" zoomScale="134" zoomScaleNormal="85" workbookViewId="0">
      <selection activeCell="K35" sqref="K35"/>
    </sheetView>
  </sheetViews>
  <sheetFormatPr defaultColWidth="8.8554687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F937E-4C12-4841-9156-FD60BA99C2BF}">
  <dimension ref="B3:E8"/>
  <sheetViews>
    <sheetView zoomScale="145" zoomScaleNormal="145" workbookViewId="0">
      <selection activeCell="C30" sqref="C30"/>
    </sheetView>
  </sheetViews>
  <sheetFormatPr defaultColWidth="8.85546875" defaultRowHeight="15" x14ac:dyDescent="0.25"/>
  <cols>
    <col min="3" max="3" width="10.7109375" bestFit="1" customWidth="1"/>
  </cols>
  <sheetData>
    <row r="3" spans="2:5" x14ac:dyDescent="0.25">
      <c r="C3" t="s">
        <v>62</v>
      </c>
      <c r="D3" t="s">
        <v>60</v>
      </c>
      <c r="E3" t="s">
        <v>61</v>
      </c>
    </row>
    <row r="4" spans="2:5" x14ac:dyDescent="0.25">
      <c r="C4" t="s">
        <v>55</v>
      </c>
      <c r="D4">
        <v>28000</v>
      </c>
      <c r="E4">
        <f>D8</f>
        <v>30000</v>
      </c>
    </row>
    <row r="5" spans="2:5" x14ac:dyDescent="0.25">
      <c r="B5" t="s">
        <v>56</v>
      </c>
      <c r="C5" t="s">
        <v>10</v>
      </c>
      <c r="D5" s="7"/>
      <c r="E5" s="7"/>
    </row>
    <row r="6" spans="2:5" x14ac:dyDescent="0.25">
      <c r="B6" t="s">
        <v>56</v>
      </c>
      <c r="C6" t="s">
        <v>63</v>
      </c>
      <c r="D6">
        <v>10000</v>
      </c>
    </row>
    <row r="7" spans="2:5" x14ac:dyDescent="0.25">
      <c r="B7" t="s">
        <v>57</v>
      </c>
      <c r="C7" t="s">
        <v>52</v>
      </c>
      <c r="D7">
        <v>-15000</v>
      </c>
      <c r="E7">
        <v>-15000</v>
      </c>
    </row>
    <row r="8" spans="2:5" x14ac:dyDescent="0.25">
      <c r="B8" t="s">
        <v>58</v>
      </c>
      <c r="C8" t="s">
        <v>59</v>
      </c>
      <c r="D8">
        <v>30000</v>
      </c>
      <c r="E8">
        <v>27300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89E0A-D987-4D06-A4FC-507AD72941BD}">
  <dimension ref="A1:J15"/>
  <sheetViews>
    <sheetView topLeftCell="A2" zoomScale="150" workbookViewId="0">
      <pane ySplit="3" topLeftCell="A5" activePane="bottomLeft" state="frozen"/>
      <selection activeCell="A2" sqref="A2"/>
      <selection pane="bottomLeft" activeCell="M10" sqref="M10"/>
    </sheetView>
  </sheetViews>
  <sheetFormatPr defaultColWidth="8.7109375" defaultRowHeight="15" x14ac:dyDescent="0.25"/>
  <cols>
    <col min="1" max="1" width="5" customWidth="1"/>
    <col min="3" max="3" width="10.7109375" bestFit="1" customWidth="1"/>
    <col min="4" max="4" width="9.42578125" bestFit="1" customWidth="1"/>
    <col min="5" max="5" width="2.140625" bestFit="1" customWidth="1"/>
  </cols>
  <sheetData>
    <row r="1" spans="1:10" x14ac:dyDescent="0.25">
      <c r="B1" t="s">
        <v>13</v>
      </c>
    </row>
    <row r="2" spans="1:10" x14ac:dyDescent="0.25">
      <c r="A2" t="s">
        <v>1</v>
      </c>
      <c r="B2" t="s">
        <v>0</v>
      </c>
      <c r="F2" t="s">
        <v>11</v>
      </c>
      <c r="G2" t="s">
        <v>7</v>
      </c>
    </row>
    <row r="3" spans="1:10" x14ac:dyDescent="0.25">
      <c r="B3" s="11" t="s">
        <v>2</v>
      </c>
      <c r="C3" t="s">
        <v>3</v>
      </c>
      <c r="D3" t="s">
        <v>4</v>
      </c>
      <c r="E3" t="s">
        <v>5</v>
      </c>
      <c r="F3" t="s">
        <v>6</v>
      </c>
      <c r="G3" s="10" t="s">
        <v>8</v>
      </c>
      <c r="H3" s="10" t="s">
        <v>9</v>
      </c>
      <c r="I3" s="9" t="s">
        <v>10</v>
      </c>
      <c r="J3" t="s">
        <v>12</v>
      </c>
    </row>
    <row r="4" spans="1:10" x14ac:dyDescent="0.25">
      <c r="B4" s="11" t="s">
        <v>20</v>
      </c>
      <c r="C4" t="s">
        <v>16</v>
      </c>
      <c r="E4" t="s">
        <v>5</v>
      </c>
      <c r="F4" t="s">
        <v>15</v>
      </c>
      <c r="G4" s="10" t="s">
        <v>14</v>
      </c>
      <c r="H4" s="10" t="s">
        <v>10</v>
      </c>
      <c r="I4" s="9" t="s">
        <v>19</v>
      </c>
    </row>
    <row r="5" spans="1:10" x14ac:dyDescent="0.25">
      <c r="A5">
        <v>1</v>
      </c>
      <c r="B5" s="11">
        <v>15000</v>
      </c>
      <c r="E5" t="s">
        <v>5</v>
      </c>
      <c r="G5" s="10">
        <v>15000</v>
      </c>
      <c r="H5" s="10"/>
      <c r="I5" s="9"/>
    </row>
    <row r="6" spans="1:10" x14ac:dyDescent="0.25">
      <c r="A6">
        <v>2</v>
      </c>
      <c r="B6" s="11">
        <v>-2000</v>
      </c>
      <c r="D6">
        <v>2000</v>
      </c>
      <c r="E6" t="s">
        <v>5</v>
      </c>
      <c r="G6" s="10"/>
      <c r="H6" s="10"/>
      <c r="I6" s="9"/>
    </row>
    <row r="7" spans="1:10" x14ac:dyDescent="0.25">
      <c r="A7">
        <v>3</v>
      </c>
      <c r="B7" s="11">
        <v>2000</v>
      </c>
      <c r="E7" t="s">
        <v>5</v>
      </c>
      <c r="G7" s="10"/>
      <c r="H7" s="10"/>
      <c r="I7" s="9">
        <v>2000</v>
      </c>
      <c r="J7" t="s">
        <v>21</v>
      </c>
    </row>
    <row r="8" spans="1:10" x14ac:dyDescent="0.25">
      <c r="A8">
        <v>4</v>
      </c>
      <c r="B8" s="11">
        <v>-1500</v>
      </c>
      <c r="E8" t="s">
        <v>5</v>
      </c>
      <c r="G8" s="10"/>
      <c r="H8" s="10"/>
      <c r="I8" s="9">
        <v>-1500</v>
      </c>
      <c r="J8" t="s">
        <v>22</v>
      </c>
    </row>
    <row r="9" spans="1:10" x14ac:dyDescent="0.25">
      <c r="A9">
        <v>5</v>
      </c>
      <c r="B9" s="11"/>
      <c r="C9">
        <v>800</v>
      </c>
      <c r="E9" t="s">
        <v>5</v>
      </c>
      <c r="F9">
        <v>800</v>
      </c>
      <c r="G9" s="10"/>
      <c r="H9" s="10"/>
      <c r="I9" s="9"/>
    </row>
    <row r="10" spans="1:10" x14ac:dyDescent="0.25">
      <c r="A10">
        <v>6</v>
      </c>
      <c r="B10" s="11">
        <v>-500</v>
      </c>
      <c r="E10" t="s">
        <v>5</v>
      </c>
      <c r="G10" s="10"/>
      <c r="H10" s="10"/>
      <c r="I10" s="9">
        <v>-500</v>
      </c>
      <c r="J10" t="s">
        <v>24</v>
      </c>
    </row>
    <row r="11" spans="1:10" x14ac:dyDescent="0.25">
      <c r="A11">
        <v>6</v>
      </c>
      <c r="B11" s="11">
        <v>-250</v>
      </c>
      <c r="E11" t="s">
        <v>5</v>
      </c>
      <c r="G11" s="10"/>
      <c r="H11" s="10"/>
      <c r="I11" s="9">
        <v>-250</v>
      </c>
      <c r="J11" t="s">
        <v>23</v>
      </c>
    </row>
    <row r="12" spans="1:10" x14ac:dyDescent="0.25">
      <c r="A12">
        <v>7</v>
      </c>
      <c r="B12" s="11">
        <v>-800</v>
      </c>
      <c r="E12" t="s">
        <v>5</v>
      </c>
      <c r="F12">
        <v>-800</v>
      </c>
      <c r="G12" s="10"/>
      <c r="H12" s="10"/>
      <c r="I12" s="9">
        <v>-250</v>
      </c>
      <c r="J12" s="8" t="s">
        <v>64</v>
      </c>
    </row>
    <row r="13" spans="1:10" x14ac:dyDescent="0.25">
      <c r="B13" s="11"/>
      <c r="E13" t="s">
        <v>5</v>
      </c>
      <c r="G13" s="10"/>
      <c r="H13" s="10">
        <v>-250</v>
      </c>
      <c r="I13" s="9">
        <v>250</v>
      </c>
      <c r="J13" s="8" t="s">
        <v>26</v>
      </c>
    </row>
    <row r="14" spans="1:10" x14ac:dyDescent="0.25">
      <c r="A14" s="1" t="s">
        <v>17</v>
      </c>
      <c r="B14" s="11">
        <f>SUM(B5:B13)</f>
        <v>11950</v>
      </c>
      <c r="C14" s="1">
        <f t="shared" ref="C14:H14" si="0">SUM(C5:C13)</f>
        <v>800</v>
      </c>
      <c r="D14" s="1">
        <f t="shared" si="0"/>
        <v>2000</v>
      </c>
      <c r="E14" s="1" t="s">
        <v>5</v>
      </c>
      <c r="F14" s="1">
        <f t="shared" si="0"/>
        <v>0</v>
      </c>
      <c r="G14" s="10">
        <f t="shared" si="0"/>
        <v>15000</v>
      </c>
      <c r="H14" s="10">
        <f t="shared" si="0"/>
        <v>-250</v>
      </c>
      <c r="I14" s="9">
        <v>0</v>
      </c>
      <c r="J14" s="1"/>
    </row>
    <row r="15" spans="1:10" x14ac:dyDescent="0.25">
      <c r="A15" s="1" t="s">
        <v>18</v>
      </c>
      <c r="B15" s="13">
        <f>SUM(B14:D14)</f>
        <v>14750</v>
      </c>
      <c r="C15" s="13"/>
      <c r="D15" s="13"/>
      <c r="E15" s="1" t="s">
        <v>5</v>
      </c>
      <c r="F15" s="14">
        <f>SUM(F14:I14)</f>
        <v>14750</v>
      </c>
      <c r="G15" s="14"/>
      <c r="H15" s="14"/>
      <c r="I15" s="14"/>
      <c r="J15" s="1"/>
    </row>
  </sheetData>
  <mergeCells count="2">
    <mergeCell ref="B15:D15"/>
    <mergeCell ref="F15:I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6FBE-EEC7-4097-8A0B-8FAEE5D9128F}">
  <dimension ref="A1:N18"/>
  <sheetViews>
    <sheetView zoomScale="142" workbookViewId="0">
      <pane ySplit="4" topLeftCell="A5" activePane="bottomLeft" state="frozen"/>
      <selection pane="bottomLeft" activeCell="M17" sqref="M17"/>
    </sheetView>
  </sheetViews>
  <sheetFormatPr defaultColWidth="8.7109375" defaultRowHeight="15" x14ac:dyDescent="0.25"/>
  <cols>
    <col min="1" max="2" width="4.42578125" customWidth="1"/>
    <col min="8" max="8" width="2.140625" bestFit="1" customWidth="1"/>
  </cols>
  <sheetData>
    <row r="1" spans="1:14" x14ac:dyDescent="0.25">
      <c r="A1" t="s">
        <v>35</v>
      </c>
    </row>
    <row r="2" spans="1:14" x14ac:dyDescent="0.25">
      <c r="A2" t="s">
        <v>34</v>
      </c>
      <c r="C2" t="s">
        <v>0</v>
      </c>
      <c r="I2" t="s">
        <v>11</v>
      </c>
      <c r="K2" t="s">
        <v>36</v>
      </c>
    </row>
    <row r="3" spans="1:14" x14ac:dyDescent="0.25">
      <c r="C3" s="11" t="s">
        <v>2</v>
      </c>
      <c r="D3" t="s">
        <v>27</v>
      </c>
      <c r="E3" t="s">
        <v>28</v>
      </c>
      <c r="F3" t="s">
        <v>29</v>
      </c>
      <c r="G3" t="s">
        <v>30</v>
      </c>
      <c r="H3" t="s">
        <v>5</v>
      </c>
      <c r="I3" t="s">
        <v>6</v>
      </c>
      <c r="J3" t="s">
        <v>31</v>
      </c>
      <c r="K3" s="10" t="s">
        <v>32</v>
      </c>
      <c r="L3" s="10" t="s">
        <v>33</v>
      </c>
      <c r="M3" s="1" t="s">
        <v>10</v>
      </c>
    </row>
    <row r="4" spans="1:14" x14ac:dyDescent="0.25">
      <c r="C4" s="11" t="s">
        <v>20</v>
      </c>
      <c r="D4" t="s">
        <v>38</v>
      </c>
      <c r="H4" t="s">
        <v>5</v>
      </c>
      <c r="I4" t="s">
        <v>37</v>
      </c>
      <c r="K4" s="10"/>
      <c r="L4" s="10" t="s">
        <v>10</v>
      </c>
      <c r="M4" s="1" t="s">
        <v>19</v>
      </c>
      <c r="N4" t="s">
        <v>12</v>
      </c>
    </row>
    <row r="5" spans="1:14" x14ac:dyDescent="0.25">
      <c r="A5" t="s">
        <v>17</v>
      </c>
      <c r="C5" s="11">
        <v>21000</v>
      </c>
      <c r="D5">
        <v>12000</v>
      </c>
      <c r="E5">
        <v>1500</v>
      </c>
      <c r="F5">
        <v>108000</v>
      </c>
      <c r="G5">
        <v>0</v>
      </c>
      <c r="H5" t="s">
        <v>5</v>
      </c>
      <c r="I5">
        <v>4500</v>
      </c>
      <c r="J5">
        <v>32000</v>
      </c>
      <c r="K5" s="10">
        <v>106000</v>
      </c>
      <c r="L5" s="10"/>
      <c r="M5" s="1"/>
    </row>
    <row r="6" spans="1:14" x14ac:dyDescent="0.25">
      <c r="A6">
        <v>1</v>
      </c>
      <c r="B6" t="s">
        <v>44</v>
      </c>
      <c r="C6" s="11">
        <v>10000</v>
      </c>
      <c r="D6">
        <v>-10000</v>
      </c>
      <c r="H6" t="s">
        <v>5</v>
      </c>
      <c r="K6" s="10"/>
      <c r="L6" s="10"/>
      <c r="M6" s="1"/>
    </row>
    <row r="7" spans="1:14" x14ac:dyDescent="0.25">
      <c r="A7">
        <v>2</v>
      </c>
      <c r="B7" t="s">
        <v>44</v>
      </c>
      <c r="C7" s="11">
        <v>-4500</v>
      </c>
      <c r="H7" t="s">
        <v>5</v>
      </c>
      <c r="I7">
        <v>-4500</v>
      </c>
      <c r="K7" s="10"/>
      <c r="L7" s="10"/>
      <c r="M7" s="1"/>
    </row>
    <row r="8" spans="1:14" x14ac:dyDescent="0.25">
      <c r="A8">
        <v>3</v>
      </c>
      <c r="B8" t="s">
        <v>45</v>
      </c>
      <c r="C8" s="11">
        <v>-16000</v>
      </c>
      <c r="F8">
        <v>56000</v>
      </c>
      <c r="H8" t="s">
        <v>5</v>
      </c>
      <c r="J8">
        <v>40000</v>
      </c>
      <c r="K8" s="10"/>
      <c r="L8" s="10"/>
      <c r="M8" s="1"/>
    </row>
    <row r="9" spans="1:14" x14ac:dyDescent="0.25">
      <c r="A9">
        <v>4</v>
      </c>
      <c r="C9" s="11"/>
      <c r="D9">
        <v>15500</v>
      </c>
      <c r="H9" t="s">
        <v>5</v>
      </c>
      <c r="K9" s="10"/>
      <c r="L9" s="10"/>
      <c r="M9" s="1">
        <v>15500</v>
      </c>
      <c r="N9" t="s">
        <v>21</v>
      </c>
    </row>
    <row r="10" spans="1:14" x14ac:dyDescent="0.25">
      <c r="A10">
        <v>5</v>
      </c>
      <c r="C10" s="11"/>
      <c r="H10" t="s">
        <v>5</v>
      </c>
      <c r="I10">
        <v>4250</v>
      </c>
      <c r="K10" s="10"/>
      <c r="L10" s="10"/>
      <c r="M10" s="1">
        <v>-4250</v>
      </c>
      <c r="N10" t="s">
        <v>43</v>
      </c>
    </row>
    <row r="11" spans="1:14" x14ac:dyDescent="0.25">
      <c r="A11">
        <v>6</v>
      </c>
      <c r="B11" t="s">
        <v>44</v>
      </c>
      <c r="C11" s="11">
        <v>-3600</v>
      </c>
      <c r="H11" t="s">
        <v>5</v>
      </c>
      <c r="K11" s="10"/>
      <c r="L11" s="10"/>
      <c r="M11" s="1">
        <v>-3600</v>
      </c>
      <c r="N11" t="s">
        <v>39</v>
      </c>
    </row>
    <row r="12" spans="1:14" x14ac:dyDescent="0.25">
      <c r="B12" t="s">
        <v>44</v>
      </c>
      <c r="C12" s="11">
        <v>-2050</v>
      </c>
      <c r="H12" t="s">
        <v>5</v>
      </c>
      <c r="K12" s="10"/>
      <c r="L12" s="10"/>
      <c r="M12" s="1">
        <v>-2050</v>
      </c>
      <c r="N12" t="s">
        <v>40</v>
      </c>
    </row>
    <row r="13" spans="1:14" x14ac:dyDescent="0.25">
      <c r="B13" t="s">
        <v>44</v>
      </c>
      <c r="C13" s="11">
        <v>-1050</v>
      </c>
      <c r="H13" t="s">
        <v>5</v>
      </c>
      <c r="K13" s="10"/>
      <c r="L13" s="10"/>
      <c r="M13" s="1">
        <v>-1050</v>
      </c>
      <c r="N13" t="s">
        <v>41</v>
      </c>
    </row>
    <row r="14" spans="1:14" x14ac:dyDescent="0.25">
      <c r="A14">
        <v>7</v>
      </c>
      <c r="B14" t="s">
        <v>46</v>
      </c>
      <c r="C14" s="11">
        <v>-4000</v>
      </c>
      <c r="H14" t="s">
        <v>5</v>
      </c>
      <c r="K14" s="10">
        <v>-4000</v>
      </c>
      <c r="L14" s="10"/>
      <c r="M14" s="1"/>
    </row>
    <row r="15" spans="1:14" x14ac:dyDescent="0.25">
      <c r="A15">
        <v>8</v>
      </c>
      <c r="B15" t="s">
        <v>44</v>
      </c>
      <c r="C15" s="11">
        <v>-400</v>
      </c>
      <c r="H15" t="s">
        <v>5</v>
      </c>
      <c r="K15" s="10"/>
      <c r="L15" s="10"/>
      <c r="M15" s="1">
        <v>-400</v>
      </c>
      <c r="N15" t="s">
        <v>42</v>
      </c>
    </row>
    <row r="16" spans="1:14" x14ac:dyDescent="0.25">
      <c r="C16" s="11"/>
      <c r="H16" t="s">
        <v>5</v>
      </c>
      <c r="K16" s="10"/>
      <c r="L16" s="10">
        <v>4150</v>
      </c>
      <c r="M16" s="1">
        <v>-4150</v>
      </c>
      <c r="N16" t="s">
        <v>25</v>
      </c>
    </row>
    <row r="17" spans="1:14" x14ac:dyDescent="0.25">
      <c r="A17" s="12" t="s">
        <v>17</v>
      </c>
      <c r="B17" s="12"/>
      <c r="C17" s="11">
        <f>SUM(C5:C15)</f>
        <v>-600</v>
      </c>
      <c r="D17" s="12">
        <f>SUM(D5:D15)</f>
        <v>17500</v>
      </c>
      <c r="E17" s="12">
        <f>SUM(E5:E15)</f>
        <v>1500</v>
      </c>
      <c r="F17" s="12">
        <f>SUM(F5:F15)</f>
        <v>164000</v>
      </c>
      <c r="G17" s="12">
        <f>SUM(G5:G15)</f>
        <v>0</v>
      </c>
      <c r="H17" s="12" t="s">
        <v>5</v>
      </c>
      <c r="I17" s="12">
        <f>SUM(I5:I16)</f>
        <v>4250</v>
      </c>
      <c r="J17" s="12">
        <f t="shared" ref="J17:M17" si="0">SUM(J5:J16)</f>
        <v>72000</v>
      </c>
      <c r="K17" s="10">
        <f t="shared" si="0"/>
        <v>102000</v>
      </c>
      <c r="L17" s="10">
        <f t="shared" si="0"/>
        <v>4150</v>
      </c>
      <c r="M17" s="1">
        <f t="shared" si="0"/>
        <v>0</v>
      </c>
      <c r="N17" s="12"/>
    </row>
    <row r="18" spans="1:14" x14ac:dyDescent="0.25">
      <c r="A18" s="12"/>
      <c r="B18" s="12"/>
      <c r="C18" s="15">
        <f>SUM(C17:G17)</f>
        <v>182400</v>
      </c>
      <c r="D18" s="15"/>
      <c r="E18" s="15"/>
      <c r="F18" s="15"/>
      <c r="G18" s="15"/>
      <c r="H18" s="12" t="s">
        <v>5</v>
      </c>
      <c r="I18" s="16">
        <f>SUM(I17:M17)</f>
        <v>182400</v>
      </c>
      <c r="J18" s="16"/>
      <c r="K18" s="16"/>
      <c r="L18" s="16"/>
      <c r="M18" s="16"/>
      <c r="N18" s="12"/>
    </row>
  </sheetData>
  <mergeCells count="2">
    <mergeCell ref="C18:G18"/>
    <mergeCell ref="I18:M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A049-D767-4C2F-93F6-B57180128933}">
  <dimension ref="A1:M23"/>
  <sheetViews>
    <sheetView tabSelected="1" zoomScale="190" zoomScaleNormal="190" workbookViewId="0">
      <selection activeCell="M6" sqref="M6"/>
    </sheetView>
  </sheetViews>
  <sheetFormatPr defaultColWidth="8.85546875" defaultRowHeight="15" x14ac:dyDescent="0.25"/>
  <cols>
    <col min="1" max="1" width="3.28515625" bestFit="1" customWidth="1"/>
    <col min="7" max="7" width="3.85546875" customWidth="1"/>
    <col min="8" max="8" width="8.42578125" customWidth="1"/>
    <col min="13" max="13" width="14.28515625" customWidth="1"/>
  </cols>
  <sheetData>
    <row r="1" spans="1:13" x14ac:dyDescent="0.25">
      <c r="B1" t="s">
        <v>50</v>
      </c>
    </row>
    <row r="2" spans="1:13" x14ac:dyDescent="0.25">
      <c r="B2" t="s">
        <v>0</v>
      </c>
      <c r="H2" t="s">
        <v>11</v>
      </c>
      <c r="J2" t="s">
        <v>36</v>
      </c>
    </row>
    <row r="3" spans="1:13" x14ac:dyDescent="0.25">
      <c r="B3" t="s">
        <v>47</v>
      </c>
      <c r="C3" t="s">
        <v>48</v>
      </c>
      <c r="D3" t="s">
        <v>49</v>
      </c>
      <c r="E3" t="s">
        <v>16</v>
      </c>
      <c r="F3" t="s">
        <v>27</v>
      </c>
      <c r="H3" t="s">
        <v>31</v>
      </c>
      <c r="I3" t="s">
        <v>6</v>
      </c>
      <c r="J3" t="s">
        <v>8</v>
      </c>
      <c r="K3" t="s">
        <v>9</v>
      </c>
      <c r="L3" t="s">
        <v>10</v>
      </c>
    </row>
    <row r="4" spans="1:13" x14ac:dyDescent="0.25">
      <c r="F4" t="s">
        <v>38</v>
      </c>
      <c r="I4" t="s">
        <v>15</v>
      </c>
      <c r="K4" t="s">
        <v>10</v>
      </c>
      <c r="L4" t="s">
        <v>19</v>
      </c>
      <c r="M4" t="s">
        <v>12</v>
      </c>
    </row>
    <row r="5" spans="1:13" x14ac:dyDescent="0.25">
      <c r="A5" t="s">
        <v>17</v>
      </c>
      <c r="B5">
        <v>31500</v>
      </c>
      <c r="C5">
        <v>43250</v>
      </c>
      <c r="D5">
        <v>52500</v>
      </c>
      <c r="G5" t="s">
        <v>5</v>
      </c>
      <c r="I5">
        <v>32500</v>
      </c>
      <c r="J5">
        <v>56000</v>
      </c>
      <c r="L5">
        <v>38750</v>
      </c>
      <c r="M5" t="s">
        <v>53</v>
      </c>
    </row>
    <row r="6" spans="1:13" x14ac:dyDescent="0.25">
      <c r="A6">
        <v>0</v>
      </c>
      <c r="G6" t="s">
        <v>5</v>
      </c>
      <c r="J6">
        <v>-28000</v>
      </c>
      <c r="L6">
        <v>28000</v>
      </c>
    </row>
    <row r="7" spans="1:13" x14ac:dyDescent="0.25">
      <c r="A7">
        <v>1</v>
      </c>
      <c r="F7">
        <v>19375</v>
      </c>
      <c r="G7" t="s">
        <v>5</v>
      </c>
      <c r="L7">
        <v>19375</v>
      </c>
    </row>
    <row r="8" spans="1:13" x14ac:dyDescent="0.25">
      <c r="A8">
        <v>2</v>
      </c>
      <c r="C8">
        <v>6875</v>
      </c>
      <c r="G8" t="s">
        <v>5</v>
      </c>
      <c r="H8">
        <v>6875</v>
      </c>
    </row>
    <row r="9" spans="1:13" x14ac:dyDescent="0.25">
      <c r="A9">
        <v>3</v>
      </c>
      <c r="E9">
        <v>5750</v>
      </c>
      <c r="G9" t="s">
        <v>5</v>
      </c>
      <c r="L9">
        <v>5750</v>
      </c>
    </row>
    <row r="10" spans="1:13" x14ac:dyDescent="0.25">
      <c r="A10">
        <v>4</v>
      </c>
      <c r="G10" t="s">
        <v>5</v>
      </c>
      <c r="I10">
        <v>3125</v>
      </c>
      <c r="L10">
        <v>-3125</v>
      </c>
    </row>
    <row r="11" spans="1:13" x14ac:dyDescent="0.25">
      <c r="A11">
        <v>5</v>
      </c>
      <c r="G11" t="s">
        <v>5</v>
      </c>
    </row>
    <row r="12" spans="1:13" x14ac:dyDescent="0.25">
      <c r="A12" t="s">
        <v>17</v>
      </c>
      <c r="B12">
        <f>SUM(B5:B11)</f>
        <v>31500</v>
      </c>
      <c r="C12">
        <f t="shared" ref="C12:K12" si="0">SUM(C5:C11)</f>
        <v>50125</v>
      </c>
      <c r="D12">
        <f t="shared" si="0"/>
        <v>52500</v>
      </c>
      <c r="E12">
        <f t="shared" si="0"/>
        <v>5750</v>
      </c>
      <c r="F12">
        <f t="shared" si="0"/>
        <v>19375</v>
      </c>
      <c r="G12" t="s">
        <v>5</v>
      </c>
      <c r="H12">
        <f t="shared" si="0"/>
        <v>6875</v>
      </c>
      <c r="I12">
        <f t="shared" si="0"/>
        <v>35625</v>
      </c>
      <c r="J12">
        <f t="shared" si="0"/>
        <v>28000</v>
      </c>
      <c r="K12">
        <f t="shared" si="0"/>
        <v>0</v>
      </c>
      <c r="L12">
        <f>SUM(L5:L11)</f>
        <v>88750</v>
      </c>
      <c r="M12" t="s">
        <v>54</v>
      </c>
    </row>
    <row r="13" spans="1:13" x14ac:dyDescent="0.25">
      <c r="B13" s="13">
        <f>SUM(B12:F12)</f>
        <v>159250</v>
      </c>
      <c r="C13" s="13"/>
      <c r="D13" s="13"/>
      <c r="E13" s="13"/>
      <c r="F13" s="13"/>
      <c r="G13" t="s">
        <v>5</v>
      </c>
      <c r="H13" s="14">
        <f>SUM(H12:L12)</f>
        <v>159250</v>
      </c>
      <c r="I13" s="14"/>
      <c r="J13" s="14"/>
      <c r="K13" s="14"/>
      <c r="L13" s="14"/>
    </row>
    <row r="23" spans="2:2" x14ac:dyDescent="0.25">
      <c r="B23" s="7" t="s">
        <v>65</v>
      </c>
    </row>
  </sheetData>
  <mergeCells count="2">
    <mergeCell ref="B13:F13"/>
    <mergeCell ref="H13:L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B0A9-3506-4701-A064-3A9B8A5C372A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C2CF-DBE2-4490-B2A9-DB3AB81F2978}">
  <dimension ref="B3:E8"/>
  <sheetViews>
    <sheetView zoomScale="145" zoomScaleNormal="145" workbookViewId="0">
      <selection activeCell="E28" sqref="E28"/>
    </sheetView>
  </sheetViews>
  <sheetFormatPr defaultColWidth="8.85546875" defaultRowHeight="15" x14ac:dyDescent="0.25"/>
  <cols>
    <col min="3" max="3" width="10.7109375" bestFit="1" customWidth="1"/>
  </cols>
  <sheetData>
    <row r="3" spans="2:5" x14ac:dyDescent="0.25">
      <c r="C3" t="s">
        <v>62</v>
      </c>
      <c r="D3" t="s">
        <v>60</v>
      </c>
      <c r="E3" t="s">
        <v>61</v>
      </c>
    </row>
    <row r="4" spans="2:5" x14ac:dyDescent="0.25">
      <c r="C4" t="s">
        <v>55</v>
      </c>
      <c r="D4">
        <v>28000</v>
      </c>
      <c r="E4">
        <f>D8</f>
        <v>30000</v>
      </c>
    </row>
    <row r="5" spans="2:5" x14ac:dyDescent="0.25">
      <c r="B5" t="s">
        <v>56</v>
      </c>
      <c r="C5" t="s">
        <v>10</v>
      </c>
      <c r="D5" s="7">
        <v>7000</v>
      </c>
      <c r="E5" s="7">
        <v>12300</v>
      </c>
    </row>
    <row r="6" spans="2:5" x14ac:dyDescent="0.25">
      <c r="B6" t="s">
        <v>56</v>
      </c>
      <c r="C6" t="s">
        <v>63</v>
      </c>
      <c r="D6">
        <v>10000</v>
      </c>
    </row>
    <row r="7" spans="2:5" x14ac:dyDescent="0.25">
      <c r="B7" t="s">
        <v>57</v>
      </c>
      <c r="C7" t="s">
        <v>52</v>
      </c>
      <c r="D7">
        <v>-15000</v>
      </c>
      <c r="E7">
        <v>-15000</v>
      </c>
    </row>
    <row r="8" spans="2:5" x14ac:dyDescent="0.25">
      <c r="B8" t="s">
        <v>58</v>
      </c>
      <c r="C8" t="s">
        <v>59</v>
      </c>
      <c r="D8">
        <v>30000</v>
      </c>
      <c r="E8">
        <v>27300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79501-4C0E-41F4-9E86-DF13FDEF1AF4}">
  <dimension ref="A1:J15"/>
  <sheetViews>
    <sheetView topLeftCell="A2" zoomScale="250" workbookViewId="0">
      <pane ySplit="3" topLeftCell="A5" activePane="bottomLeft" state="frozen"/>
      <selection activeCell="A2" sqref="A2"/>
      <selection pane="bottomLeft" activeCell="B20" sqref="B20"/>
    </sheetView>
  </sheetViews>
  <sheetFormatPr defaultColWidth="8.85546875" defaultRowHeight="15" x14ac:dyDescent="0.25"/>
  <cols>
    <col min="1" max="1" width="5" customWidth="1"/>
    <col min="3" max="3" width="10.7109375" bestFit="1" customWidth="1"/>
    <col min="4" max="4" width="9.42578125" bestFit="1" customWidth="1"/>
    <col min="5" max="5" width="2.140625" bestFit="1" customWidth="1"/>
  </cols>
  <sheetData>
    <row r="1" spans="1:10" x14ac:dyDescent="0.25">
      <c r="B1" t="s">
        <v>13</v>
      </c>
    </row>
    <row r="2" spans="1:10" x14ac:dyDescent="0.25">
      <c r="A2" t="s">
        <v>1</v>
      </c>
      <c r="B2" t="s">
        <v>0</v>
      </c>
      <c r="F2" t="s">
        <v>11</v>
      </c>
      <c r="G2" t="s">
        <v>7</v>
      </c>
    </row>
    <row r="3" spans="1:10" x14ac:dyDescent="0.25">
      <c r="B3" s="4" t="s">
        <v>2</v>
      </c>
      <c r="C3" t="s">
        <v>3</v>
      </c>
      <c r="D3" t="s">
        <v>4</v>
      </c>
      <c r="E3" t="s">
        <v>5</v>
      </c>
      <c r="F3" t="s">
        <v>6</v>
      </c>
      <c r="G3" s="3" t="s">
        <v>8</v>
      </c>
      <c r="H3" s="3" t="s">
        <v>9</v>
      </c>
      <c r="I3" s="2" t="s">
        <v>10</v>
      </c>
      <c r="J3" s="2" t="s">
        <v>12</v>
      </c>
    </row>
    <row r="4" spans="1:10" x14ac:dyDescent="0.25">
      <c r="B4" s="4" t="s">
        <v>20</v>
      </c>
      <c r="C4" t="s">
        <v>16</v>
      </c>
      <c r="E4" t="s">
        <v>5</v>
      </c>
      <c r="F4" t="s">
        <v>15</v>
      </c>
      <c r="G4" s="3" t="s">
        <v>14</v>
      </c>
      <c r="H4" s="3" t="s">
        <v>10</v>
      </c>
      <c r="I4" s="2" t="s">
        <v>19</v>
      </c>
      <c r="J4" s="2"/>
    </row>
    <row r="5" spans="1:10" x14ac:dyDescent="0.25">
      <c r="A5">
        <v>1</v>
      </c>
      <c r="B5" s="4">
        <v>15000</v>
      </c>
      <c r="E5" t="s">
        <v>5</v>
      </c>
      <c r="G5" s="3">
        <v>15000</v>
      </c>
      <c r="H5" s="3"/>
      <c r="I5" s="2"/>
      <c r="J5" s="2"/>
    </row>
    <row r="6" spans="1:10" x14ac:dyDescent="0.25">
      <c r="A6">
        <v>2</v>
      </c>
      <c r="B6" s="4">
        <v>-2000</v>
      </c>
      <c r="D6">
        <v>2000</v>
      </c>
      <c r="E6" t="s">
        <v>5</v>
      </c>
      <c r="G6" s="3"/>
      <c r="H6" s="3"/>
      <c r="I6" s="2"/>
      <c r="J6" s="2"/>
    </row>
    <row r="7" spans="1:10" x14ac:dyDescent="0.25">
      <c r="A7">
        <v>3</v>
      </c>
      <c r="B7" s="4">
        <v>2000</v>
      </c>
      <c r="E7" t="s">
        <v>5</v>
      </c>
      <c r="G7" s="3"/>
      <c r="H7" s="3"/>
      <c r="I7" s="2">
        <v>2000</v>
      </c>
      <c r="J7" s="2" t="s">
        <v>21</v>
      </c>
    </row>
    <row r="8" spans="1:10" x14ac:dyDescent="0.25">
      <c r="A8">
        <v>4</v>
      </c>
      <c r="B8" s="4">
        <v>-1500</v>
      </c>
      <c r="E8" t="s">
        <v>5</v>
      </c>
      <c r="G8" s="3"/>
      <c r="H8" s="3"/>
      <c r="I8" s="2">
        <v>-1500</v>
      </c>
      <c r="J8" s="2" t="s">
        <v>22</v>
      </c>
    </row>
    <row r="9" spans="1:10" x14ac:dyDescent="0.25">
      <c r="A9">
        <v>5</v>
      </c>
      <c r="B9" s="4"/>
      <c r="C9">
        <v>800</v>
      </c>
      <c r="E9" t="s">
        <v>5</v>
      </c>
      <c r="F9">
        <v>800</v>
      </c>
      <c r="G9" s="3"/>
      <c r="H9" s="3"/>
      <c r="I9" s="2"/>
      <c r="J9" s="2"/>
    </row>
    <row r="10" spans="1:10" x14ac:dyDescent="0.25">
      <c r="A10">
        <v>6</v>
      </c>
      <c r="B10" s="4">
        <v>-500</v>
      </c>
      <c r="E10" t="s">
        <v>5</v>
      </c>
      <c r="G10" s="3"/>
      <c r="H10" s="3"/>
      <c r="I10" s="2">
        <v>-500</v>
      </c>
      <c r="J10" s="2" t="s">
        <v>24</v>
      </c>
    </row>
    <row r="11" spans="1:10" x14ac:dyDescent="0.25">
      <c r="A11">
        <v>6</v>
      </c>
      <c r="B11" s="4">
        <v>-250</v>
      </c>
      <c r="E11" t="s">
        <v>5</v>
      </c>
      <c r="G11" s="3"/>
      <c r="H11" s="3"/>
      <c r="I11" s="2">
        <v>-250</v>
      </c>
      <c r="J11" s="2" t="s">
        <v>23</v>
      </c>
    </row>
    <row r="12" spans="1:10" x14ac:dyDescent="0.25">
      <c r="A12">
        <v>7</v>
      </c>
      <c r="B12" s="4">
        <v>-800</v>
      </c>
      <c r="E12" t="s">
        <v>5</v>
      </c>
      <c r="F12">
        <v>-800</v>
      </c>
      <c r="G12" s="3"/>
      <c r="H12" s="3"/>
      <c r="I12" s="2"/>
      <c r="J12" s="2"/>
    </row>
    <row r="13" spans="1:10" x14ac:dyDescent="0.25">
      <c r="B13" s="4"/>
      <c r="E13" t="s">
        <v>5</v>
      </c>
      <c r="G13" s="3"/>
      <c r="H13" s="3">
        <v>-250</v>
      </c>
      <c r="I13" s="2">
        <v>250</v>
      </c>
      <c r="J13" s="2" t="s">
        <v>26</v>
      </c>
    </row>
    <row r="14" spans="1:10" x14ac:dyDescent="0.25">
      <c r="A14" s="1" t="s">
        <v>17</v>
      </c>
      <c r="B14" s="4">
        <f>SUM(B5:B13)</f>
        <v>11950</v>
      </c>
      <c r="C14" s="1">
        <f t="shared" ref="C14:I14" si="0">SUM(C5:C13)</f>
        <v>800</v>
      </c>
      <c r="D14" s="1">
        <f t="shared" si="0"/>
        <v>2000</v>
      </c>
      <c r="E14" s="1" t="s">
        <v>5</v>
      </c>
      <c r="F14" s="1">
        <f t="shared" si="0"/>
        <v>0</v>
      </c>
      <c r="G14" s="3">
        <f t="shared" si="0"/>
        <v>15000</v>
      </c>
      <c r="H14" s="3">
        <f t="shared" si="0"/>
        <v>-250</v>
      </c>
      <c r="I14" s="1">
        <f t="shared" si="0"/>
        <v>0</v>
      </c>
    </row>
    <row r="15" spans="1:10" x14ac:dyDescent="0.25">
      <c r="A15" s="1" t="s">
        <v>18</v>
      </c>
      <c r="B15" s="13">
        <f>SUM(B14:D14)</f>
        <v>14750</v>
      </c>
      <c r="C15" s="13"/>
      <c r="D15" s="13"/>
      <c r="E15" s="1" t="s">
        <v>5</v>
      </c>
      <c r="F15" s="14">
        <f>SUM(F14:I14)</f>
        <v>14750</v>
      </c>
      <c r="G15" s="14"/>
      <c r="H15" s="14"/>
      <c r="I15" s="14"/>
    </row>
  </sheetData>
  <mergeCells count="2">
    <mergeCell ref="B15:D15"/>
    <mergeCell ref="F15:I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497F-FB9A-45B7-AE3A-A11B3AC82EF7}">
  <dimension ref="A1:N18"/>
  <sheetViews>
    <sheetView zoomScale="221" workbookViewId="0">
      <pane ySplit="4" topLeftCell="A5" activePane="bottomLeft" state="frozen"/>
      <selection pane="bottomLeft" activeCell="B16" sqref="B16"/>
    </sheetView>
  </sheetViews>
  <sheetFormatPr defaultColWidth="8.85546875" defaultRowHeight="15" x14ac:dyDescent="0.25"/>
  <cols>
    <col min="1" max="2" width="4.42578125" customWidth="1"/>
    <col min="8" max="8" width="2.140625" bestFit="1" customWidth="1"/>
  </cols>
  <sheetData>
    <row r="1" spans="1:14" x14ac:dyDescent="0.25">
      <c r="A1" t="s">
        <v>35</v>
      </c>
    </row>
    <row r="2" spans="1:14" x14ac:dyDescent="0.25">
      <c r="A2" t="s">
        <v>34</v>
      </c>
      <c r="C2" t="s">
        <v>0</v>
      </c>
      <c r="I2" t="s">
        <v>11</v>
      </c>
      <c r="K2" t="s">
        <v>36</v>
      </c>
    </row>
    <row r="3" spans="1:14" x14ac:dyDescent="0.25">
      <c r="C3" s="6" t="s">
        <v>2</v>
      </c>
      <c r="D3" t="s">
        <v>27</v>
      </c>
      <c r="E3" t="s">
        <v>28</v>
      </c>
      <c r="F3" t="s">
        <v>29</v>
      </c>
      <c r="G3" t="s">
        <v>30</v>
      </c>
      <c r="H3" t="s">
        <v>5</v>
      </c>
      <c r="I3" t="s">
        <v>6</v>
      </c>
      <c r="J3" t="s">
        <v>31</v>
      </c>
      <c r="K3" s="3" t="s">
        <v>32</v>
      </c>
      <c r="L3" s="3" t="s">
        <v>33</v>
      </c>
      <c r="M3" s="5" t="s">
        <v>10</v>
      </c>
      <c r="N3" s="5"/>
    </row>
    <row r="4" spans="1:14" x14ac:dyDescent="0.25">
      <c r="C4" s="6" t="s">
        <v>20</v>
      </c>
      <c r="D4" t="s">
        <v>38</v>
      </c>
      <c r="H4" t="s">
        <v>5</v>
      </c>
      <c r="I4" t="s">
        <v>37</v>
      </c>
      <c r="K4" s="3"/>
      <c r="L4" s="3" t="s">
        <v>10</v>
      </c>
      <c r="M4" s="5" t="s">
        <v>19</v>
      </c>
      <c r="N4" s="5" t="s">
        <v>12</v>
      </c>
    </row>
    <row r="5" spans="1:14" x14ac:dyDescent="0.25">
      <c r="A5" t="s">
        <v>17</v>
      </c>
      <c r="C5" s="6">
        <v>21000</v>
      </c>
      <c r="D5">
        <v>12000</v>
      </c>
      <c r="E5">
        <v>1500</v>
      </c>
      <c r="F5">
        <v>108000</v>
      </c>
      <c r="G5">
        <v>0</v>
      </c>
      <c r="H5" t="s">
        <v>5</v>
      </c>
      <c r="I5">
        <v>4500</v>
      </c>
      <c r="J5">
        <v>32000</v>
      </c>
      <c r="K5" s="3">
        <v>106000</v>
      </c>
      <c r="L5" s="3"/>
      <c r="M5" s="5"/>
      <c r="N5" s="5"/>
    </row>
    <row r="6" spans="1:14" x14ac:dyDescent="0.25">
      <c r="A6">
        <v>1</v>
      </c>
      <c r="B6" t="s">
        <v>44</v>
      </c>
      <c r="C6" s="6">
        <v>10000</v>
      </c>
      <c r="D6">
        <v>-10000</v>
      </c>
      <c r="H6" t="s">
        <v>5</v>
      </c>
      <c r="K6" s="3"/>
      <c r="L6" s="3"/>
      <c r="M6" s="5"/>
      <c r="N6" s="5"/>
    </row>
    <row r="7" spans="1:14" x14ac:dyDescent="0.25">
      <c r="A7">
        <v>2</v>
      </c>
      <c r="B7" t="s">
        <v>44</v>
      </c>
      <c r="C7" s="6">
        <v>-4500</v>
      </c>
      <c r="H7" t="s">
        <v>5</v>
      </c>
      <c r="I7">
        <v>-4500</v>
      </c>
      <c r="K7" s="3"/>
      <c r="L7" s="3"/>
      <c r="M7" s="5"/>
      <c r="N7" s="5"/>
    </row>
    <row r="8" spans="1:14" x14ac:dyDescent="0.25">
      <c r="A8">
        <v>3</v>
      </c>
      <c r="B8" t="s">
        <v>45</v>
      </c>
      <c r="C8" s="6">
        <v>-16000</v>
      </c>
      <c r="F8">
        <v>56000</v>
      </c>
      <c r="H8" t="s">
        <v>5</v>
      </c>
      <c r="J8">
        <v>40000</v>
      </c>
      <c r="K8" s="3"/>
      <c r="L8" s="3"/>
      <c r="M8" s="5"/>
      <c r="N8" s="5"/>
    </row>
    <row r="9" spans="1:14" x14ac:dyDescent="0.25">
      <c r="A9">
        <v>4</v>
      </c>
      <c r="C9" s="6"/>
      <c r="D9">
        <v>15500</v>
      </c>
      <c r="H9" t="s">
        <v>5</v>
      </c>
      <c r="K9" s="3"/>
      <c r="L9" s="3"/>
      <c r="M9" s="5">
        <v>15500</v>
      </c>
      <c r="N9" s="5" t="s">
        <v>21</v>
      </c>
    </row>
    <row r="10" spans="1:14" x14ac:dyDescent="0.25">
      <c r="A10">
        <v>5</v>
      </c>
      <c r="C10" s="6"/>
      <c r="H10" t="s">
        <v>5</v>
      </c>
      <c r="I10">
        <v>4250</v>
      </c>
      <c r="K10" s="3"/>
      <c r="L10" s="3"/>
      <c r="M10" s="5">
        <v>-4250</v>
      </c>
      <c r="N10" s="5" t="s">
        <v>43</v>
      </c>
    </row>
    <row r="11" spans="1:14" x14ac:dyDescent="0.25">
      <c r="A11">
        <v>6</v>
      </c>
      <c r="B11" t="s">
        <v>44</v>
      </c>
      <c r="C11" s="6">
        <v>-3600</v>
      </c>
      <c r="H11" t="s">
        <v>5</v>
      </c>
      <c r="K11" s="3"/>
      <c r="L11" s="3"/>
      <c r="M11" s="5">
        <v>-3600</v>
      </c>
      <c r="N11" s="5" t="s">
        <v>39</v>
      </c>
    </row>
    <row r="12" spans="1:14" x14ac:dyDescent="0.25">
      <c r="B12" t="s">
        <v>44</v>
      </c>
      <c r="C12" s="6">
        <v>-2050</v>
      </c>
      <c r="H12" t="s">
        <v>5</v>
      </c>
      <c r="K12" s="3"/>
      <c r="L12" s="3"/>
      <c r="M12" s="5">
        <v>-2050</v>
      </c>
      <c r="N12" s="5" t="s">
        <v>40</v>
      </c>
    </row>
    <row r="13" spans="1:14" x14ac:dyDescent="0.25">
      <c r="B13" t="s">
        <v>44</v>
      </c>
      <c r="C13" s="6">
        <v>-1050</v>
      </c>
      <c r="H13" t="s">
        <v>5</v>
      </c>
      <c r="K13" s="3"/>
      <c r="L13" s="3"/>
      <c r="M13" s="5">
        <v>-1050</v>
      </c>
      <c r="N13" s="5" t="s">
        <v>41</v>
      </c>
    </row>
    <row r="14" spans="1:14" x14ac:dyDescent="0.25">
      <c r="A14">
        <v>7</v>
      </c>
      <c r="B14" t="s">
        <v>46</v>
      </c>
      <c r="C14" s="6">
        <v>-4000</v>
      </c>
      <c r="H14" t="s">
        <v>5</v>
      </c>
      <c r="K14" s="3">
        <v>-4000</v>
      </c>
      <c r="L14" s="3"/>
      <c r="M14" s="5"/>
      <c r="N14" s="5"/>
    </row>
    <row r="15" spans="1:14" x14ac:dyDescent="0.25">
      <c r="A15">
        <v>8</v>
      </c>
      <c r="B15" t="s">
        <v>44</v>
      </c>
      <c r="C15" s="6">
        <v>-400</v>
      </c>
      <c r="H15" t="s">
        <v>5</v>
      </c>
      <c r="K15" s="3"/>
      <c r="L15" s="3"/>
      <c r="M15" s="5">
        <v>-400</v>
      </c>
      <c r="N15" s="5" t="s">
        <v>42</v>
      </c>
    </row>
    <row r="16" spans="1:14" x14ac:dyDescent="0.25">
      <c r="C16" s="6"/>
      <c r="K16" s="3"/>
      <c r="L16" s="3">
        <v>4150</v>
      </c>
      <c r="M16" s="5">
        <v>-4150</v>
      </c>
      <c r="N16" s="5" t="s">
        <v>25</v>
      </c>
    </row>
    <row r="17" spans="1:13" x14ac:dyDescent="0.25">
      <c r="A17" s="1" t="s">
        <v>17</v>
      </c>
      <c r="B17" s="1"/>
      <c r="C17" s="6">
        <f>SUM(C5:C15)</f>
        <v>-600</v>
      </c>
      <c r="D17" s="1">
        <f>SUM(D5:D15)</f>
        <v>17500</v>
      </c>
      <c r="E17" s="1">
        <f>SUM(E5:E15)</f>
        <v>1500</v>
      </c>
      <c r="F17" s="1">
        <f>SUM(F5:F15)</f>
        <v>164000</v>
      </c>
      <c r="G17" s="1">
        <f>SUM(G5:G15)</f>
        <v>0</v>
      </c>
      <c r="H17" s="1" t="s">
        <v>5</v>
      </c>
      <c r="I17" s="1">
        <f>SUM(I5:I16)</f>
        <v>4250</v>
      </c>
      <c r="J17" s="1">
        <f t="shared" ref="J17:M17" si="0">SUM(J5:J16)</f>
        <v>72000</v>
      </c>
      <c r="K17" s="3">
        <f t="shared" si="0"/>
        <v>102000</v>
      </c>
      <c r="L17" s="3">
        <f t="shared" si="0"/>
        <v>4150</v>
      </c>
      <c r="M17" s="1">
        <f t="shared" si="0"/>
        <v>0</v>
      </c>
    </row>
    <row r="18" spans="1:13" x14ac:dyDescent="0.25">
      <c r="A18" s="1"/>
      <c r="B18" s="1"/>
      <c r="C18" s="13">
        <f>SUM(C17:G17)</f>
        <v>182400</v>
      </c>
      <c r="D18" s="13"/>
      <c r="E18" s="13"/>
      <c r="F18" s="13"/>
      <c r="G18" s="13"/>
      <c r="H18" s="1" t="s">
        <v>5</v>
      </c>
      <c r="I18" s="14">
        <f>SUM(I17:M17)</f>
        <v>182400</v>
      </c>
      <c r="J18" s="14"/>
      <c r="K18" s="14"/>
      <c r="L18" s="14"/>
      <c r="M18" s="14"/>
    </row>
  </sheetData>
  <mergeCells count="2">
    <mergeCell ref="C18:G18"/>
    <mergeCell ref="I18:M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62ED-56A0-4957-8F15-257DC59AE21C}">
  <dimension ref="A1:M22"/>
  <sheetViews>
    <sheetView topLeftCell="A13" zoomScale="190" zoomScaleNormal="190" workbookViewId="0">
      <selection activeCell="F23" sqref="F23"/>
    </sheetView>
  </sheetViews>
  <sheetFormatPr defaultColWidth="8.85546875" defaultRowHeight="15" x14ac:dyDescent="0.25"/>
  <cols>
    <col min="1" max="1" width="3.28515625" bestFit="1" customWidth="1"/>
    <col min="7" max="7" width="3.85546875" customWidth="1"/>
    <col min="8" max="8" width="8.42578125" customWidth="1"/>
    <col min="13" max="13" width="14.28515625" customWidth="1"/>
  </cols>
  <sheetData>
    <row r="1" spans="1:13" x14ac:dyDescent="0.25">
      <c r="B1" t="s">
        <v>50</v>
      </c>
    </row>
    <row r="2" spans="1:13" x14ac:dyDescent="0.25">
      <c r="B2" t="s">
        <v>0</v>
      </c>
      <c r="H2" t="s">
        <v>11</v>
      </c>
      <c r="J2" t="s">
        <v>36</v>
      </c>
    </row>
    <row r="3" spans="1:13" x14ac:dyDescent="0.25">
      <c r="B3" t="s">
        <v>47</v>
      </c>
      <c r="C3" t="s">
        <v>48</v>
      </c>
      <c r="D3" t="s">
        <v>49</v>
      </c>
      <c r="E3" t="s">
        <v>16</v>
      </c>
      <c r="F3" t="s">
        <v>27</v>
      </c>
      <c r="H3" t="s">
        <v>31</v>
      </c>
      <c r="I3" t="s">
        <v>6</v>
      </c>
      <c r="J3" t="s">
        <v>8</v>
      </c>
      <c r="K3" t="s">
        <v>9</v>
      </c>
      <c r="L3" t="s">
        <v>10</v>
      </c>
    </row>
    <row r="4" spans="1:13" x14ac:dyDescent="0.25">
      <c r="F4" t="s">
        <v>38</v>
      </c>
      <c r="I4" t="s">
        <v>15</v>
      </c>
      <c r="K4" t="s">
        <v>10</v>
      </c>
      <c r="L4" t="s">
        <v>19</v>
      </c>
      <c r="M4" t="s">
        <v>12</v>
      </c>
    </row>
    <row r="5" spans="1:13" x14ac:dyDescent="0.25">
      <c r="A5" t="s">
        <v>17</v>
      </c>
      <c r="B5">
        <v>31500</v>
      </c>
      <c r="C5">
        <v>43250</v>
      </c>
      <c r="D5">
        <v>52500</v>
      </c>
      <c r="G5" t="s">
        <v>5</v>
      </c>
      <c r="I5">
        <v>32500</v>
      </c>
      <c r="J5">
        <v>56000</v>
      </c>
      <c r="L5">
        <v>38750</v>
      </c>
      <c r="M5" t="s">
        <v>53</v>
      </c>
    </row>
    <row r="6" spans="1:13" x14ac:dyDescent="0.25">
      <c r="A6">
        <v>1</v>
      </c>
      <c r="F6">
        <v>19375</v>
      </c>
      <c r="G6" t="s">
        <v>5</v>
      </c>
      <c r="L6">
        <v>19375</v>
      </c>
      <c r="M6" t="s">
        <v>21</v>
      </c>
    </row>
    <row r="7" spans="1:13" x14ac:dyDescent="0.25">
      <c r="A7">
        <v>2</v>
      </c>
      <c r="C7">
        <v>6875</v>
      </c>
      <c r="G7" t="s">
        <v>5</v>
      </c>
      <c r="H7">
        <v>6875</v>
      </c>
    </row>
    <row r="8" spans="1:13" x14ac:dyDescent="0.25">
      <c r="A8">
        <v>3</v>
      </c>
      <c r="E8">
        <v>5750</v>
      </c>
      <c r="G8" t="s">
        <v>5</v>
      </c>
      <c r="L8">
        <v>5750</v>
      </c>
      <c r="M8" t="s">
        <v>51</v>
      </c>
    </row>
    <row r="9" spans="1:13" x14ac:dyDescent="0.25">
      <c r="A9">
        <v>4</v>
      </c>
      <c r="G9" t="s">
        <v>5</v>
      </c>
      <c r="I9">
        <v>3125</v>
      </c>
      <c r="L9">
        <v>-3125</v>
      </c>
      <c r="M9" t="s">
        <v>39</v>
      </c>
    </row>
    <row r="10" spans="1:13" x14ac:dyDescent="0.25">
      <c r="A10">
        <v>5</v>
      </c>
      <c r="G10" t="s">
        <v>5</v>
      </c>
      <c r="J10">
        <v>-28000</v>
      </c>
      <c r="L10">
        <v>28000</v>
      </c>
      <c r="M10" t="s">
        <v>52</v>
      </c>
    </row>
    <row r="11" spans="1:13" x14ac:dyDescent="0.25">
      <c r="A11" t="s">
        <v>17</v>
      </c>
      <c r="B11">
        <f>SUM(B5:B10)</f>
        <v>31500</v>
      </c>
      <c r="C11">
        <f t="shared" ref="C11:K11" si="0">SUM(C5:C10)</f>
        <v>50125</v>
      </c>
      <c r="D11">
        <f t="shared" si="0"/>
        <v>52500</v>
      </c>
      <c r="E11">
        <f t="shared" si="0"/>
        <v>5750</v>
      </c>
      <c r="F11">
        <f t="shared" si="0"/>
        <v>19375</v>
      </c>
      <c r="G11" t="s">
        <v>5</v>
      </c>
      <c r="H11">
        <f t="shared" si="0"/>
        <v>6875</v>
      </c>
      <c r="I11">
        <f t="shared" si="0"/>
        <v>35625</v>
      </c>
      <c r="J11">
        <f t="shared" si="0"/>
        <v>28000</v>
      </c>
      <c r="K11">
        <f t="shared" si="0"/>
        <v>0</v>
      </c>
      <c r="L11">
        <f>SUM(L5:L10)</f>
        <v>88750</v>
      </c>
      <c r="M11" t="s">
        <v>54</v>
      </c>
    </row>
    <row r="12" spans="1:13" x14ac:dyDescent="0.25">
      <c r="B12" s="13">
        <f>SUM(B11:F11)</f>
        <v>159250</v>
      </c>
      <c r="C12" s="13"/>
      <c r="D12" s="13"/>
      <c r="E12" s="13"/>
      <c r="F12" s="13"/>
      <c r="G12" t="s">
        <v>5</v>
      </c>
      <c r="H12" s="14">
        <f>SUM(H11:L11)</f>
        <v>159250</v>
      </c>
      <c r="I12" s="14"/>
      <c r="J12" s="14"/>
      <c r="K12" s="14"/>
      <c r="L12" s="14"/>
    </row>
    <row r="22" spans="2:2" x14ac:dyDescent="0.25">
      <c r="B22" s="7" t="s">
        <v>65</v>
      </c>
    </row>
  </sheetData>
  <mergeCells count="2">
    <mergeCell ref="B12:F12"/>
    <mergeCell ref="H12:L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System</vt:lpstr>
      <vt:lpstr>Ex 2.4</vt:lpstr>
      <vt:lpstr>Ex 2.11</vt:lpstr>
      <vt:lpstr>P2.23</vt:lpstr>
      <vt:lpstr>P2.21</vt:lpstr>
      <vt:lpstr>Answer</vt:lpstr>
      <vt:lpstr>Ex 2.4 (2)</vt:lpstr>
      <vt:lpstr>Ex 2.11 (2)</vt:lpstr>
      <vt:lpstr>P2.23 (2)</vt:lpstr>
      <vt:lpstr>P2.21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Manek Mukesh</dc:creator>
  <cp:lastModifiedBy>Joseph Koh</cp:lastModifiedBy>
  <dcterms:created xsi:type="dcterms:W3CDTF">2025-04-04T07:49:36Z</dcterms:created>
  <dcterms:modified xsi:type="dcterms:W3CDTF">2026-04-14T13:48:02Z</dcterms:modified>
</cp:coreProperties>
</file>