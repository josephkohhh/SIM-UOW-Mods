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nlym\Desktop\Manek\Notes\SIM\UOW\2025 UOW\2025 Tutorials\"/>
    </mc:Choice>
  </mc:AlternateContent>
  <xr:revisionPtr revIDLastSave="0" documentId="13_ncr:1_{AB4CB3B0-E4E4-4807-B75F-CC60DCEF4238}" xr6:coauthVersionLast="47" xr6:coauthVersionMax="47" xr10:uidLastSave="{00000000-0000-0000-0000-000000000000}"/>
  <bookViews>
    <workbookView xWindow="-110" yWindow="-110" windowWidth="29020" windowHeight="18700" tabRatio="802" activeTab="7" xr2:uid="{98A3E0AE-1528-4E92-82CE-4DA2D69F6A7C}"/>
  </bookViews>
  <sheets>
    <sheet name="System" sheetId="4" r:id="rId1"/>
    <sheet name="System (2)" sheetId="5" r:id="rId2"/>
    <sheet name="Key Concepts" sheetId="22" r:id="rId3"/>
    <sheet name="Ex14.4" sheetId="32" r:id="rId4"/>
    <sheet name="Sheet2" sheetId="33" r:id="rId5"/>
    <sheet name="Ex12.2" sheetId="34" r:id="rId6"/>
    <sheet name="Ex 11.7" sheetId="35" r:id="rId7"/>
    <sheet name="Ex 11.10" sheetId="36" r:id="rId8"/>
    <sheet name="ANSWERS" sheetId="7" r:id="rId9"/>
    <sheet name="Ex14.4 (2)" sheetId="37" r:id="rId10"/>
    <sheet name="Sheet2 (2)" sheetId="38" r:id="rId11"/>
    <sheet name="Ex12.2 (2)" sheetId="39" r:id="rId12"/>
    <sheet name="Ex 11.7 (2)" sheetId="40" r:id="rId13"/>
    <sheet name="Ex 11.10 (2)" sheetId="41" r:id="rId1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5" i="41" l="1"/>
  <c r="G24" i="41"/>
  <c r="G25" i="41" s="1"/>
  <c r="G27" i="41" s="1"/>
  <c r="H14" i="40"/>
  <c r="C14" i="40"/>
  <c r="C15" i="39"/>
  <c r="C7" i="38"/>
  <c r="D6" i="38" s="1"/>
  <c r="E6" i="38" s="1"/>
  <c r="C11" i="37"/>
  <c r="C7" i="37"/>
  <c r="H8" i="37" s="1"/>
  <c r="J8" i="37" s="1"/>
  <c r="C14" i="35"/>
  <c r="C7" i="33"/>
  <c r="D7" i="38" l="1"/>
  <c r="D4" i="38"/>
  <c r="E4" i="38" s="1"/>
  <c r="D5" i="38"/>
  <c r="E5" i="38" s="1"/>
  <c r="C9" i="37"/>
  <c r="C15" i="37" l="1"/>
  <c r="C14" i="37"/>
  <c r="J7" i="37" s="1"/>
  <c r="C13" i="37"/>
  <c r="H7" i="37" s="1"/>
  <c r="J9" i="37" l="1"/>
  <c r="H9" i="3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tc={907CCE33-C81E-4E2C-AF0C-A5F95EBF5872}</author>
    <author>tc={C2BAD37C-FFA5-4D87-8272-E6E6E1D166CE}</author>
  </authors>
  <commentList>
    <comment ref="G4" authorId="0" shapeId="0" xr:uid="{907CCE33-C81E-4E2C-AF0C-A5F95EBF5872}">
      <text>
        <t>[Threaded comment]
Your version of Excel allows you to read this threaded comment; however, any edits to it will get removed if the file is opened in a newer version of Excel. Learn more: https://go.microsoft.com/fwlink/?linkid=870924
Comment:
    BDA = Balanced Day Adjustments 
Accrual, prepayment, depreciation, bad debt exp etc.</t>
      </text>
    </comment>
    <comment ref="H4" authorId="1" shapeId="0" xr:uid="{C2BAD37C-FFA5-4D87-8272-E6E6E1D166CE}">
      <text>
        <t>[Threaded comment]
Your version of Excel allows you to read this threaded comment; however, any edits to it will get removed if the file is opened in a newer version of Excel. Learn more: https://go.microsoft.com/fwlink/?linkid=870924
Comment:
    At end of accounting year; Close books for current year and prepare for next year.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tc={E00FA1D5-3AFD-4919-842A-248D3F340300}</author>
  </authors>
  <commentList>
    <comment ref="I6" authorId="0" shapeId="0" xr:uid="{E00FA1D5-3AFD-4919-842A-248D3F340300}">
      <text>
        <t>[Threaded comment]
Your version of Excel allows you to read this threaded comment; however, any edits to it will get removed if the file is opened in a newer version of Excel. Learn more: https://go.microsoft.com/fwlink/?linkid=870924
Comment:
    Depreciation, Bad debts, Error correction, Closing entries etc.</t>
      </text>
    </comment>
  </commentList>
</comments>
</file>

<file path=xl/sharedStrings.xml><?xml version="1.0" encoding="utf-8"?>
<sst xmlns="http://schemas.openxmlformats.org/spreadsheetml/2006/main" count="342" uniqueCount="183">
  <si>
    <t>Details</t>
  </si>
  <si>
    <t>Capital</t>
  </si>
  <si>
    <t>Balanced Day Adjustments</t>
  </si>
  <si>
    <t>Chapter 5</t>
  </si>
  <si>
    <t>Frequency</t>
  </si>
  <si>
    <t>Chapter 4</t>
  </si>
  <si>
    <t>Objective</t>
  </si>
  <si>
    <t>CLOSING ENTRIES</t>
  </si>
  <si>
    <t>INPUT</t>
  </si>
  <si>
    <t>Transactions</t>
  </si>
  <si>
    <t>Daily</t>
  </si>
  <si>
    <t>BDA</t>
  </si>
  <si>
    <t>Closing Entries</t>
  </si>
  <si>
    <t>↓</t>
  </si>
  <si>
    <t>$ Debit</t>
  </si>
  <si>
    <t>Credit $</t>
  </si>
  <si>
    <t>PROCESS</t>
  </si>
  <si>
    <t>JOURNAL</t>
  </si>
  <si>
    <t>1,2,3,4</t>
  </si>
  <si>
    <t>Reset revenue to 0</t>
  </si>
  <si>
    <t>Revenue</t>
  </si>
  <si>
    <t>$</t>
  </si>
  <si>
    <t>Income Summary</t>
  </si>
  <si>
    <t>LEDGER</t>
  </si>
  <si>
    <t>To reset revenue to 0</t>
  </si>
  <si>
    <t>TRIAL BALANCE</t>
  </si>
  <si>
    <t>Month end</t>
  </si>
  <si>
    <t>Year end</t>
  </si>
  <si>
    <t>Reset expense to 0</t>
  </si>
  <si>
    <t>Unadjusted</t>
  </si>
  <si>
    <t>Adjusted</t>
  </si>
  <si>
    <t>Post closing</t>
  </si>
  <si>
    <t xml:space="preserve">Expense </t>
  </si>
  <si>
    <t>Transition to</t>
  </si>
  <si>
    <t>To reset expense to 0</t>
  </si>
  <si>
    <t>OUTPUT</t>
  </si>
  <si>
    <t>Financial Statements</t>
  </si>
  <si>
    <t>Open accounts for next year</t>
  </si>
  <si>
    <t>BS, IS</t>
  </si>
  <si>
    <t>Transfer Profit to retained earning or capital</t>
  </si>
  <si>
    <t>Capital / Retained Earning</t>
  </si>
  <si>
    <t>(Transfer profit)</t>
  </si>
  <si>
    <t>Transfer drawings to capital</t>
  </si>
  <si>
    <t>Drawings</t>
  </si>
  <si>
    <t>To reset drawing to 0</t>
  </si>
  <si>
    <t>Date</t>
  </si>
  <si>
    <t>$ Credit</t>
  </si>
  <si>
    <t>Account 1</t>
  </si>
  <si>
    <t>Account 2</t>
  </si>
  <si>
    <t>A /L/C/R/E</t>
  </si>
  <si>
    <t>Debit / Credit</t>
  </si>
  <si>
    <t>⇧⇩</t>
  </si>
  <si>
    <t>A, E ⇧</t>
  </si>
  <si>
    <t>L, R, C ⇩</t>
  </si>
  <si>
    <t>A, E⇩</t>
  </si>
  <si>
    <t>L, R, C ⇧</t>
  </si>
  <si>
    <t>Step 1</t>
  </si>
  <si>
    <t>Step 2</t>
  </si>
  <si>
    <t>Step 3</t>
  </si>
  <si>
    <t>Step 4</t>
  </si>
  <si>
    <t>Input</t>
  </si>
  <si>
    <t>SJ</t>
  </si>
  <si>
    <t>PJ</t>
  </si>
  <si>
    <t>CRJ</t>
  </si>
  <si>
    <t>CPJ</t>
  </si>
  <si>
    <t>GJ</t>
  </si>
  <si>
    <t>Process</t>
  </si>
  <si>
    <t>Journal</t>
  </si>
  <si>
    <t>→</t>
  </si>
  <si>
    <t>Sales Journal</t>
  </si>
  <si>
    <t>Purchase Journal</t>
  </si>
  <si>
    <t>Cash Receipt Journal</t>
  </si>
  <si>
    <t>Cash Payment Journal</t>
  </si>
  <si>
    <t>General Journal</t>
  </si>
  <si>
    <r>
      <rPr>
        <sz val="11"/>
        <color rgb="FFFF0000"/>
        <rFont val="Aptos Narrow"/>
        <family val="2"/>
        <scheme val="minor"/>
      </rPr>
      <t>Credit</t>
    </r>
    <r>
      <rPr>
        <sz val="11"/>
        <color theme="1"/>
        <rFont val="Aptos Narrow"/>
        <family val="2"/>
        <scheme val="minor"/>
      </rPr>
      <t xml:space="preserve"> sales</t>
    </r>
  </si>
  <si>
    <r>
      <rPr>
        <sz val="11"/>
        <color rgb="FFFF0000"/>
        <rFont val="Aptos Narrow"/>
        <family val="2"/>
        <scheme val="minor"/>
      </rPr>
      <t>Credit</t>
    </r>
    <r>
      <rPr>
        <sz val="11"/>
        <color theme="1"/>
        <rFont val="Aptos Narrow"/>
        <family val="2"/>
        <scheme val="minor"/>
      </rPr>
      <t xml:space="preserve"> purchases</t>
    </r>
  </si>
  <si>
    <t>Cash receipts</t>
  </si>
  <si>
    <t>Cash payments</t>
  </si>
  <si>
    <t>Residual transactions</t>
  </si>
  <si>
    <t>Ledger</t>
  </si>
  <si>
    <t>Customer</t>
  </si>
  <si>
    <t>Supplier</t>
  </si>
  <si>
    <t>General, Nominal</t>
  </si>
  <si>
    <t>AR - Individual</t>
  </si>
  <si>
    <t>AP - Individual</t>
  </si>
  <si>
    <t>AR Control, AP Control</t>
  </si>
  <si>
    <t>Subsidiary</t>
  </si>
  <si>
    <t>Trial Balance</t>
  </si>
  <si>
    <t>Output</t>
  </si>
  <si>
    <t>BS</t>
  </si>
  <si>
    <t>IS</t>
  </si>
  <si>
    <t>SCF</t>
  </si>
  <si>
    <t>SOE</t>
  </si>
  <si>
    <t>Purchase cost</t>
  </si>
  <si>
    <t>a</t>
  </si>
  <si>
    <t>Incidental expenses</t>
  </si>
  <si>
    <t>Stamp duty &amp; registration</t>
  </si>
  <si>
    <t>Internal shelving</t>
  </si>
  <si>
    <t>Total cost</t>
  </si>
  <si>
    <t>b</t>
  </si>
  <si>
    <t>c</t>
  </si>
  <si>
    <t>d=a+b+c</t>
  </si>
  <si>
    <t>Residual value</t>
  </si>
  <si>
    <t>Total Depreciable amount</t>
  </si>
  <si>
    <t>e</t>
  </si>
  <si>
    <t>f=d-e</t>
  </si>
  <si>
    <t>g</t>
  </si>
  <si>
    <t>Useful life (in years)</t>
  </si>
  <si>
    <t>Useful life (in months)</t>
  </si>
  <si>
    <t>h=g*12</t>
  </si>
  <si>
    <t>Useful life in Km</t>
  </si>
  <si>
    <t>i</t>
  </si>
  <si>
    <t>j</t>
  </si>
  <si>
    <t>MINIMART EXPRESS</t>
  </si>
  <si>
    <t>Depreciation exp p.y.</t>
  </si>
  <si>
    <t>Depreciation exp p.m.</t>
  </si>
  <si>
    <t>j=f/g</t>
  </si>
  <si>
    <t>k=f/h</t>
  </si>
  <si>
    <t>Depreciation exp p.km</t>
  </si>
  <si>
    <t>l=f/i</t>
  </si>
  <si>
    <t>Dep Exp Rate for diminishing</t>
  </si>
  <si>
    <t>m</t>
  </si>
  <si>
    <t>2nd July</t>
  </si>
  <si>
    <t xml:space="preserve"> (a)</t>
  </si>
  <si>
    <t>(b)</t>
  </si>
  <si>
    <t>Months of usage</t>
  </si>
  <si>
    <t>Km used</t>
  </si>
  <si>
    <t>p</t>
  </si>
  <si>
    <t>q</t>
  </si>
  <si>
    <t>Depreciation exp</t>
  </si>
  <si>
    <t>Straight line</t>
  </si>
  <si>
    <t>Reducing bal</t>
  </si>
  <si>
    <t>Units of production</t>
  </si>
  <si>
    <t>k*8</t>
  </si>
  <si>
    <t>d*m</t>
  </si>
  <si>
    <t>d*m*8/12</t>
  </si>
  <si>
    <t>q*l</t>
  </si>
  <si>
    <t>GREENLEAVES</t>
  </si>
  <si>
    <t>FMV $</t>
  </si>
  <si>
    <t>Land</t>
  </si>
  <si>
    <t>Building</t>
  </si>
  <si>
    <t>Equipment</t>
  </si>
  <si>
    <t>Allocation $</t>
  </si>
  <si>
    <t>Total Cash Paid</t>
  </si>
  <si>
    <t>Dr</t>
  </si>
  <si>
    <t>Cr</t>
  </si>
  <si>
    <t>ASSETS</t>
  </si>
  <si>
    <t xml:space="preserve"> =</t>
  </si>
  <si>
    <t>Liability</t>
  </si>
  <si>
    <t>Equity</t>
  </si>
  <si>
    <t>Rev (Exp)</t>
  </si>
  <si>
    <t>AR</t>
  </si>
  <si>
    <t xml:space="preserve"> (ADD)</t>
  </si>
  <si>
    <t>CLOVER LANDSCAPING</t>
  </si>
  <si>
    <t>??</t>
  </si>
  <si>
    <t>Bad debt exp</t>
  </si>
  <si>
    <t>Bad debt write off</t>
  </si>
  <si>
    <t>ADD</t>
  </si>
  <si>
    <t>New required</t>
  </si>
  <si>
    <t>AS PER THE BANK RECORDS</t>
  </si>
  <si>
    <t>AS PER BUSINESS RECORDS</t>
  </si>
  <si>
    <t>Balance</t>
  </si>
  <si>
    <t xml:space="preserve">Balance </t>
  </si>
  <si>
    <t>Cheques issued but unpresented</t>
  </si>
  <si>
    <t>Deposit in transit</t>
  </si>
  <si>
    <t>Balance Adjusted</t>
  </si>
  <si>
    <t>$Credit</t>
  </si>
  <si>
    <t>$Debit</t>
  </si>
  <si>
    <t>Petty Cash (A+)</t>
  </si>
  <si>
    <t>Cash (A-)</t>
  </si>
  <si>
    <t>Petty cash fund set up</t>
  </si>
  <si>
    <t>Office supplies</t>
  </si>
  <si>
    <t>Telphone &amp; fax</t>
  </si>
  <si>
    <t>Postage</t>
  </si>
  <si>
    <t>Freight out</t>
  </si>
  <si>
    <t>Total expenses</t>
  </si>
  <si>
    <t>Expected Balance</t>
  </si>
  <si>
    <t>Actual Balance</t>
  </si>
  <si>
    <t>Shortage</t>
  </si>
  <si>
    <t>Fund</t>
  </si>
  <si>
    <t>Exp</t>
  </si>
  <si>
    <t>Cash shoratge</t>
  </si>
  <si>
    <t>Petty cash fund Increase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</si>
</sst>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1"/>
      <color theme="1"/>
      <name val="Times New Roman"/>
      <family val="1"/>
    </font>
    <font>
      <sz val="1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79998168889431442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double">
        <color indexed="64"/>
      </bottom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42">
    <xf numFmtId="0" fontId="0" fillId="0" borderId="0" xfId="0"/>
    <xf numFmtId="0" fontId="0" fillId="0" borderId="1" xfId="0" applyBorder="1"/>
    <xf numFmtId="0" fontId="0" fillId="2" borderId="0" xfId="0" applyFill="1"/>
    <xf numFmtId="0" fontId="1" fillId="2" borderId="0" xfId="0" applyFont="1" applyFill="1"/>
    <xf numFmtId="0" fontId="0" fillId="0" borderId="7" xfId="0" applyBorder="1"/>
    <xf numFmtId="0" fontId="0" fillId="0" borderId="8" xfId="0" applyBorder="1"/>
    <xf numFmtId="0" fontId="0" fillId="0" borderId="2" xfId="0" applyBorder="1"/>
    <xf numFmtId="0" fontId="0" fillId="0" borderId="3" xfId="0" applyBorder="1"/>
    <xf numFmtId="0" fontId="0" fillId="3" borderId="0" xfId="0" applyFill="1"/>
    <xf numFmtId="0" fontId="0" fillId="4" borderId="0" xfId="0" applyFill="1"/>
    <xf numFmtId="0" fontId="1" fillId="0" borderId="0" xfId="0" applyFont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2" fillId="0" borderId="0" xfId="0" applyFont="1"/>
    <xf numFmtId="0" fontId="0" fillId="5" borderId="9" xfId="0" applyFill="1" applyBorder="1"/>
    <xf numFmtId="0" fontId="3" fillId="2" borderId="0" xfId="0" applyFont="1" applyFill="1"/>
    <xf numFmtId="0" fontId="0" fillId="6" borderId="0" xfId="0" applyFill="1"/>
    <xf numFmtId="0" fontId="1" fillId="6" borderId="0" xfId="0" applyFont="1" applyFill="1"/>
    <xf numFmtId="0" fontId="0" fillId="6" borderId="0" xfId="0" applyFill="1" applyAlignment="1">
      <alignment horizontal="right"/>
    </xf>
    <xf numFmtId="164" fontId="0" fillId="0" borderId="0" xfId="1" applyNumberFormat="1" applyFont="1"/>
    <xf numFmtId="0" fontId="0" fillId="0" borderId="0" xfId="0" applyAlignment="1">
      <alignment horizontal="right"/>
    </xf>
    <xf numFmtId="164" fontId="0" fillId="0" borderId="0" xfId="0" applyNumberFormat="1"/>
    <xf numFmtId="43" fontId="0" fillId="0" borderId="0" xfId="0" applyNumberFormat="1"/>
    <xf numFmtId="0" fontId="6" fillId="0" borderId="0" xfId="0" applyFont="1"/>
    <xf numFmtId="164" fontId="6" fillId="0" borderId="0" xfId="1" applyNumberFormat="1" applyFont="1"/>
    <xf numFmtId="164" fontId="6" fillId="0" borderId="0" xfId="0" applyNumberFormat="1" applyFont="1"/>
    <xf numFmtId="43" fontId="6" fillId="0" borderId="0" xfId="0" applyNumberFormat="1" applyFont="1"/>
    <xf numFmtId="9" fontId="0" fillId="0" borderId="0" xfId="0" applyNumberFormat="1"/>
    <xf numFmtId="16" fontId="0" fillId="0" borderId="0" xfId="0" applyNumberFormat="1"/>
    <xf numFmtId="43" fontId="0" fillId="0" borderId="0" xfId="1" applyFont="1"/>
    <xf numFmtId="15" fontId="0" fillId="0" borderId="0" xfId="0" applyNumberFormat="1"/>
    <xf numFmtId="1" fontId="0" fillId="0" borderId="0" xfId="0" applyNumberFormat="1"/>
    <xf numFmtId="15" fontId="0" fillId="0" borderId="1" xfId="0" applyNumberFormat="1" applyBorder="1"/>
    <xf numFmtId="1" fontId="0" fillId="2" borderId="5" xfId="0" applyNumberFormat="1" applyFill="1" applyBorder="1"/>
    <xf numFmtId="0" fontId="0" fillId="2" borderId="5" xfId="0" applyFill="1" applyBorder="1"/>
    <xf numFmtId="0" fontId="0" fillId="0" borderId="3" xfId="0" applyBorder="1" applyAlignment="1">
      <alignment horizontal="right"/>
    </xf>
    <xf numFmtId="15" fontId="0" fillId="0" borderId="2" xfId="0" applyNumberFormat="1" applyBorder="1"/>
    <xf numFmtId="0" fontId="0" fillId="4" borderId="5" xfId="0" applyFill="1" applyBorder="1"/>
    <xf numFmtId="17" fontId="0" fillId="0" borderId="0" xfId="0" applyNumberFormat="1"/>
    <xf numFmtId="0" fontId="0" fillId="2" borderId="0" xfId="0" applyFill="1" applyAlignment="1">
      <alignment horizontal="center" vertical="center" wrapText="1"/>
    </xf>
    <xf numFmtId="0" fontId="0" fillId="6" borderId="0" xfId="0" applyFill="1" applyAlignment="1">
      <alignment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emf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emf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emf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emf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emf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emf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emf"/><Relationship Id="rId1" Type="http://schemas.openxmlformats.org/officeDocument/2006/relationships/image" Target="../media/image5.emf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0.emf"/><Relationship Id="rId1" Type="http://schemas.openxmlformats.org/officeDocument/2006/relationships/image" Target="../media/image6.emf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emf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426794</xdr:colOff>
      <xdr:row>3</xdr:row>
      <xdr:rowOff>64202</xdr:rowOff>
    </xdr:from>
    <xdr:to>
      <xdr:col>10</xdr:col>
      <xdr:colOff>323779</xdr:colOff>
      <xdr:row>34</xdr:row>
      <xdr:rowOff>43106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96A14BAF-5304-4329-9F3B-00D5E6F08070}"/>
            </a:ext>
          </a:extLst>
        </xdr:cNvPr>
        <xdr:cNvGrpSpPr/>
      </xdr:nvGrpSpPr>
      <xdr:grpSpPr bwMode="auto">
        <a:xfrm>
          <a:off x="1035554" y="615235"/>
          <a:ext cx="5375828" cy="5672912"/>
          <a:chOff x="0" y="78429"/>
          <a:chExt cx="6059328" cy="3928254"/>
        </a:xfrm>
      </xdr:grpSpPr>
      <xdr:cxnSp macro="">
        <xdr:nvCxnSpPr>
          <xdr:cNvPr id="3" name="Straight Arrow Connector 2">
            <a:extLst>
              <a:ext uri="{FF2B5EF4-FFF2-40B4-BE49-F238E27FC236}">
                <a16:creationId xmlns:a16="http://schemas.microsoft.com/office/drawing/2014/main" id="{2821BFB4-9028-0711-717C-EE1E7750F164}"/>
              </a:ext>
            </a:extLst>
          </xdr:cNvPr>
          <xdr:cNvCxnSpPr>
            <a:cxnSpLocks/>
          </xdr:cNvCxnSpPr>
        </xdr:nvCxnSpPr>
        <xdr:spPr bwMode="auto">
          <a:xfrm flipH="1">
            <a:off x="0" y="417106"/>
            <a:ext cx="5477" cy="2779586"/>
          </a:xfrm>
          <a:prstGeom prst="straightConnector1">
            <a:avLst/>
          </a:prstGeom>
          <a:noFill/>
          <a:ln w="6350" algn="ctr">
            <a:solidFill>
              <a:srgbClr val="4472C4"/>
            </a:solidFill>
            <a:miter lim="800000"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grpSp>
        <xdr:nvGrpSpPr>
          <xdr:cNvPr id="4" name="Group 3">
            <a:extLst>
              <a:ext uri="{FF2B5EF4-FFF2-40B4-BE49-F238E27FC236}">
                <a16:creationId xmlns:a16="http://schemas.microsoft.com/office/drawing/2014/main" id="{BBDA1DD2-6023-D73F-7E79-089D7305053A}"/>
              </a:ext>
            </a:extLst>
          </xdr:cNvPr>
          <xdr:cNvGrpSpPr>
            <a:grpSpLocks/>
          </xdr:cNvGrpSpPr>
        </xdr:nvGrpSpPr>
        <xdr:grpSpPr bwMode="auto">
          <a:xfrm>
            <a:off x="7778" y="78429"/>
            <a:ext cx="6051550" cy="3928254"/>
            <a:chOff x="7778" y="78429"/>
            <a:chExt cx="6051550" cy="3928254"/>
          </a:xfrm>
        </xdr:grpSpPr>
        <xdr:sp macro="" textlink="">
          <xdr:nvSpPr>
            <xdr:cNvPr id="5" name="Flowchart: Alternate Process 4">
              <a:extLst>
                <a:ext uri="{FF2B5EF4-FFF2-40B4-BE49-F238E27FC236}">
                  <a16:creationId xmlns:a16="http://schemas.microsoft.com/office/drawing/2014/main" id="{351990A7-9A14-C888-058B-E7407E7072F7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12989" y="78429"/>
              <a:ext cx="6045200" cy="641350"/>
            </a:xfrm>
            <a:prstGeom prst="flowChartAlternateProcess">
              <a:avLst/>
            </a:prstGeom>
            <a:solidFill>
              <a:srgbClr val="FFFFFF"/>
            </a:solidFill>
            <a:ln w="12700">
              <a:solidFill>
                <a:srgbClr val="70AD47"/>
              </a:solidFill>
              <a:miter lim="800000"/>
              <a:headEnd/>
              <a:tailEnd/>
            </a:ln>
          </xdr:spPr>
          <xdr:txBody>
            <a:bodyPr wrap="square" anchor="ctr"/>
            <a:lstStyle/>
            <a:p>
              <a:pPr algn="ctr" eaLnBrk="0" fontAlgn="base" hangingPunct="0"/>
              <a:r>
                <a:rPr lang="en-GB" sz="1800" b="1" kern="1200">
                  <a:solidFill>
                    <a:srgbClr val="000000"/>
                  </a:solidFill>
                  <a:effectLst/>
                  <a:latin typeface="Times New Roman" panose="02020603050405020304" pitchFamily="18" charset="0"/>
                  <a:ea typeface="Times New Roman" panose="02020603050405020304" pitchFamily="18" charset="0"/>
                </a:rPr>
                <a:t>Transactions</a:t>
              </a:r>
              <a:endParaRPr lang="en-SG" sz="1000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Times New Roman" panose="02020603050405020304" pitchFamily="18" charset="0"/>
              </a:endParaRPr>
            </a:p>
          </xdr:txBody>
        </xdr:sp>
        <xdr:sp macro="" textlink="">
          <xdr:nvSpPr>
            <xdr:cNvPr id="6" name="Flowchart: Alternate Process 5">
              <a:extLst>
                <a:ext uri="{FF2B5EF4-FFF2-40B4-BE49-F238E27FC236}">
                  <a16:creationId xmlns:a16="http://schemas.microsoft.com/office/drawing/2014/main" id="{781F4FCF-2280-0D26-1960-9B0221916046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778" y="3119542"/>
              <a:ext cx="6048374" cy="887141"/>
            </a:xfrm>
            <a:prstGeom prst="flowChartAlternateProcess">
              <a:avLst/>
            </a:prstGeom>
            <a:solidFill>
              <a:srgbClr val="FFFFFF"/>
            </a:solidFill>
            <a:ln w="25400">
              <a:solidFill>
                <a:srgbClr val="F79646"/>
              </a:solidFill>
              <a:miter lim="800000"/>
              <a:headEnd/>
              <a:tailEnd/>
            </a:ln>
          </xdr:spPr>
          <xdr:txBody>
            <a:bodyPr wrap="square" anchor="ctr"/>
            <a:lstStyle/>
            <a:p>
              <a:pPr algn="ctr" eaLnBrk="0" fontAlgn="base" hangingPunct="0"/>
              <a:r>
                <a:rPr lang="en-GB" sz="1800" b="1" kern="1200">
                  <a:solidFill>
                    <a:srgbClr val="000000"/>
                  </a:solidFill>
                  <a:effectLst/>
                  <a:latin typeface="Times New Roman" panose="02020603050405020304" pitchFamily="18" charset="0"/>
                  <a:ea typeface="Times New Roman" panose="02020603050405020304" pitchFamily="18" charset="0"/>
                </a:rPr>
                <a:t>Financial Statements</a:t>
              </a:r>
              <a:endParaRPr lang="en-SG" sz="1000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Times New Roman" panose="02020603050405020304" pitchFamily="18" charset="0"/>
              </a:endParaRPr>
            </a:p>
            <a:p>
              <a:pPr algn="ctr" eaLnBrk="0" fontAlgn="base" hangingPunct="0"/>
              <a:r>
                <a:rPr lang="en-GB" sz="1000" kern="1200">
                  <a:solidFill>
                    <a:srgbClr val="000000"/>
                  </a:solidFill>
                  <a:effectLst/>
                  <a:latin typeface="Times New Roman" panose="02020603050405020304" pitchFamily="18" charset="0"/>
                  <a:ea typeface="Times New Roman" panose="02020603050405020304" pitchFamily="18" charset="0"/>
                </a:rPr>
                <a:t>Balance Sheet (Asset = Liability + Owners Equity)</a:t>
              </a:r>
              <a:endParaRPr lang="en-SG" sz="1000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Times New Roman" panose="02020603050405020304" pitchFamily="18" charset="0"/>
              </a:endParaRPr>
            </a:p>
            <a:p>
              <a:pPr algn="ctr" eaLnBrk="0" fontAlgn="base" hangingPunct="0"/>
              <a:r>
                <a:rPr lang="en-GB" sz="1000" kern="1200">
                  <a:solidFill>
                    <a:srgbClr val="000000"/>
                  </a:solidFill>
                  <a:effectLst/>
                  <a:latin typeface="Times New Roman" panose="02020603050405020304" pitchFamily="18" charset="0"/>
                  <a:ea typeface="Times New Roman" panose="02020603050405020304" pitchFamily="18" charset="0"/>
                </a:rPr>
                <a:t>Income Statement (Revenue – Expenses = Profit)</a:t>
              </a:r>
              <a:endParaRPr lang="en-SG" sz="1000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Times New Roman" panose="02020603050405020304" pitchFamily="18" charset="0"/>
              </a:endParaRPr>
            </a:p>
            <a:p>
              <a:pPr algn="ctr" eaLnBrk="0" fontAlgn="base" hangingPunct="0"/>
              <a:r>
                <a:rPr lang="en-GB" sz="1000" kern="1200">
                  <a:solidFill>
                    <a:srgbClr val="000000"/>
                  </a:solidFill>
                  <a:effectLst/>
                  <a:latin typeface="Times New Roman" panose="02020603050405020304" pitchFamily="18" charset="0"/>
                  <a:ea typeface="Times New Roman" panose="02020603050405020304" pitchFamily="18" charset="0"/>
                </a:rPr>
                <a:t>Statement of Cashflows ($ Receipts and $ Payments)</a:t>
              </a:r>
              <a:endParaRPr lang="en-SG" sz="1000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Times New Roman" panose="02020603050405020304" pitchFamily="18" charset="0"/>
              </a:endParaRPr>
            </a:p>
            <a:p>
              <a:pPr algn="ctr" eaLnBrk="0" fontAlgn="base" hangingPunct="0"/>
              <a:r>
                <a:rPr lang="en-GB" sz="1000" kern="1200">
                  <a:solidFill>
                    <a:srgbClr val="000000"/>
                  </a:solidFill>
                  <a:effectLst/>
                  <a:latin typeface="Times New Roman" panose="02020603050405020304" pitchFamily="18" charset="0"/>
                  <a:ea typeface="Times New Roman" panose="02020603050405020304" pitchFamily="18" charset="0"/>
                </a:rPr>
                <a:t>Statement of Changes in Owners Equity (OE at start + changes = OE at end) – sometimes viewed as a note.</a:t>
              </a:r>
              <a:endParaRPr lang="en-SG" sz="1000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Times New Roman" panose="02020603050405020304" pitchFamily="18" charset="0"/>
              </a:endParaRPr>
            </a:p>
          </xdr:txBody>
        </xdr:sp>
        <xdr:sp macro="" textlink="">
          <xdr:nvSpPr>
            <xdr:cNvPr id="7" name="Flowchart: Predefined Process 6">
              <a:extLst>
                <a:ext uri="{FF2B5EF4-FFF2-40B4-BE49-F238E27FC236}">
                  <a16:creationId xmlns:a16="http://schemas.microsoft.com/office/drawing/2014/main" id="{561E9ED8-9D46-6139-668C-158A389B796B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778" y="1550757"/>
              <a:ext cx="6051550" cy="736600"/>
            </a:xfrm>
            <a:prstGeom prst="flowChartPredefinedProcess">
              <a:avLst/>
            </a:prstGeom>
            <a:solidFill>
              <a:srgbClr val="FFFFFF"/>
            </a:solidFill>
            <a:ln w="25400">
              <a:solidFill>
                <a:srgbClr val="F79646"/>
              </a:solidFill>
              <a:miter lim="800000"/>
              <a:headEnd/>
              <a:tailEnd/>
            </a:ln>
          </xdr:spPr>
          <xdr:txBody>
            <a:bodyPr wrap="square" anchor="ctr"/>
            <a:lstStyle/>
            <a:p>
              <a:pPr algn="ctr" eaLnBrk="0" fontAlgn="base" hangingPunct="0"/>
              <a:r>
                <a:rPr lang="en-GB" sz="1400" b="1" kern="1200">
                  <a:solidFill>
                    <a:srgbClr val="000000"/>
                  </a:solidFill>
                  <a:effectLst/>
                  <a:latin typeface="Times New Roman" panose="02020603050405020304" pitchFamily="18" charset="0"/>
                  <a:ea typeface="Times New Roman" panose="02020603050405020304" pitchFamily="18" charset="0"/>
                </a:rPr>
                <a:t>Asset = Liability + Owners Equity</a:t>
              </a:r>
              <a:endParaRPr lang="en-SG" sz="1000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Times New Roman" panose="02020603050405020304" pitchFamily="18" charset="0"/>
              </a:endParaRPr>
            </a:p>
          </xdr:txBody>
        </xdr:sp>
        <xdr:sp macro="" textlink="">
          <xdr:nvSpPr>
            <xdr:cNvPr id="8" name="Arrow: Down 7">
              <a:extLst>
                <a:ext uri="{FF2B5EF4-FFF2-40B4-BE49-F238E27FC236}">
                  <a16:creationId xmlns:a16="http://schemas.microsoft.com/office/drawing/2014/main" id="{54969C71-180A-07C6-72ED-592D1D46E06E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2930292" y="2382941"/>
              <a:ext cx="201045" cy="736601"/>
            </a:xfrm>
            <a:prstGeom prst="downArrow">
              <a:avLst>
                <a:gd name="adj1" fmla="val 50000"/>
                <a:gd name="adj2" fmla="val 50005"/>
              </a:avLst>
            </a:prstGeom>
            <a:solidFill>
              <a:srgbClr val="FFFFFF"/>
            </a:solidFill>
            <a:ln w="25400" algn="ctr">
              <a:solidFill>
                <a:srgbClr val="F79646"/>
              </a:solidFill>
              <a:miter lim="800000"/>
              <a:headEnd/>
              <a:tailEnd/>
            </a:ln>
          </xdr:spPr>
          <xdr:txBody>
            <a:bodyPr wrap="square" anchor="ctr"/>
            <a:lstStyle/>
            <a:p>
              <a:endParaRPr lang="en-SG"/>
            </a:p>
          </xdr:txBody>
        </xdr:sp>
        <xdr:sp macro="" textlink="">
          <xdr:nvSpPr>
            <xdr:cNvPr id="9" name="Arrow: Down 8">
              <a:extLst>
                <a:ext uri="{FF2B5EF4-FFF2-40B4-BE49-F238E27FC236}">
                  <a16:creationId xmlns:a16="http://schemas.microsoft.com/office/drawing/2014/main" id="{DDEC4D26-632F-CD68-538D-534FC4B4CCDF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2930292" y="729956"/>
              <a:ext cx="206522" cy="736600"/>
            </a:xfrm>
            <a:prstGeom prst="downArrow">
              <a:avLst>
                <a:gd name="adj1" fmla="val 50000"/>
                <a:gd name="adj2" fmla="val 50000"/>
              </a:avLst>
            </a:prstGeom>
            <a:solidFill>
              <a:srgbClr val="FFFFFF"/>
            </a:solidFill>
            <a:ln w="25400" algn="ctr">
              <a:solidFill>
                <a:srgbClr val="F79646"/>
              </a:solidFill>
              <a:miter lim="800000"/>
              <a:headEnd/>
              <a:tailEnd/>
            </a:ln>
          </xdr:spPr>
          <xdr:txBody>
            <a:bodyPr wrap="square" anchor="ctr"/>
            <a:lstStyle/>
            <a:p>
              <a:endParaRPr lang="en-SG"/>
            </a:p>
          </xdr:txBody>
        </xdr:sp>
      </xdr:grpSp>
    </xdr:grpSp>
    <xdr:clientData/>
  </xdr:twoCellAnchor>
  <xdr:twoCellAnchor editAs="oneCell">
    <xdr:from>
      <xdr:col>10</xdr:col>
      <xdr:colOff>603658</xdr:colOff>
      <xdr:row>2</xdr:row>
      <xdr:rowOff>38661</xdr:rowOff>
    </xdr:from>
    <xdr:to>
      <xdr:col>25</xdr:col>
      <xdr:colOff>101853</xdr:colOff>
      <xdr:row>34</xdr:row>
      <xdr:rowOff>19611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220E153D-9C2D-4089-86B6-083E90F718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99658" y="406961"/>
          <a:ext cx="8642195" cy="5873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290486</xdr:colOff>
      <xdr:row>17</xdr:row>
      <xdr:rowOff>142943</xdr:rowOff>
    </xdr:from>
    <xdr:to>
      <xdr:col>6</xdr:col>
      <xdr:colOff>135223</xdr:colOff>
      <xdr:row>37</xdr:row>
      <xdr:rowOff>6026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31BD991-8692-464D-B03C-1CF4BFFE3E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0086" y="3292543"/>
          <a:ext cx="3718237" cy="35524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438855</xdr:colOff>
      <xdr:row>0</xdr:row>
      <xdr:rowOff>28322</xdr:rowOff>
    </xdr:from>
    <xdr:to>
      <xdr:col>19</xdr:col>
      <xdr:colOff>489761</xdr:colOff>
      <xdr:row>20</xdr:row>
      <xdr:rowOff>117826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1988B22-99C7-4C89-86AB-D83136191A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65555" y="28322"/>
          <a:ext cx="4318106" cy="377250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17</xdr:row>
      <xdr:rowOff>101600</xdr:rowOff>
    </xdr:from>
    <xdr:to>
      <xdr:col>7</xdr:col>
      <xdr:colOff>133350</xdr:colOff>
      <xdr:row>22</xdr:row>
      <xdr:rowOff>146050</xdr:rowOff>
    </xdr:to>
    <xdr:pic>
      <xdr:nvPicPr>
        <xdr:cNvPr id="20482" name="Picture 2">
          <a:extLst>
            <a:ext uri="{FF2B5EF4-FFF2-40B4-BE49-F238E27FC236}">
              <a16:creationId xmlns:a16="http://schemas.microsoft.com/office/drawing/2014/main" id="{C382C52E-70A4-2F94-FA30-36AA8A02B1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232150"/>
          <a:ext cx="6318250" cy="965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189250</xdr:colOff>
      <xdr:row>9</xdr:row>
      <xdr:rowOff>171450</xdr:rowOff>
    </xdr:from>
    <xdr:to>
      <xdr:col>6</xdr:col>
      <xdr:colOff>461210</xdr:colOff>
      <xdr:row>17</xdr:row>
      <xdr:rowOff>17625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FD66E53-A0D3-1D8B-3877-B411A6606F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9250" y="1825792"/>
          <a:ext cx="5051171" cy="13167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104326</xdr:colOff>
      <xdr:row>16</xdr:row>
      <xdr:rowOff>175074</xdr:rowOff>
    </xdr:from>
    <xdr:to>
      <xdr:col>8</xdr:col>
      <xdr:colOff>186876</xdr:colOff>
      <xdr:row>27</xdr:row>
      <xdr:rowOff>79824</xdr:rowOff>
    </xdr:to>
    <xdr:pic>
      <xdr:nvPicPr>
        <xdr:cNvPr id="22529" name="Picture 1">
          <a:extLst>
            <a:ext uri="{FF2B5EF4-FFF2-40B4-BE49-F238E27FC236}">
              <a16:creationId xmlns:a16="http://schemas.microsoft.com/office/drawing/2014/main" id="{F376984E-F42D-D9D8-0F2F-F7DC1AD6F6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326" y="3127325"/>
          <a:ext cx="5338754" cy="19161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76200</xdr:colOff>
      <xdr:row>16</xdr:row>
      <xdr:rowOff>57150</xdr:rowOff>
    </xdr:from>
    <xdr:to>
      <xdr:col>6</xdr:col>
      <xdr:colOff>1447800</xdr:colOff>
      <xdr:row>29</xdr:row>
      <xdr:rowOff>76200</xdr:rowOff>
    </xdr:to>
    <xdr:pic>
      <xdr:nvPicPr>
        <xdr:cNvPr id="24577" name="Picture 1">
          <a:extLst>
            <a:ext uri="{FF2B5EF4-FFF2-40B4-BE49-F238E27FC236}">
              <a16:creationId xmlns:a16="http://schemas.microsoft.com/office/drawing/2014/main" id="{C238614D-7D43-1C35-528B-3301E21FD3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7550" y="3022600"/>
          <a:ext cx="5181600" cy="2413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157362</xdr:colOff>
      <xdr:row>0</xdr:row>
      <xdr:rowOff>0</xdr:rowOff>
    </xdr:from>
    <xdr:to>
      <xdr:col>6</xdr:col>
      <xdr:colOff>436760</xdr:colOff>
      <xdr:row>12</xdr:row>
      <xdr:rowOff>148916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BFAFECC-DABF-31C6-2EC9-47D3CD90F4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7362" y="0"/>
          <a:ext cx="5010991" cy="23742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17</xdr:row>
      <xdr:rowOff>101600</xdr:rowOff>
    </xdr:from>
    <xdr:to>
      <xdr:col>7</xdr:col>
      <xdr:colOff>133350</xdr:colOff>
      <xdr:row>22</xdr:row>
      <xdr:rowOff>146050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71536A51-E9D1-4699-BB00-B42362FC79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232150"/>
          <a:ext cx="6318250" cy="965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189250</xdr:colOff>
      <xdr:row>9</xdr:row>
      <xdr:rowOff>171450</xdr:rowOff>
    </xdr:from>
    <xdr:to>
      <xdr:col>6</xdr:col>
      <xdr:colOff>461210</xdr:colOff>
      <xdr:row>17</xdr:row>
      <xdr:rowOff>17625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8EF093C-2295-46AF-877A-78F849489C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9250" y="1828800"/>
          <a:ext cx="5053510" cy="1319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527050</xdr:colOff>
      <xdr:row>3</xdr:row>
      <xdr:rowOff>76200</xdr:rowOff>
    </xdr:from>
    <xdr:to>
      <xdr:col>11</xdr:col>
      <xdr:colOff>381000</xdr:colOff>
      <xdr:row>7</xdr:row>
      <xdr:rowOff>12700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120477BC-9020-4D12-93C0-18A76F5EC7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0" y="628650"/>
          <a:ext cx="3511550" cy="673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104326</xdr:colOff>
      <xdr:row>16</xdr:row>
      <xdr:rowOff>175074</xdr:rowOff>
    </xdr:from>
    <xdr:to>
      <xdr:col>8</xdr:col>
      <xdr:colOff>186876</xdr:colOff>
      <xdr:row>27</xdr:row>
      <xdr:rowOff>79824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FAAA8BE-E9A9-4255-92C7-B8D468DFCA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326" y="3146874"/>
          <a:ext cx="5346700" cy="1930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273050</xdr:colOff>
      <xdr:row>0</xdr:row>
      <xdr:rowOff>76200</xdr:rowOff>
    </xdr:from>
    <xdr:to>
      <xdr:col>14</xdr:col>
      <xdr:colOff>184150</xdr:colOff>
      <xdr:row>12</xdr:row>
      <xdr:rowOff>114300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E4E0317-D403-4F21-AC09-F67E2B758F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37200" y="76200"/>
          <a:ext cx="3568700" cy="2260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76200</xdr:colOff>
      <xdr:row>16</xdr:row>
      <xdr:rowOff>57150</xdr:rowOff>
    </xdr:from>
    <xdr:to>
      <xdr:col>6</xdr:col>
      <xdr:colOff>1447800</xdr:colOff>
      <xdr:row>29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0BB189-8E31-4072-A743-1FEF3393C4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7550" y="3022600"/>
          <a:ext cx="5181600" cy="2413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157362</xdr:colOff>
      <xdr:row>0</xdr:row>
      <xdr:rowOff>0</xdr:rowOff>
    </xdr:from>
    <xdr:to>
      <xdr:col>6</xdr:col>
      <xdr:colOff>436760</xdr:colOff>
      <xdr:row>12</xdr:row>
      <xdr:rowOff>148916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3F71D8D-32A0-48B1-834D-1966AF40B6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7362" y="0"/>
          <a:ext cx="5010148" cy="23587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Manek Mukesh" id="{C2C51364-1ABA-4FBD-BD4A-41A7CE48DD18}" userId="7baad15b6bef9919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G4" dT="2022-04-27T08:01:01.46" personId="{C2C51364-1ABA-4FBD-BD4A-41A7CE48DD18}" id="{907CCE33-C81E-4E2C-AF0C-A5F95EBF5872}">
    <text>BDA = Balanced Day Adjustments 
Accrual, prepayment, depreciation, bad debt exp etc.</text>
  </threadedComment>
  <threadedComment ref="H4" dT="2022-04-27T08:03:56.12" personId="{C2C51364-1ABA-4FBD-BD4A-41A7CE48DD18}" id="{C2BAD37C-FFA5-4D87-8272-E6E6E1D166CE}">
    <text>At end of accounting year; Close books for current year and prepare for next year.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I6" dT="2022-05-23T07:53:39.75" personId="{C2C51364-1ABA-4FBD-BD4A-41A7CE48DD18}" id="{E00FA1D5-3AFD-4919-842A-248D3F340300}">
    <text>Depreciation, Bad debts, Error correction, Closing entries etc.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5" Type="http://schemas.microsoft.com/office/2017/10/relationships/threadedComment" Target="../threadedComments/threadedComment2.xml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B31468-06B7-4EAE-81E5-FB432EF125CF}">
  <dimension ref="A1"/>
  <sheetViews>
    <sheetView zoomScale="121" zoomScaleNormal="85" workbookViewId="0">
      <selection activeCell="T36" sqref="T36"/>
    </sheetView>
  </sheetViews>
  <sheetFormatPr defaultRowHeight="14.5" x14ac:dyDescent="0.3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30C2FA-7F47-4646-A4FB-C656FFCA9DC7}">
  <dimension ref="B1:X20"/>
  <sheetViews>
    <sheetView topLeftCell="B1" zoomScaleNormal="100" workbookViewId="0">
      <selection activeCell="M27" sqref="M27"/>
    </sheetView>
  </sheetViews>
  <sheetFormatPr defaultRowHeight="14.5" x14ac:dyDescent="0.35"/>
  <cols>
    <col min="5" max="5" width="18.81640625" bestFit="1" customWidth="1"/>
    <col min="6" max="6" width="10.453125" customWidth="1"/>
    <col min="7" max="7" width="10.453125" bestFit="1" customWidth="1"/>
    <col min="11" max="11" width="2.08984375" bestFit="1" customWidth="1"/>
    <col min="12" max="12" width="37.453125" bestFit="1" customWidth="1"/>
    <col min="13" max="13" width="22.6328125" bestFit="1" customWidth="1"/>
    <col min="17" max="17" width="5.54296875" bestFit="1" customWidth="1"/>
    <col min="18" max="18" width="13.26953125" customWidth="1"/>
    <col min="21" max="21" width="6.08984375" customWidth="1"/>
  </cols>
  <sheetData>
    <row r="1" spans="2:24" x14ac:dyDescent="0.35">
      <c r="G1" t="s">
        <v>2</v>
      </c>
      <c r="Q1" s="14"/>
      <c r="R1" s="14"/>
      <c r="S1" s="14" t="s">
        <v>52</v>
      </c>
      <c r="T1" s="14" t="s">
        <v>54</v>
      </c>
      <c r="U1" s="14"/>
      <c r="V1" s="14" t="s">
        <v>47</v>
      </c>
      <c r="W1" s="14" t="s">
        <v>48</v>
      </c>
      <c r="X1" s="14" t="s">
        <v>56</v>
      </c>
    </row>
    <row r="2" spans="2:24" x14ac:dyDescent="0.35">
      <c r="B2" s="2" t="s">
        <v>3</v>
      </c>
      <c r="Q2" s="14"/>
      <c r="R2" s="14" t="s">
        <v>17</v>
      </c>
      <c r="S2" s="14" t="s">
        <v>53</v>
      </c>
      <c r="T2" s="14" t="s">
        <v>55</v>
      </c>
      <c r="U2" s="14"/>
      <c r="V2" s="14" t="s">
        <v>49</v>
      </c>
      <c r="W2" s="14" t="s">
        <v>49</v>
      </c>
      <c r="X2" s="14" t="s">
        <v>57</v>
      </c>
    </row>
    <row r="3" spans="2:24" x14ac:dyDescent="0.35">
      <c r="F3" t="s">
        <v>4</v>
      </c>
      <c r="G3" t="s">
        <v>5</v>
      </c>
      <c r="H3" t="s">
        <v>3</v>
      </c>
      <c r="L3" t="s">
        <v>6</v>
      </c>
      <c r="M3" t="s">
        <v>7</v>
      </c>
      <c r="Q3" s="14" t="s">
        <v>45</v>
      </c>
      <c r="R3" s="14" t="s">
        <v>0</v>
      </c>
      <c r="S3" s="14" t="s">
        <v>14</v>
      </c>
      <c r="T3" s="14" t="s">
        <v>46</v>
      </c>
      <c r="U3" s="14"/>
      <c r="V3" s="14" t="s">
        <v>51</v>
      </c>
      <c r="W3" s="14" t="s">
        <v>51</v>
      </c>
      <c r="X3" s="14" t="s">
        <v>58</v>
      </c>
    </row>
    <row r="4" spans="2:24" ht="15" thickBot="1" x14ac:dyDescent="0.4">
      <c r="C4" s="2" t="s">
        <v>8</v>
      </c>
      <c r="D4" s="2"/>
      <c r="E4" s="2" t="s">
        <v>9</v>
      </c>
      <c r="F4" t="s">
        <v>10</v>
      </c>
      <c r="G4" t="s">
        <v>11</v>
      </c>
      <c r="H4" t="s">
        <v>12</v>
      </c>
      <c r="Q4" s="14"/>
      <c r="R4" s="14"/>
      <c r="S4" s="14"/>
      <c r="T4" s="14"/>
      <c r="U4" s="14"/>
      <c r="V4" s="14" t="s">
        <v>50</v>
      </c>
      <c r="W4" s="14" t="s">
        <v>50</v>
      </c>
      <c r="X4" s="14" t="s">
        <v>59</v>
      </c>
    </row>
    <row r="5" spans="2:24" x14ac:dyDescent="0.35">
      <c r="C5" s="2"/>
      <c r="D5" s="2"/>
      <c r="E5" s="3" t="s">
        <v>13</v>
      </c>
      <c r="M5" s="1"/>
      <c r="N5" s="4" t="s">
        <v>14</v>
      </c>
      <c r="O5" s="5" t="s">
        <v>15</v>
      </c>
      <c r="Q5" s="14"/>
      <c r="R5" s="14"/>
      <c r="S5" s="14"/>
      <c r="T5" s="14"/>
      <c r="U5" s="14"/>
      <c r="V5" s="14"/>
      <c r="W5" s="14"/>
      <c r="X5" s="14"/>
    </row>
    <row r="6" spans="2:24" x14ac:dyDescent="0.35">
      <c r="C6" s="40" t="s">
        <v>16</v>
      </c>
      <c r="D6" s="2"/>
      <c r="E6" s="16" t="s">
        <v>17</v>
      </c>
      <c r="F6" t="s">
        <v>10</v>
      </c>
      <c r="H6" s="2" t="s">
        <v>18</v>
      </c>
      <c r="K6">
        <v>1</v>
      </c>
      <c r="L6" t="s">
        <v>19</v>
      </c>
      <c r="M6" s="6" t="s">
        <v>20</v>
      </c>
      <c r="N6" t="s">
        <v>21</v>
      </c>
      <c r="O6" s="7"/>
      <c r="Q6" s="14">
        <v>1</v>
      </c>
      <c r="R6" s="14"/>
      <c r="S6" s="14"/>
      <c r="T6" s="14"/>
      <c r="U6" s="14"/>
      <c r="V6" s="14"/>
      <c r="W6" s="14"/>
      <c r="X6" s="14"/>
    </row>
    <row r="7" spans="2:24" x14ac:dyDescent="0.35">
      <c r="C7" s="40"/>
      <c r="D7" s="2"/>
      <c r="E7" s="3" t="s">
        <v>13</v>
      </c>
      <c r="M7" s="6" t="s">
        <v>22</v>
      </c>
      <c r="O7" s="7" t="s">
        <v>21</v>
      </c>
      <c r="Q7" s="14"/>
      <c r="R7" s="14"/>
      <c r="S7" s="14"/>
      <c r="T7" s="14"/>
      <c r="U7" s="14"/>
      <c r="V7" s="14"/>
      <c r="W7" s="14"/>
      <c r="X7" s="14"/>
    </row>
    <row r="8" spans="2:24" x14ac:dyDescent="0.35">
      <c r="C8" s="40"/>
      <c r="D8" s="2"/>
      <c r="E8" s="16" t="s">
        <v>23</v>
      </c>
      <c r="F8" t="s">
        <v>10</v>
      </c>
      <c r="M8" s="6" t="s">
        <v>24</v>
      </c>
      <c r="O8" s="7"/>
      <c r="Q8" s="14"/>
      <c r="R8" s="14"/>
      <c r="S8" s="14"/>
      <c r="T8" s="14"/>
      <c r="U8" s="14"/>
      <c r="V8" s="14"/>
      <c r="W8" s="14"/>
      <c r="X8" s="14"/>
    </row>
    <row r="9" spans="2:24" x14ac:dyDescent="0.35">
      <c r="C9" s="40"/>
      <c r="D9" s="2"/>
      <c r="E9" s="3" t="s">
        <v>13</v>
      </c>
      <c r="M9" s="6"/>
      <c r="O9" s="7"/>
      <c r="Q9" s="14"/>
      <c r="R9" s="14"/>
      <c r="S9" s="14"/>
      <c r="T9" s="14"/>
      <c r="U9" s="14"/>
      <c r="V9" s="14"/>
      <c r="W9" s="14"/>
      <c r="X9" s="14"/>
    </row>
    <row r="10" spans="2:24" x14ac:dyDescent="0.35">
      <c r="C10" s="40"/>
      <c r="D10" s="2"/>
      <c r="E10" s="16" t="s">
        <v>25</v>
      </c>
      <c r="F10" t="s">
        <v>10</v>
      </c>
      <c r="G10" t="s">
        <v>26</v>
      </c>
      <c r="H10" t="s">
        <v>27</v>
      </c>
      <c r="K10">
        <v>2</v>
      </c>
      <c r="L10" t="s">
        <v>28</v>
      </c>
      <c r="M10" s="6" t="s">
        <v>22</v>
      </c>
      <c r="N10" t="s">
        <v>21</v>
      </c>
      <c r="O10" s="7"/>
      <c r="Q10" s="14"/>
      <c r="R10" s="14"/>
      <c r="S10" s="14"/>
      <c r="T10" s="14"/>
      <c r="U10" s="14"/>
      <c r="V10" s="14"/>
      <c r="W10" s="14"/>
      <c r="X10" s="14"/>
    </row>
    <row r="11" spans="2:24" ht="15" thickBot="1" x14ac:dyDescent="0.4">
      <c r="C11" s="2"/>
      <c r="D11" s="2"/>
      <c r="E11" s="2"/>
      <c r="F11" s="15" t="s">
        <v>29</v>
      </c>
      <c r="G11" s="8" t="s">
        <v>30</v>
      </c>
      <c r="H11" s="9" t="s">
        <v>31</v>
      </c>
      <c r="M11" s="6" t="s">
        <v>32</v>
      </c>
      <c r="O11" s="7" t="s">
        <v>21</v>
      </c>
      <c r="Q11" s="14">
        <v>2</v>
      </c>
      <c r="R11" s="14"/>
      <c r="S11" s="14"/>
      <c r="T11" s="14"/>
      <c r="U11" s="14"/>
      <c r="V11" s="14"/>
      <c r="W11" s="14"/>
      <c r="X11" s="14"/>
    </row>
    <row r="12" spans="2:24" ht="15" thickTop="1" x14ac:dyDescent="0.35">
      <c r="C12" s="2"/>
      <c r="D12" s="2"/>
      <c r="E12" s="3" t="s">
        <v>13</v>
      </c>
      <c r="G12" s="10" t="s">
        <v>13</v>
      </c>
      <c r="H12" t="s">
        <v>33</v>
      </c>
      <c r="M12" s="6" t="s">
        <v>34</v>
      </c>
      <c r="O12" s="7"/>
    </row>
    <row r="13" spans="2:24" x14ac:dyDescent="0.35">
      <c r="C13" s="2" t="s">
        <v>35</v>
      </c>
      <c r="D13" s="2"/>
      <c r="E13" s="2" t="s">
        <v>36</v>
      </c>
      <c r="F13" t="s">
        <v>36</v>
      </c>
      <c r="H13" t="s">
        <v>37</v>
      </c>
      <c r="M13" s="6"/>
      <c r="O13" s="7"/>
    </row>
    <row r="14" spans="2:24" x14ac:dyDescent="0.35">
      <c r="F14" t="s">
        <v>38</v>
      </c>
      <c r="K14">
        <v>3</v>
      </c>
      <c r="L14" t="s">
        <v>39</v>
      </c>
      <c r="M14" s="6" t="s">
        <v>22</v>
      </c>
      <c r="N14" t="s">
        <v>21</v>
      </c>
      <c r="O14" s="7"/>
    </row>
    <row r="15" spans="2:24" x14ac:dyDescent="0.35">
      <c r="M15" s="6" t="s">
        <v>40</v>
      </c>
      <c r="O15" s="7" t="s">
        <v>21</v>
      </c>
    </row>
    <row r="16" spans="2:24" x14ac:dyDescent="0.35">
      <c r="M16" s="6" t="s">
        <v>41</v>
      </c>
      <c r="O16" s="7"/>
    </row>
    <row r="17" spans="11:15" x14ac:dyDescent="0.35">
      <c r="M17" s="6"/>
      <c r="O17" s="7"/>
    </row>
    <row r="18" spans="11:15" x14ac:dyDescent="0.35">
      <c r="K18">
        <v>4</v>
      </c>
      <c r="L18" t="s">
        <v>42</v>
      </c>
      <c r="M18" s="6" t="s">
        <v>1</v>
      </c>
      <c r="N18" t="s">
        <v>21</v>
      </c>
      <c r="O18" s="7"/>
    </row>
    <row r="19" spans="11:15" x14ac:dyDescent="0.35">
      <c r="M19" s="6" t="s">
        <v>43</v>
      </c>
      <c r="O19" s="7" t="s">
        <v>21</v>
      </c>
    </row>
    <row r="20" spans="11:15" ht="15" thickBot="1" x14ac:dyDescent="0.4">
      <c r="M20" s="11" t="s">
        <v>44</v>
      </c>
      <c r="N20" s="12"/>
      <c r="O20" s="13"/>
    </row>
  </sheetData>
  <mergeCells count="1">
    <mergeCell ref="C6:C10"/>
  </mergeCells>
  <pageMargins left="0.7" right="0.7" top="0.75" bottom="0.75" header="0.3" footer="0.3"/>
  <pageSetup orientation="portrait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1C8771-121C-4028-A96C-339990C7F79F}">
  <dimension ref="B1:I18"/>
  <sheetViews>
    <sheetView zoomScale="193" zoomScaleNormal="190" workbookViewId="0">
      <selection activeCell="G15" sqref="G15"/>
    </sheetView>
  </sheetViews>
  <sheetFormatPr defaultRowHeight="14.5" x14ac:dyDescent="0.35"/>
  <cols>
    <col min="1" max="1" width="3.1796875" customWidth="1"/>
    <col min="3" max="3" width="18.36328125" bestFit="1" customWidth="1"/>
    <col min="4" max="4" width="5.6328125" customWidth="1"/>
    <col min="5" max="5" width="12.90625" customWidth="1"/>
    <col min="6" max="6" width="15.1796875" bestFit="1" customWidth="1"/>
    <col min="7" max="7" width="20.54296875" customWidth="1"/>
    <col min="8" max="8" width="19.453125" bestFit="1" customWidth="1"/>
    <col min="9" max="9" width="19.08984375" customWidth="1"/>
  </cols>
  <sheetData>
    <row r="1" spans="2:9" x14ac:dyDescent="0.35">
      <c r="G1" s="10" t="s">
        <v>13</v>
      </c>
    </row>
    <row r="2" spans="2:9" x14ac:dyDescent="0.35">
      <c r="B2" s="17" t="s">
        <v>60</v>
      </c>
      <c r="C2" s="17" t="s">
        <v>9</v>
      </c>
    </row>
    <row r="3" spans="2:9" x14ac:dyDescent="0.35">
      <c r="B3" s="17"/>
      <c r="C3" s="18" t="s">
        <v>13</v>
      </c>
    </row>
    <row r="4" spans="2:9" x14ac:dyDescent="0.35">
      <c r="B4" s="17"/>
      <c r="C4" s="17"/>
      <c r="E4" t="s">
        <v>61</v>
      </c>
      <c r="F4" t="s">
        <v>62</v>
      </c>
      <c r="G4" t="s">
        <v>63</v>
      </c>
      <c r="H4" t="s">
        <v>64</v>
      </c>
      <c r="I4" t="s">
        <v>65</v>
      </c>
    </row>
    <row r="5" spans="2:9" x14ac:dyDescent="0.35">
      <c r="B5" s="41" t="s">
        <v>66</v>
      </c>
      <c r="C5" s="17" t="s">
        <v>67</v>
      </c>
      <c r="D5" s="10" t="s">
        <v>68</v>
      </c>
      <c r="E5" t="s">
        <v>69</v>
      </c>
      <c r="F5" t="s">
        <v>70</v>
      </c>
      <c r="G5" t="s">
        <v>71</v>
      </c>
      <c r="H5" t="s">
        <v>72</v>
      </c>
      <c r="I5" t="s">
        <v>73</v>
      </c>
    </row>
    <row r="6" spans="2:9" x14ac:dyDescent="0.35">
      <c r="B6" s="41"/>
      <c r="C6" s="18" t="s">
        <v>13</v>
      </c>
      <c r="E6" t="s">
        <v>74</v>
      </c>
      <c r="F6" t="s">
        <v>75</v>
      </c>
      <c r="G6" t="s">
        <v>76</v>
      </c>
      <c r="H6" t="s">
        <v>77</v>
      </c>
      <c r="I6" t="s">
        <v>78</v>
      </c>
    </row>
    <row r="7" spans="2:9" x14ac:dyDescent="0.35">
      <c r="B7" s="41"/>
      <c r="C7" s="18"/>
    </row>
    <row r="8" spans="2:9" x14ac:dyDescent="0.35">
      <c r="B8" s="41"/>
      <c r="C8" s="17" t="s">
        <v>79</v>
      </c>
      <c r="D8" s="10" t="s">
        <v>68</v>
      </c>
      <c r="E8" t="s">
        <v>80</v>
      </c>
      <c r="F8" t="s">
        <v>81</v>
      </c>
      <c r="G8" t="s">
        <v>82</v>
      </c>
    </row>
    <row r="9" spans="2:9" x14ac:dyDescent="0.35">
      <c r="B9" s="41"/>
      <c r="C9" s="18" t="s">
        <v>13</v>
      </c>
      <c r="E9" t="s">
        <v>83</v>
      </c>
      <c r="F9" t="s">
        <v>84</v>
      </c>
      <c r="G9" t="s">
        <v>85</v>
      </c>
    </row>
    <row r="10" spans="2:9" x14ac:dyDescent="0.35">
      <c r="B10" s="41"/>
      <c r="C10" s="18"/>
      <c r="E10" t="s">
        <v>86</v>
      </c>
      <c r="F10" t="s">
        <v>86</v>
      </c>
    </row>
    <row r="11" spans="2:9" x14ac:dyDescent="0.35">
      <c r="B11" s="41"/>
      <c r="C11" s="17" t="s">
        <v>87</v>
      </c>
    </row>
    <row r="12" spans="2:9" x14ac:dyDescent="0.35">
      <c r="B12" s="17"/>
      <c r="C12" s="18" t="s">
        <v>13</v>
      </c>
    </row>
    <row r="13" spans="2:9" x14ac:dyDescent="0.35">
      <c r="B13" s="17"/>
      <c r="C13" s="18"/>
    </row>
    <row r="14" spans="2:9" x14ac:dyDescent="0.35">
      <c r="B14" s="17" t="s">
        <v>88</v>
      </c>
      <c r="C14" s="17" t="s">
        <v>36</v>
      </c>
    </row>
    <row r="15" spans="2:9" x14ac:dyDescent="0.35">
      <c r="B15" s="17"/>
      <c r="C15" s="19" t="s">
        <v>89</v>
      </c>
    </row>
    <row r="16" spans="2:9" x14ac:dyDescent="0.35">
      <c r="B16" s="17"/>
      <c r="C16" s="19" t="s">
        <v>90</v>
      </c>
    </row>
    <row r="17" spans="2:3" x14ac:dyDescent="0.35">
      <c r="B17" s="17"/>
      <c r="C17" s="19" t="s">
        <v>91</v>
      </c>
    </row>
    <row r="18" spans="2:3" x14ac:dyDescent="0.35">
      <c r="B18" s="17"/>
      <c r="C18" s="19" t="s">
        <v>92</v>
      </c>
    </row>
  </sheetData>
  <mergeCells count="1">
    <mergeCell ref="B5:B11"/>
  </mergeCells>
  <pageMargins left="0.7" right="0.7" top="0.75" bottom="0.75" header="0.3" footer="0.3"/>
  <pageSetup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1A00C2-1822-4AB0-A717-083E8DA5FF77}">
  <dimension ref="B1:J16"/>
  <sheetViews>
    <sheetView zoomScale="191" workbookViewId="0">
      <selection activeCell="I15" sqref="I15"/>
    </sheetView>
  </sheetViews>
  <sheetFormatPr defaultRowHeight="14.5" x14ac:dyDescent="0.35"/>
  <cols>
    <col min="2" max="2" width="24.6328125" customWidth="1"/>
    <col min="3" max="3" width="12.6328125" bestFit="1" customWidth="1"/>
    <col min="6" max="6" width="16.36328125" customWidth="1"/>
    <col min="8" max="8" width="10.1796875" bestFit="1" customWidth="1"/>
    <col min="10" max="10" width="10.1796875" bestFit="1" customWidth="1"/>
  </cols>
  <sheetData>
    <row r="1" spans="2:10" x14ac:dyDescent="0.35">
      <c r="B1" t="s">
        <v>113</v>
      </c>
      <c r="H1" t="s">
        <v>123</v>
      </c>
      <c r="J1" t="s">
        <v>124</v>
      </c>
    </row>
    <row r="2" spans="2:10" x14ac:dyDescent="0.35">
      <c r="C2" s="21" t="s">
        <v>21</v>
      </c>
      <c r="H2" t="s">
        <v>122</v>
      </c>
      <c r="J2" s="29">
        <v>45962</v>
      </c>
    </row>
    <row r="3" spans="2:10" x14ac:dyDescent="0.35">
      <c r="B3" t="s">
        <v>93</v>
      </c>
      <c r="C3" s="20"/>
      <c r="D3" t="s">
        <v>94</v>
      </c>
      <c r="F3" t="s">
        <v>125</v>
      </c>
      <c r="G3" t="s">
        <v>127</v>
      </c>
      <c r="H3">
        <v>12</v>
      </c>
      <c r="J3">
        <v>8</v>
      </c>
    </row>
    <row r="4" spans="2:10" x14ac:dyDescent="0.35">
      <c r="B4" t="s">
        <v>95</v>
      </c>
      <c r="C4" s="20"/>
      <c r="F4" t="s">
        <v>126</v>
      </c>
      <c r="G4" t="s">
        <v>128</v>
      </c>
      <c r="H4">
        <v>95000</v>
      </c>
      <c r="J4">
        <v>55000</v>
      </c>
    </row>
    <row r="5" spans="2:10" x14ac:dyDescent="0.35">
      <c r="B5" t="s">
        <v>96</v>
      </c>
      <c r="C5" s="20"/>
      <c r="D5" t="s">
        <v>99</v>
      </c>
    </row>
    <row r="6" spans="2:10" x14ac:dyDescent="0.35">
      <c r="B6" t="s">
        <v>97</v>
      </c>
      <c r="C6" s="20"/>
      <c r="D6" t="s">
        <v>100</v>
      </c>
      <c r="F6" t="s">
        <v>129</v>
      </c>
    </row>
    <row r="7" spans="2:10" x14ac:dyDescent="0.35">
      <c r="B7" s="24" t="s">
        <v>98</v>
      </c>
      <c r="C7" s="25"/>
      <c r="D7" t="s">
        <v>101</v>
      </c>
      <c r="F7" t="s">
        <v>130</v>
      </c>
      <c r="G7" t="s">
        <v>112</v>
      </c>
      <c r="I7" t="s">
        <v>133</v>
      </c>
    </row>
    <row r="8" spans="2:10" x14ac:dyDescent="0.35">
      <c r="B8" t="s">
        <v>102</v>
      </c>
      <c r="C8" s="20"/>
      <c r="D8" t="s">
        <v>104</v>
      </c>
      <c r="F8" t="s">
        <v>131</v>
      </c>
      <c r="G8" t="s">
        <v>134</v>
      </c>
      <c r="H8" s="22"/>
      <c r="I8" t="s">
        <v>135</v>
      </c>
      <c r="J8" s="22"/>
    </row>
    <row r="9" spans="2:10" x14ac:dyDescent="0.35">
      <c r="B9" s="24" t="s">
        <v>103</v>
      </c>
      <c r="C9" s="26"/>
      <c r="D9" t="s">
        <v>105</v>
      </c>
      <c r="F9" t="s">
        <v>132</v>
      </c>
      <c r="G9" t="s">
        <v>136</v>
      </c>
      <c r="H9" s="23"/>
      <c r="I9" t="s">
        <v>136</v>
      </c>
      <c r="J9" s="23"/>
    </row>
    <row r="10" spans="2:10" x14ac:dyDescent="0.35">
      <c r="B10" t="s">
        <v>107</v>
      </c>
      <c r="C10" s="22"/>
      <c r="D10" t="s">
        <v>106</v>
      </c>
    </row>
    <row r="11" spans="2:10" x14ac:dyDescent="0.35">
      <c r="B11" t="s">
        <v>108</v>
      </c>
      <c r="C11" s="22"/>
      <c r="D11" t="s">
        <v>109</v>
      </c>
    </row>
    <row r="12" spans="2:10" x14ac:dyDescent="0.35">
      <c r="B12" t="s">
        <v>110</v>
      </c>
      <c r="D12" t="s">
        <v>111</v>
      </c>
    </row>
    <row r="13" spans="2:10" x14ac:dyDescent="0.35">
      <c r="B13" s="24" t="s">
        <v>114</v>
      </c>
      <c r="C13" s="24"/>
      <c r="D13" t="s">
        <v>116</v>
      </c>
    </row>
    <row r="14" spans="2:10" x14ac:dyDescent="0.35">
      <c r="B14" s="24" t="s">
        <v>115</v>
      </c>
      <c r="C14" s="24"/>
      <c r="D14" t="s">
        <v>117</v>
      </c>
    </row>
    <row r="15" spans="2:10" x14ac:dyDescent="0.35">
      <c r="B15" s="24" t="s">
        <v>118</v>
      </c>
      <c r="C15" s="27"/>
      <c r="D15" t="s">
        <v>119</v>
      </c>
    </row>
    <row r="16" spans="2:10" x14ac:dyDescent="0.35">
      <c r="B16" s="24" t="s">
        <v>120</v>
      </c>
      <c r="C16" s="28"/>
      <c r="D16" t="s">
        <v>121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517AC0-E915-4D24-8F88-C56044E5DA57}">
  <dimension ref="B1:E8"/>
  <sheetViews>
    <sheetView zoomScale="190" zoomScaleNormal="190" workbookViewId="0">
      <selection activeCell="I15" sqref="I15"/>
    </sheetView>
  </sheetViews>
  <sheetFormatPr defaultRowHeight="14.5" x14ac:dyDescent="0.35"/>
  <cols>
    <col min="2" max="2" width="19.36328125" customWidth="1"/>
    <col min="3" max="3" width="12.7265625" bestFit="1" customWidth="1"/>
    <col min="5" max="5" width="10.1796875" bestFit="1" customWidth="1"/>
  </cols>
  <sheetData>
    <row r="1" spans="2:5" x14ac:dyDescent="0.35">
      <c r="B1" t="s">
        <v>137</v>
      </c>
    </row>
    <row r="3" spans="2:5" x14ac:dyDescent="0.35">
      <c r="C3" s="21" t="s">
        <v>138</v>
      </c>
      <c r="E3" t="s">
        <v>142</v>
      </c>
    </row>
    <row r="4" spans="2:5" x14ac:dyDescent="0.35">
      <c r="B4" t="s">
        <v>139</v>
      </c>
      <c r="C4" s="20">
        <v>2100000</v>
      </c>
      <c r="D4" s="30"/>
      <c r="E4" s="20"/>
    </row>
    <row r="5" spans="2:5" x14ac:dyDescent="0.35">
      <c r="B5" t="s">
        <v>140</v>
      </c>
      <c r="C5" s="20">
        <v>1200000</v>
      </c>
      <c r="D5" s="30"/>
      <c r="E5" s="20"/>
    </row>
    <row r="6" spans="2:5" x14ac:dyDescent="0.35">
      <c r="B6" t="s">
        <v>141</v>
      </c>
      <c r="C6" s="20">
        <v>225000</v>
      </c>
      <c r="D6" s="30"/>
      <c r="E6" s="20"/>
    </row>
    <row r="7" spans="2:5" x14ac:dyDescent="0.35">
      <c r="B7" t="s">
        <v>143</v>
      </c>
      <c r="C7" s="20">
        <f>SUM(C4:C6)</f>
        <v>3525000</v>
      </c>
      <c r="D7" s="30"/>
      <c r="E7" s="20"/>
    </row>
    <row r="8" spans="2:5" x14ac:dyDescent="0.35">
      <c r="C8" s="20"/>
      <c r="D8" s="20"/>
      <c r="E8" s="20"/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5D5FD4-CFB6-4352-83F4-1ED3BE0E085D}">
  <dimension ref="A1:H15"/>
  <sheetViews>
    <sheetView zoomScale="191" workbookViewId="0">
      <selection activeCell="M17" sqref="M17"/>
    </sheetView>
  </sheetViews>
  <sheetFormatPr defaultRowHeight="14.5" x14ac:dyDescent="0.35"/>
  <cols>
    <col min="7" max="7" width="8.1796875" bestFit="1" customWidth="1"/>
    <col min="8" max="8" width="14.81640625" bestFit="1" customWidth="1"/>
  </cols>
  <sheetData>
    <row r="1" spans="1:8" x14ac:dyDescent="0.35">
      <c r="A1" t="s">
        <v>153</v>
      </c>
    </row>
    <row r="3" spans="1:8" ht="15" thickBot="1" x14ac:dyDescent="0.4">
      <c r="C3" t="s">
        <v>146</v>
      </c>
      <c r="E3" t="s">
        <v>147</v>
      </c>
      <c r="F3" t="s">
        <v>148</v>
      </c>
      <c r="G3" t="s">
        <v>149</v>
      </c>
    </row>
    <row r="4" spans="1:8" x14ac:dyDescent="0.35">
      <c r="A4" t="s">
        <v>45</v>
      </c>
      <c r="C4" t="s">
        <v>151</v>
      </c>
      <c r="G4" s="1" t="s">
        <v>150</v>
      </c>
      <c r="H4" s="5" t="s">
        <v>0</v>
      </c>
    </row>
    <row r="5" spans="1:8" x14ac:dyDescent="0.35">
      <c r="C5" t="s">
        <v>152</v>
      </c>
      <c r="G5" s="6"/>
      <c r="H5" s="7"/>
    </row>
    <row r="6" spans="1:8" x14ac:dyDescent="0.35">
      <c r="A6" s="31">
        <v>45108</v>
      </c>
      <c r="C6" t="s">
        <v>154</v>
      </c>
      <c r="G6" s="6"/>
      <c r="H6" s="7"/>
    </row>
    <row r="7" spans="1:8" x14ac:dyDescent="0.35">
      <c r="C7" s="2">
        <v>-4464</v>
      </c>
      <c r="D7" s="2" t="s">
        <v>157</v>
      </c>
      <c r="G7" s="6"/>
      <c r="H7" s="7"/>
    </row>
    <row r="8" spans="1:8" x14ac:dyDescent="0.35">
      <c r="G8" s="6"/>
      <c r="H8" s="7"/>
    </row>
    <row r="9" spans="1:8" x14ac:dyDescent="0.35">
      <c r="C9" s="2"/>
      <c r="D9" s="2"/>
      <c r="G9" s="6"/>
      <c r="H9" s="7" t="s">
        <v>156</v>
      </c>
    </row>
    <row r="10" spans="1:8" x14ac:dyDescent="0.35">
      <c r="G10" s="6"/>
      <c r="H10" s="7"/>
    </row>
    <row r="11" spans="1:8" x14ac:dyDescent="0.35">
      <c r="G11" s="6"/>
      <c r="H11" s="7"/>
    </row>
    <row r="12" spans="1:8" ht="15" thickBot="1" x14ac:dyDescent="0.4">
      <c r="A12" t="s">
        <v>158</v>
      </c>
      <c r="B12" s="32"/>
      <c r="C12" s="2"/>
      <c r="D12" s="2"/>
      <c r="G12" s="11">
        <v>-2933</v>
      </c>
      <c r="H12" s="13" t="s">
        <v>155</v>
      </c>
    </row>
    <row r="13" spans="1:8" ht="15" thickBot="1" x14ac:dyDescent="0.4"/>
    <row r="14" spans="1:8" x14ac:dyDescent="0.35">
      <c r="A14" s="33">
        <v>45473</v>
      </c>
      <c r="B14" s="4"/>
      <c r="C14" s="4">
        <v>97775</v>
      </c>
      <c r="D14" s="4"/>
      <c r="E14" s="4"/>
      <c r="F14" s="4"/>
      <c r="G14" s="4"/>
      <c r="H14" s="5"/>
    </row>
    <row r="15" spans="1:8" ht="15" thickBot="1" x14ac:dyDescent="0.4">
      <c r="A15" s="11"/>
      <c r="B15" s="12"/>
      <c r="C15" s="34"/>
      <c r="D15" s="35" t="s">
        <v>157</v>
      </c>
      <c r="E15" s="12"/>
      <c r="F15" s="12"/>
      <c r="G15" s="12"/>
      <c r="H15" s="13"/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B3B4EB-20FE-406E-AA57-FA79FE46FEAB}">
  <dimension ref="A3:I15"/>
  <sheetViews>
    <sheetView topLeftCell="A3" zoomScale="189" workbookViewId="0">
      <selection activeCell="H19" sqref="H19"/>
    </sheetView>
  </sheetViews>
  <sheetFormatPr defaultRowHeight="14.5" x14ac:dyDescent="0.35"/>
  <cols>
    <col min="1" max="1" width="9.1796875" bestFit="1" customWidth="1"/>
    <col min="2" max="2" width="27.54296875" bestFit="1" customWidth="1"/>
    <col min="4" max="5" width="4.54296875" customWidth="1"/>
    <col min="6" max="6" width="9.1796875" bestFit="1" customWidth="1"/>
    <col min="7" max="7" width="23.81640625" bestFit="1" customWidth="1"/>
    <col min="8" max="8" width="9.08984375" customWidth="1"/>
    <col min="9" max="9" width="4.54296875" customWidth="1"/>
  </cols>
  <sheetData>
    <row r="3" spans="1:9" ht="15" thickBot="1" x14ac:dyDescent="0.4"/>
    <row r="4" spans="1:9" x14ac:dyDescent="0.35">
      <c r="A4" s="1"/>
      <c r="B4" s="4" t="s">
        <v>159</v>
      </c>
      <c r="C4" s="4"/>
      <c r="D4" s="5"/>
      <c r="F4" s="1"/>
      <c r="G4" s="4" t="s">
        <v>160</v>
      </c>
      <c r="H4" s="4"/>
      <c r="I4" s="5"/>
    </row>
    <row r="5" spans="1:9" x14ac:dyDescent="0.35">
      <c r="A5" s="6"/>
      <c r="C5" s="21" t="s">
        <v>21</v>
      </c>
      <c r="D5" s="36"/>
      <c r="E5" s="21"/>
      <c r="F5" s="6"/>
      <c r="H5" s="21" t="s">
        <v>21</v>
      </c>
      <c r="I5" s="7"/>
    </row>
    <row r="6" spans="1:9" x14ac:dyDescent="0.35">
      <c r="A6" s="37">
        <v>45747</v>
      </c>
      <c r="B6" t="s">
        <v>161</v>
      </c>
      <c r="C6">
        <v>13155.1</v>
      </c>
      <c r="D6" s="7" t="s">
        <v>145</v>
      </c>
      <c r="F6" s="37">
        <v>45747</v>
      </c>
      <c r="G6" t="s">
        <v>162</v>
      </c>
      <c r="H6">
        <v>13204.26</v>
      </c>
      <c r="I6" s="7" t="s">
        <v>144</v>
      </c>
    </row>
    <row r="7" spans="1:9" x14ac:dyDescent="0.35">
      <c r="A7" s="6"/>
      <c r="D7" s="7"/>
      <c r="F7" s="6"/>
      <c r="I7" s="7"/>
    </row>
    <row r="8" spans="1:9" x14ac:dyDescent="0.35">
      <c r="A8" s="6"/>
      <c r="D8" s="7"/>
      <c r="F8" s="6"/>
      <c r="I8" s="7"/>
    </row>
    <row r="9" spans="1:9" x14ac:dyDescent="0.35">
      <c r="A9" s="6"/>
      <c r="D9" s="7"/>
      <c r="F9" s="6"/>
      <c r="I9" s="7"/>
    </row>
    <row r="10" spans="1:9" x14ac:dyDescent="0.35">
      <c r="A10" s="6"/>
      <c r="D10" s="7"/>
      <c r="F10" s="6"/>
      <c r="I10" s="7"/>
    </row>
    <row r="11" spans="1:9" x14ac:dyDescent="0.35">
      <c r="A11" s="6"/>
      <c r="D11" s="7"/>
      <c r="F11" s="6"/>
      <c r="I11" s="7"/>
    </row>
    <row r="12" spans="1:9" x14ac:dyDescent="0.35">
      <c r="A12" s="6"/>
      <c r="D12" s="7"/>
      <c r="F12" s="6"/>
      <c r="I12" s="7"/>
    </row>
    <row r="13" spans="1:9" x14ac:dyDescent="0.35">
      <c r="A13" s="6"/>
      <c r="D13" s="7"/>
      <c r="F13" s="6"/>
      <c r="I13" s="7"/>
    </row>
    <row r="14" spans="1:9" ht="15" thickBot="1" x14ac:dyDescent="0.4">
      <c r="A14" s="6"/>
      <c r="B14" t="s">
        <v>165</v>
      </c>
      <c r="C14" s="9">
        <f>SUM(C6:C12)</f>
        <v>13155.1</v>
      </c>
      <c r="D14" s="7"/>
      <c r="F14" s="11"/>
      <c r="G14" t="s">
        <v>165</v>
      </c>
      <c r="H14" s="38"/>
      <c r="I14" s="13"/>
    </row>
    <row r="15" spans="1:9" ht="15" thickBot="1" x14ac:dyDescent="0.4">
      <c r="A15" s="11"/>
      <c r="B15" s="12"/>
      <c r="C15" s="12"/>
      <c r="D15" s="13"/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173185-2CD5-4FD1-A6A2-DD35F0C3D689}">
  <dimension ref="A15:H29"/>
  <sheetViews>
    <sheetView tabSelected="1" zoomScale="181" workbookViewId="0">
      <selection activeCell="C26" sqref="C26"/>
    </sheetView>
  </sheetViews>
  <sheetFormatPr defaultRowHeight="14.5" x14ac:dyDescent="0.35"/>
  <cols>
    <col min="2" max="2" width="24.08984375" customWidth="1"/>
    <col min="8" max="8" width="15.26953125" bestFit="1" customWidth="1"/>
  </cols>
  <sheetData>
    <row r="15" spans="1:4" x14ac:dyDescent="0.35">
      <c r="A15" t="s">
        <v>45</v>
      </c>
      <c r="B15" t="s">
        <v>0</v>
      </c>
      <c r="C15" t="s">
        <v>167</v>
      </c>
      <c r="D15" t="s">
        <v>166</v>
      </c>
    </row>
    <row r="16" spans="1:4" x14ac:dyDescent="0.35">
      <c r="A16" s="39">
        <v>37165</v>
      </c>
      <c r="B16" t="s">
        <v>168</v>
      </c>
    </row>
    <row r="17" spans="1:8" x14ac:dyDescent="0.35">
      <c r="B17" t="s">
        <v>169</v>
      </c>
    </row>
    <row r="18" spans="1:8" ht="15" thickBot="1" x14ac:dyDescent="0.4">
      <c r="B18" t="s">
        <v>170</v>
      </c>
    </row>
    <row r="19" spans="1:8" x14ac:dyDescent="0.35">
      <c r="G19" s="1"/>
      <c r="H19" s="5" t="s">
        <v>179</v>
      </c>
    </row>
    <row r="20" spans="1:8" x14ac:dyDescent="0.35">
      <c r="A20" s="39">
        <v>11597</v>
      </c>
      <c r="B20" t="s">
        <v>171</v>
      </c>
      <c r="G20" s="6"/>
      <c r="H20" s="7" t="s">
        <v>180</v>
      </c>
    </row>
    <row r="21" spans="1:8" x14ac:dyDescent="0.35">
      <c r="B21" t="s">
        <v>172</v>
      </c>
      <c r="G21" s="6"/>
      <c r="H21" s="7" t="s">
        <v>180</v>
      </c>
    </row>
    <row r="22" spans="1:8" x14ac:dyDescent="0.35">
      <c r="B22" t="s">
        <v>173</v>
      </c>
      <c r="G22" s="6"/>
      <c r="H22" s="7" t="s">
        <v>180</v>
      </c>
    </row>
    <row r="23" spans="1:8" x14ac:dyDescent="0.35">
      <c r="B23" t="s">
        <v>174</v>
      </c>
      <c r="G23" s="6"/>
      <c r="H23" s="7" t="s">
        <v>180</v>
      </c>
    </row>
    <row r="24" spans="1:8" x14ac:dyDescent="0.35">
      <c r="B24" t="s">
        <v>181</v>
      </c>
      <c r="G24" s="6"/>
      <c r="H24" s="7" t="s">
        <v>175</v>
      </c>
    </row>
    <row r="25" spans="1:8" x14ac:dyDescent="0.35">
      <c r="B25" t="s">
        <v>169</v>
      </c>
      <c r="G25" s="6"/>
      <c r="H25" s="7" t="s">
        <v>176</v>
      </c>
    </row>
    <row r="26" spans="1:8" x14ac:dyDescent="0.35">
      <c r="G26" s="6"/>
      <c r="H26" s="7" t="s">
        <v>177</v>
      </c>
    </row>
    <row r="27" spans="1:8" ht="15" thickBot="1" x14ac:dyDescent="0.4">
      <c r="A27" s="39">
        <v>11597</v>
      </c>
      <c r="B27" t="s">
        <v>168</v>
      </c>
      <c r="G27" s="11"/>
      <c r="H27" s="13" t="s">
        <v>178</v>
      </c>
    </row>
    <row r="28" spans="1:8" x14ac:dyDescent="0.35">
      <c r="B28" t="s">
        <v>169</v>
      </c>
    </row>
    <row r="29" spans="1:8" x14ac:dyDescent="0.35">
      <c r="B29" t="s">
        <v>182</v>
      </c>
    </row>
  </sheetData>
  <pageMargins left="0.7" right="0.7" top="0.75" bottom="0.75" header="0.3" footer="0.3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3D6BC-EBCC-4192-91D8-66369F108705}">
  <dimension ref="A1"/>
  <sheetViews>
    <sheetView workbookViewId="0">
      <selection activeCell="J30" sqref="J30"/>
    </sheetView>
  </sheetViews>
  <sheetFormatPr defaultRowHeight="14.5" x14ac:dyDescent="0.3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9224A3-BF25-475F-8A17-DF5844F08EA8}">
  <dimension ref="B1:J16"/>
  <sheetViews>
    <sheetView zoomScale="191" workbookViewId="0">
      <selection activeCell="E14" sqref="E14"/>
    </sheetView>
  </sheetViews>
  <sheetFormatPr defaultRowHeight="14.5" x14ac:dyDescent="0.35"/>
  <cols>
    <col min="2" max="2" width="24.6328125" customWidth="1"/>
    <col min="3" max="3" width="12.6328125" bestFit="1" customWidth="1"/>
    <col min="6" max="6" width="16.36328125" customWidth="1"/>
    <col min="8" max="8" width="10.1796875" bestFit="1" customWidth="1"/>
    <col min="10" max="10" width="10.1796875" bestFit="1" customWidth="1"/>
  </cols>
  <sheetData>
    <row r="1" spans="2:10" x14ac:dyDescent="0.35">
      <c r="B1" t="s">
        <v>113</v>
      </c>
      <c r="H1" t="s">
        <v>123</v>
      </c>
      <c r="J1" t="s">
        <v>124</v>
      </c>
    </row>
    <row r="2" spans="2:10" x14ac:dyDescent="0.35">
      <c r="C2" s="21" t="s">
        <v>21</v>
      </c>
      <c r="H2" t="s">
        <v>122</v>
      </c>
      <c r="J2" s="29">
        <v>45962</v>
      </c>
    </row>
    <row r="3" spans="2:10" x14ac:dyDescent="0.35">
      <c r="B3" t="s">
        <v>93</v>
      </c>
      <c r="C3" s="20">
        <v>100000</v>
      </c>
      <c r="D3" t="s">
        <v>94</v>
      </c>
      <c r="F3" t="s">
        <v>125</v>
      </c>
      <c r="G3" t="s">
        <v>127</v>
      </c>
      <c r="H3">
        <v>12</v>
      </c>
      <c r="J3">
        <v>8</v>
      </c>
    </row>
    <row r="4" spans="2:10" x14ac:dyDescent="0.35">
      <c r="B4" t="s">
        <v>95</v>
      </c>
      <c r="C4" s="20"/>
      <c r="F4" t="s">
        <v>126</v>
      </c>
      <c r="G4" t="s">
        <v>128</v>
      </c>
      <c r="H4">
        <v>95000</v>
      </c>
      <c r="J4">
        <v>55000</v>
      </c>
    </row>
    <row r="5" spans="2:10" x14ac:dyDescent="0.35">
      <c r="B5" t="s">
        <v>96</v>
      </c>
      <c r="C5" s="20">
        <v>3500</v>
      </c>
      <c r="D5" t="s">
        <v>99</v>
      </c>
    </row>
    <row r="6" spans="2:10" x14ac:dyDescent="0.35">
      <c r="B6" t="s">
        <v>97</v>
      </c>
      <c r="C6" s="20">
        <v>20000</v>
      </c>
      <c r="D6" t="s">
        <v>100</v>
      </c>
      <c r="F6" t="s">
        <v>129</v>
      </c>
    </row>
    <row r="7" spans="2:10" x14ac:dyDescent="0.35">
      <c r="B7" s="24" t="s">
        <v>98</v>
      </c>
      <c r="C7" s="25">
        <f>SUM(C3:C6)</f>
        <v>123500</v>
      </c>
      <c r="D7" t="s">
        <v>101</v>
      </c>
      <c r="F7" t="s">
        <v>130</v>
      </c>
      <c r="G7" t="s">
        <v>112</v>
      </c>
      <c r="H7">
        <f>C13</f>
        <v>19700</v>
      </c>
      <c r="I7" t="s">
        <v>133</v>
      </c>
      <c r="J7">
        <f>C14*8</f>
        <v>13133.333333333334</v>
      </c>
    </row>
    <row r="8" spans="2:10" x14ac:dyDescent="0.35">
      <c r="B8" t="s">
        <v>102</v>
      </c>
      <c r="C8" s="20">
        <v>25000</v>
      </c>
      <c r="D8" t="s">
        <v>104</v>
      </c>
      <c r="F8" t="s">
        <v>131</v>
      </c>
      <c r="G8" t="s">
        <v>134</v>
      </c>
      <c r="H8" s="22">
        <f>C7*C16</f>
        <v>33345</v>
      </c>
      <c r="I8" t="s">
        <v>135</v>
      </c>
      <c r="J8" s="22">
        <f>H8*8/12</f>
        <v>22230</v>
      </c>
    </row>
    <row r="9" spans="2:10" x14ac:dyDescent="0.35">
      <c r="B9" s="24" t="s">
        <v>103</v>
      </c>
      <c r="C9" s="26">
        <f>C7-C8</f>
        <v>98500</v>
      </c>
      <c r="D9" t="s">
        <v>105</v>
      </c>
      <c r="F9" t="s">
        <v>132</v>
      </c>
      <c r="G9" t="s">
        <v>136</v>
      </c>
      <c r="H9" s="23">
        <f>H4*C15</f>
        <v>20794.444444444445</v>
      </c>
      <c r="I9" t="s">
        <v>136</v>
      </c>
      <c r="J9" s="23">
        <f>J4*C15</f>
        <v>12038.888888888889</v>
      </c>
    </row>
    <row r="10" spans="2:10" x14ac:dyDescent="0.35">
      <c r="B10" t="s">
        <v>107</v>
      </c>
      <c r="C10" s="22">
        <v>5</v>
      </c>
      <c r="D10" t="s">
        <v>106</v>
      </c>
    </row>
    <row r="11" spans="2:10" x14ac:dyDescent="0.35">
      <c r="B11" t="s">
        <v>108</v>
      </c>
      <c r="C11" s="22">
        <f>C10*12</f>
        <v>60</v>
      </c>
      <c r="D11" t="s">
        <v>109</v>
      </c>
    </row>
    <row r="12" spans="2:10" x14ac:dyDescent="0.35">
      <c r="B12" t="s">
        <v>110</v>
      </c>
      <c r="C12">
        <v>450000</v>
      </c>
      <c r="D12" t="s">
        <v>111</v>
      </c>
    </row>
    <row r="13" spans="2:10" x14ac:dyDescent="0.35">
      <c r="B13" s="24" t="s">
        <v>114</v>
      </c>
      <c r="C13" s="24">
        <f>C9/C10</f>
        <v>19700</v>
      </c>
      <c r="D13" t="s">
        <v>116</v>
      </c>
    </row>
    <row r="14" spans="2:10" x14ac:dyDescent="0.35">
      <c r="B14" s="24" t="s">
        <v>115</v>
      </c>
      <c r="C14" s="24">
        <f>C9/C11</f>
        <v>1641.6666666666667</v>
      </c>
      <c r="D14" t="s">
        <v>117</v>
      </c>
    </row>
    <row r="15" spans="2:10" x14ac:dyDescent="0.35">
      <c r="B15" s="24" t="s">
        <v>118</v>
      </c>
      <c r="C15" s="27">
        <f>C9/C12</f>
        <v>0.21888888888888888</v>
      </c>
      <c r="D15" t="s">
        <v>119</v>
      </c>
    </row>
    <row r="16" spans="2:10" x14ac:dyDescent="0.35">
      <c r="B16" s="24" t="s">
        <v>120</v>
      </c>
      <c r="C16" s="28">
        <v>0.27</v>
      </c>
      <c r="D16" t="s">
        <v>121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2D1BE4-1430-4C48-B2AD-C0CB6A2ED14B}">
  <dimension ref="B1:F8"/>
  <sheetViews>
    <sheetView zoomScale="190" zoomScaleNormal="190" workbookViewId="0">
      <selection activeCell="J16" sqref="J16"/>
    </sheetView>
  </sheetViews>
  <sheetFormatPr defaultRowHeight="14.5" x14ac:dyDescent="0.35"/>
  <cols>
    <col min="2" max="2" width="19.36328125" customWidth="1"/>
    <col min="3" max="3" width="12.7265625" bestFit="1" customWidth="1"/>
    <col min="5" max="5" width="10.1796875" bestFit="1" customWidth="1"/>
  </cols>
  <sheetData>
    <row r="1" spans="2:6" x14ac:dyDescent="0.35">
      <c r="B1" t="s">
        <v>137</v>
      </c>
    </row>
    <row r="3" spans="2:6" x14ac:dyDescent="0.35">
      <c r="C3" s="21" t="s">
        <v>138</v>
      </c>
      <c r="E3" t="s">
        <v>142</v>
      </c>
    </row>
    <row r="4" spans="2:6" x14ac:dyDescent="0.35">
      <c r="B4" t="s">
        <v>139</v>
      </c>
      <c r="C4" s="20">
        <v>2100000</v>
      </c>
      <c r="D4" s="30">
        <f>C4/C$7</f>
        <v>0.5957446808510638</v>
      </c>
      <c r="E4" s="20">
        <f>D4*E$7</f>
        <v>2144680.8510638298</v>
      </c>
      <c r="F4" t="s">
        <v>144</v>
      </c>
    </row>
    <row r="5" spans="2:6" x14ac:dyDescent="0.35">
      <c r="B5" t="s">
        <v>140</v>
      </c>
      <c r="C5" s="20">
        <v>1200000</v>
      </c>
      <c r="D5" s="30">
        <f t="shared" ref="D5:D7" si="0">C5/C$7</f>
        <v>0.34042553191489361</v>
      </c>
      <c r="E5" s="20">
        <f t="shared" ref="E5:E6" si="1">D5*E$7</f>
        <v>1225531.9148936169</v>
      </c>
      <c r="F5" t="s">
        <v>144</v>
      </c>
    </row>
    <row r="6" spans="2:6" x14ac:dyDescent="0.35">
      <c r="B6" t="s">
        <v>141</v>
      </c>
      <c r="C6" s="20">
        <v>225000</v>
      </c>
      <c r="D6" s="30">
        <f t="shared" si="0"/>
        <v>6.3829787234042548E-2</v>
      </c>
      <c r="E6" s="20">
        <f t="shared" si="1"/>
        <v>229787.23404255317</v>
      </c>
      <c r="F6" t="s">
        <v>144</v>
      </c>
    </row>
    <row r="7" spans="2:6" x14ac:dyDescent="0.35">
      <c r="B7" t="s">
        <v>143</v>
      </c>
      <c r="C7" s="20">
        <f>SUM(C4:C6)</f>
        <v>3525000</v>
      </c>
      <c r="D7" s="30">
        <f t="shared" si="0"/>
        <v>1</v>
      </c>
      <c r="E7" s="20">
        <v>3600000</v>
      </c>
      <c r="F7" t="s">
        <v>145</v>
      </c>
    </row>
    <row r="8" spans="2:6" x14ac:dyDescent="0.35">
      <c r="C8" s="20"/>
      <c r="D8" s="20"/>
      <c r="E8" s="20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8B443F-15B4-4CC2-80C5-607CD72AEA63}">
  <dimension ref="A1:H15"/>
  <sheetViews>
    <sheetView zoomScale="191" workbookViewId="0">
      <selection activeCell="E28" sqref="E28"/>
    </sheetView>
  </sheetViews>
  <sheetFormatPr defaultRowHeight="14.5" x14ac:dyDescent="0.35"/>
  <cols>
    <col min="7" max="7" width="8.1796875" bestFit="1" customWidth="1"/>
    <col min="8" max="8" width="14.81640625" bestFit="1" customWidth="1"/>
  </cols>
  <sheetData>
    <row r="1" spans="1:8" x14ac:dyDescent="0.35">
      <c r="A1" t="s">
        <v>153</v>
      </c>
    </row>
    <row r="3" spans="1:8" ht="15" thickBot="1" x14ac:dyDescent="0.4">
      <c r="C3" t="s">
        <v>146</v>
      </c>
      <c r="E3" t="s">
        <v>147</v>
      </c>
      <c r="F3" t="s">
        <v>148</v>
      </c>
      <c r="G3" t="s">
        <v>149</v>
      </c>
    </row>
    <row r="4" spans="1:8" x14ac:dyDescent="0.35">
      <c r="A4" t="s">
        <v>45</v>
      </c>
      <c r="C4" t="s">
        <v>151</v>
      </c>
      <c r="G4" s="1" t="s">
        <v>150</v>
      </c>
      <c r="H4" s="5" t="s">
        <v>0</v>
      </c>
    </row>
    <row r="5" spans="1:8" x14ac:dyDescent="0.35">
      <c r="C5" t="s">
        <v>152</v>
      </c>
      <c r="G5" s="6"/>
      <c r="H5" s="7"/>
    </row>
    <row r="6" spans="1:8" x14ac:dyDescent="0.35">
      <c r="A6" s="31">
        <v>45108</v>
      </c>
      <c r="C6" t="s">
        <v>154</v>
      </c>
      <c r="G6" s="6"/>
      <c r="H6" s="7"/>
    </row>
    <row r="7" spans="1:8" x14ac:dyDescent="0.35">
      <c r="C7" s="2">
        <v>-4464</v>
      </c>
      <c r="D7" s="2" t="s">
        <v>157</v>
      </c>
      <c r="G7" s="6"/>
      <c r="H7" s="7"/>
    </row>
    <row r="8" spans="1:8" x14ac:dyDescent="0.35">
      <c r="G8" s="6"/>
      <c r="H8" s="7"/>
    </row>
    <row r="9" spans="1:8" x14ac:dyDescent="0.35">
      <c r="C9" s="2">
        <v>3132</v>
      </c>
      <c r="D9" s="2" t="s">
        <v>157</v>
      </c>
      <c r="G9" s="6"/>
      <c r="H9" s="7" t="s">
        <v>156</v>
      </c>
    </row>
    <row r="10" spans="1:8" x14ac:dyDescent="0.35">
      <c r="C10">
        <v>-3132</v>
      </c>
      <c r="D10" t="s">
        <v>151</v>
      </c>
      <c r="G10" s="6"/>
      <c r="H10" s="7"/>
    </row>
    <row r="11" spans="1:8" x14ac:dyDescent="0.35">
      <c r="G11" s="6"/>
      <c r="H11" s="7"/>
    </row>
    <row r="12" spans="1:8" ht="15" thickBot="1" x14ac:dyDescent="0.4">
      <c r="A12" t="s">
        <v>158</v>
      </c>
      <c r="B12" s="32"/>
      <c r="C12" s="2">
        <v>-2933</v>
      </c>
      <c r="D12" s="2" t="s">
        <v>157</v>
      </c>
      <c r="G12" s="11">
        <v>-2933</v>
      </c>
      <c r="H12" s="13" t="s">
        <v>155</v>
      </c>
    </row>
    <row r="13" spans="1:8" ht="15" thickBot="1" x14ac:dyDescent="0.4"/>
    <row r="14" spans="1:8" x14ac:dyDescent="0.35">
      <c r="A14" s="33">
        <v>45473</v>
      </c>
      <c r="B14" s="4"/>
      <c r="C14" s="4">
        <v>97775</v>
      </c>
      <c r="D14" s="4"/>
      <c r="E14" s="4"/>
      <c r="F14" s="4"/>
      <c r="G14" s="4"/>
      <c r="H14" s="5"/>
    </row>
    <row r="15" spans="1:8" ht="15" thickBot="1" x14ac:dyDescent="0.4">
      <c r="A15" s="11"/>
      <c r="B15" s="12"/>
      <c r="C15" s="34">
        <f>C7+C9+C12</f>
        <v>-4265</v>
      </c>
      <c r="D15" s="35" t="s">
        <v>157</v>
      </c>
      <c r="E15" s="12"/>
      <c r="F15" s="12"/>
      <c r="G15" s="12"/>
      <c r="H15" s="13"/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07160-46EF-4AA3-8C51-7CF537925F8E}">
  <dimension ref="A3:I15"/>
  <sheetViews>
    <sheetView topLeftCell="A3" zoomScale="189" workbookViewId="0">
      <selection activeCell="I17" sqref="I17"/>
    </sheetView>
  </sheetViews>
  <sheetFormatPr defaultRowHeight="14.5" x14ac:dyDescent="0.35"/>
  <cols>
    <col min="1" max="1" width="9.1796875" bestFit="1" customWidth="1"/>
    <col min="2" max="2" width="27.54296875" bestFit="1" customWidth="1"/>
    <col min="4" max="5" width="4.54296875" customWidth="1"/>
    <col min="6" max="6" width="9.1796875" bestFit="1" customWidth="1"/>
    <col min="7" max="7" width="23.81640625" bestFit="1" customWidth="1"/>
    <col min="8" max="8" width="9.08984375" customWidth="1"/>
    <col min="9" max="9" width="4.54296875" customWidth="1"/>
  </cols>
  <sheetData>
    <row r="3" spans="1:9" ht="15" thickBot="1" x14ac:dyDescent="0.4"/>
    <row r="4" spans="1:9" x14ac:dyDescent="0.35">
      <c r="A4" s="1"/>
      <c r="B4" s="4" t="s">
        <v>159</v>
      </c>
      <c r="C4" s="4"/>
      <c r="D4" s="5"/>
      <c r="F4" s="1"/>
      <c r="G4" s="4" t="s">
        <v>160</v>
      </c>
      <c r="H4" s="4"/>
      <c r="I4" s="5"/>
    </row>
    <row r="5" spans="1:9" x14ac:dyDescent="0.35">
      <c r="A5" s="6"/>
      <c r="C5" s="21" t="s">
        <v>21</v>
      </c>
      <c r="D5" s="36"/>
      <c r="E5" s="21"/>
      <c r="F5" s="6"/>
      <c r="H5" s="21" t="s">
        <v>21</v>
      </c>
      <c r="I5" s="7"/>
    </row>
    <row r="6" spans="1:9" x14ac:dyDescent="0.35">
      <c r="A6" s="37">
        <v>45747</v>
      </c>
      <c r="B6" t="s">
        <v>161</v>
      </c>
      <c r="C6">
        <v>13155.1</v>
      </c>
      <c r="D6" s="7" t="s">
        <v>145</v>
      </c>
      <c r="F6" s="37">
        <v>45747</v>
      </c>
      <c r="G6" t="s">
        <v>162</v>
      </c>
      <c r="H6">
        <v>13204.26</v>
      </c>
      <c r="I6" s="7" t="s">
        <v>144</v>
      </c>
    </row>
    <row r="7" spans="1:9" x14ac:dyDescent="0.35">
      <c r="A7" s="6"/>
      <c r="B7" t="s">
        <v>163</v>
      </c>
      <c r="D7" s="7"/>
      <c r="F7" s="6"/>
      <c r="I7" s="7"/>
    </row>
    <row r="8" spans="1:9" x14ac:dyDescent="0.35">
      <c r="A8" s="6"/>
      <c r="B8">
        <v>41</v>
      </c>
      <c r="C8">
        <v>-339.5</v>
      </c>
      <c r="D8" s="7"/>
      <c r="F8" s="6"/>
      <c r="I8" s="7"/>
    </row>
    <row r="9" spans="1:9" x14ac:dyDescent="0.35">
      <c r="A9" s="6"/>
      <c r="B9">
        <v>43</v>
      </c>
      <c r="C9">
        <v>-262.64</v>
      </c>
      <c r="D9" s="7"/>
      <c r="F9" s="6"/>
      <c r="I9" s="7"/>
    </row>
    <row r="10" spans="1:9" x14ac:dyDescent="0.35">
      <c r="A10" s="6"/>
      <c r="B10">
        <v>46</v>
      </c>
      <c r="C10">
        <v>-423.9</v>
      </c>
      <c r="D10" s="7"/>
      <c r="F10" s="6"/>
      <c r="I10" s="7"/>
    </row>
    <row r="11" spans="1:9" x14ac:dyDescent="0.35">
      <c r="A11" s="6"/>
      <c r="B11">
        <v>51</v>
      </c>
      <c r="C11">
        <v>-195.1</v>
      </c>
      <c r="D11" s="7"/>
      <c r="F11" s="6"/>
      <c r="I11" s="7"/>
    </row>
    <row r="12" spans="1:9" x14ac:dyDescent="0.35">
      <c r="A12" s="6"/>
      <c r="B12" t="s">
        <v>164</v>
      </c>
      <c r="C12">
        <v>1270.3</v>
      </c>
      <c r="D12" s="7"/>
      <c r="F12" s="6"/>
      <c r="I12" s="7"/>
    </row>
    <row r="13" spans="1:9" x14ac:dyDescent="0.35">
      <c r="A13" s="6"/>
      <c r="D13" s="7"/>
      <c r="F13" s="6"/>
      <c r="I13" s="7"/>
    </row>
    <row r="14" spans="1:9" ht="15" thickBot="1" x14ac:dyDescent="0.4">
      <c r="A14" s="6"/>
      <c r="B14" t="s">
        <v>165</v>
      </c>
      <c r="C14" s="9">
        <f>SUM(C6:C12)</f>
        <v>13204.26</v>
      </c>
      <c r="D14" s="7"/>
      <c r="F14" s="11"/>
      <c r="G14" t="s">
        <v>165</v>
      </c>
      <c r="H14" s="38">
        <f>SUM(H6:H13)</f>
        <v>13204.26</v>
      </c>
      <c r="I14" s="13"/>
    </row>
    <row r="15" spans="1:9" ht="15" thickBot="1" x14ac:dyDescent="0.4">
      <c r="A15" s="11"/>
      <c r="B15" s="12"/>
      <c r="C15" s="12"/>
      <c r="D15" s="13"/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CE5C6D-9145-404E-AE04-EA45197AE9CA}">
  <dimension ref="A15:H29"/>
  <sheetViews>
    <sheetView zoomScale="181" workbookViewId="0">
      <selection activeCell="I13" sqref="I13"/>
    </sheetView>
  </sheetViews>
  <sheetFormatPr defaultRowHeight="14.5" x14ac:dyDescent="0.35"/>
  <cols>
    <col min="2" max="2" width="24.08984375" customWidth="1"/>
    <col min="8" max="8" width="15.26953125" bestFit="1" customWidth="1"/>
  </cols>
  <sheetData>
    <row r="15" spans="1:4" x14ac:dyDescent="0.35">
      <c r="A15" t="s">
        <v>45</v>
      </c>
      <c r="B15" t="s">
        <v>0</v>
      </c>
      <c r="C15" t="s">
        <v>167</v>
      </c>
      <c r="D15" t="s">
        <v>166</v>
      </c>
    </row>
    <row r="16" spans="1:4" x14ac:dyDescent="0.35">
      <c r="A16" s="39">
        <v>37165</v>
      </c>
      <c r="B16" t="s">
        <v>168</v>
      </c>
      <c r="C16">
        <v>130</v>
      </c>
    </row>
    <row r="17" spans="1:8" x14ac:dyDescent="0.35">
      <c r="B17" t="s">
        <v>169</v>
      </c>
      <c r="D17">
        <v>130</v>
      </c>
    </row>
    <row r="18" spans="1:8" ht="15" thickBot="1" x14ac:dyDescent="0.4">
      <c r="B18" t="s">
        <v>170</v>
      </c>
    </row>
    <row r="19" spans="1:8" x14ac:dyDescent="0.35">
      <c r="G19" s="1">
        <v>130</v>
      </c>
      <c r="H19" s="5" t="s">
        <v>179</v>
      </c>
    </row>
    <row r="20" spans="1:8" x14ac:dyDescent="0.35">
      <c r="A20" s="39">
        <v>11597</v>
      </c>
      <c r="B20" t="s">
        <v>171</v>
      </c>
      <c r="C20">
        <v>36.5</v>
      </c>
      <c r="G20" s="6">
        <v>36.5</v>
      </c>
      <c r="H20" s="7" t="s">
        <v>180</v>
      </c>
    </row>
    <row r="21" spans="1:8" x14ac:dyDescent="0.35">
      <c r="B21" t="s">
        <v>172</v>
      </c>
      <c r="C21">
        <v>21.3</v>
      </c>
      <c r="G21" s="6">
        <v>21.3</v>
      </c>
      <c r="H21" s="7" t="s">
        <v>180</v>
      </c>
    </row>
    <row r="22" spans="1:8" x14ac:dyDescent="0.35">
      <c r="B22" t="s">
        <v>173</v>
      </c>
      <c r="C22">
        <v>53.7</v>
      </c>
      <c r="G22" s="6">
        <v>53.7</v>
      </c>
      <c r="H22" s="7" t="s">
        <v>180</v>
      </c>
    </row>
    <row r="23" spans="1:8" x14ac:dyDescent="0.35">
      <c r="B23" t="s">
        <v>174</v>
      </c>
      <c r="C23">
        <v>8.8000000000000007</v>
      </c>
      <c r="G23" s="6">
        <v>8.8000000000000007</v>
      </c>
      <c r="H23" s="7" t="s">
        <v>180</v>
      </c>
    </row>
    <row r="24" spans="1:8" x14ac:dyDescent="0.35">
      <c r="B24" t="s">
        <v>181</v>
      </c>
      <c r="C24">
        <v>1.4</v>
      </c>
      <c r="G24" s="6">
        <f>SUM(G20:G23)</f>
        <v>120.3</v>
      </c>
      <c r="H24" s="7" t="s">
        <v>175</v>
      </c>
    </row>
    <row r="25" spans="1:8" x14ac:dyDescent="0.35">
      <c r="B25" t="s">
        <v>169</v>
      </c>
      <c r="D25">
        <f>SUM(C20:C24)</f>
        <v>121.7</v>
      </c>
      <c r="G25" s="6">
        <f>G19-G24</f>
        <v>9.7000000000000028</v>
      </c>
      <c r="H25" s="7" t="s">
        <v>176</v>
      </c>
    </row>
    <row r="26" spans="1:8" x14ac:dyDescent="0.35">
      <c r="G26" s="6">
        <v>8.3000000000000007</v>
      </c>
      <c r="H26" s="7" t="s">
        <v>177</v>
      </c>
    </row>
    <row r="27" spans="1:8" ht="15" thickBot="1" x14ac:dyDescent="0.4">
      <c r="A27" s="39">
        <v>11597</v>
      </c>
      <c r="B27" t="s">
        <v>168</v>
      </c>
      <c r="C27">
        <v>130</v>
      </c>
      <c r="G27" s="11">
        <f>G25-G26</f>
        <v>1.4000000000000021</v>
      </c>
      <c r="H27" s="13" t="s">
        <v>178</v>
      </c>
    </row>
    <row r="28" spans="1:8" x14ac:dyDescent="0.35">
      <c r="B28" t="s">
        <v>169</v>
      </c>
      <c r="D28">
        <v>130</v>
      </c>
    </row>
    <row r="29" spans="1:8" x14ac:dyDescent="0.35">
      <c r="B29" t="s">
        <v>182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System</vt:lpstr>
      <vt:lpstr>System (2)</vt:lpstr>
      <vt:lpstr>Key Concepts</vt:lpstr>
      <vt:lpstr>Ex14.4</vt:lpstr>
      <vt:lpstr>Sheet2</vt:lpstr>
      <vt:lpstr>Ex12.2</vt:lpstr>
      <vt:lpstr>Ex 11.7</vt:lpstr>
      <vt:lpstr>Ex 11.10</vt:lpstr>
      <vt:lpstr>ANSWERS</vt:lpstr>
      <vt:lpstr>Ex14.4 (2)</vt:lpstr>
      <vt:lpstr>Sheet2 (2)</vt:lpstr>
      <vt:lpstr>Ex12.2 (2)</vt:lpstr>
      <vt:lpstr>Ex 11.7 (2)</vt:lpstr>
      <vt:lpstr>Ex 11.10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Manek Mukesh</dc:creator>
  <cp:lastModifiedBy>Manek Mukesh</cp:lastModifiedBy>
  <dcterms:created xsi:type="dcterms:W3CDTF">2025-04-16T00:58:25Z</dcterms:created>
  <dcterms:modified xsi:type="dcterms:W3CDTF">2025-05-15T04:01:55Z</dcterms:modified>
</cp:coreProperties>
</file>