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Desktop\SIM-UOW-Mods\ACCY122\Tutorial\T04\"/>
    </mc:Choice>
  </mc:AlternateContent>
  <xr:revisionPtr revIDLastSave="0" documentId="13_ncr:1_{6B6B0643-DD10-4CD4-AFCE-07E66CEB65A7}" xr6:coauthVersionLast="47" xr6:coauthVersionMax="47" xr10:uidLastSave="{00000000-0000-0000-0000-000000000000}"/>
  <bookViews>
    <workbookView xWindow="-120" yWindow="-120" windowWidth="29040" windowHeight="15720" tabRatio="802" activeTab="10" xr2:uid="{98A3E0AE-1528-4E92-82CE-4DA2D69F6A7C}"/>
  </bookViews>
  <sheets>
    <sheet name="System" sheetId="4" r:id="rId1"/>
    <sheet name="System (2)" sheetId="5" r:id="rId2"/>
    <sheet name="Key Concepts" sheetId="22" r:id="rId3"/>
    <sheet name="Ex 6.7" sheetId="31" r:id="rId4"/>
    <sheet name="Ex 6.8" sheetId="24" r:id="rId5"/>
    <sheet name="Ex 13.5Q" sheetId="23" r:id="rId6"/>
    <sheet name="P 13.16" sheetId="26" r:id="rId7"/>
    <sheet name="P 7.21" sheetId="27" r:id="rId8"/>
    <sheet name="ANSWERS" sheetId="7" r:id="rId9"/>
    <sheet name="Ex 13.5A" sheetId="25" r:id="rId10"/>
    <sheet name="Ex 6.8 (A)" sheetId="28" r:id="rId11"/>
    <sheet name="P 13.16 (A)" sheetId="29" r:id="rId12"/>
    <sheet name="Ex 13.5(A)" sheetId="30" r:id="rId13"/>
    <sheet name="Ex 13.2 (A)" sheetId="3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23" l="1"/>
  <c r="N61" i="23"/>
  <c r="J61" i="23"/>
  <c r="N59" i="23"/>
  <c r="M59" i="23" s="1"/>
  <c r="L59" i="23"/>
  <c r="J59" i="23"/>
  <c r="I59" i="23"/>
  <c r="M57" i="23"/>
  <c r="N57" i="23"/>
  <c r="L57" i="23"/>
  <c r="J57" i="23"/>
  <c r="I57" i="23"/>
  <c r="M55" i="23"/>
  <c r="N55" i="23"/>
  <c r="L55" i="23"/>
  <c r="M53" i="23"/>
  <c r="N53" i="23"/>
  <c r="L53" i="23"/>
  <c r="J53" i="23"/>
  <c r="I53" i="23"/>
  <c r="M51" i="23"/>
  <c r="N51" i="23"/>
  <c r="L51" i="23"/>
  <c r="Z31" i="26"/>
  <c r="Z32" i="26" s="1"/>
  <c r="S31" i="26"/>
  <c r="S32" i="26" s="1"/>
  <c r="L31" i="26"/>
  <c r="L32" i="26"/>
  <c r="E32" i="26"/>
  <c r="E31" i="26"/>
  <c r="X24" i="26"/>
  <c r="X25" i="26"/>
  <c r="Z25" i="26" s="1"/>
  <c r="X26" i="26"/>
  <c r="X27" i="26"/>
  <c r="X23" i="26"/>
  <c r="Z23" i="26" s="1"/>
  <c r="Z27" i="26"/>
  <c r="Z26" i="26"/>
  <c r="Z24" i="26"/>
  <c r="S28" i="26"/>
  <c r="R28" i="26"/>
  <c r="R20" i="26"/>
  <c r="S20" i="26"/>
  <c r="R9" i="26"/>
  <c r="J24" i="26"/>
  <c r="L24" i="26" s="1"/>
  <c r="J25" i="26"/>
  <c r="L25" i="26" s="1"/>
  <c r="J26" i="26"/>
  <c r="L26" i="26" s="1"/>
  <c r="J27" i="26"/>
  <c r="L27" i="26" s="1"/>
  <c r="J23" i="26"/>
  <c r="L23" i="26" s="1"/>
  <c r="L19" i="26"/>
  <c r="L18" i="26"/>
  <c r="L17" i="26"/>
  <c r="L16" i="26"/>
  <c r="L15" i="26"/>
  <c r="C24" i="26"/>
  <c r="C25" i="26"/>
  <c r="C26" i="26"/>
  <c r="C27" i="26"/>
  <c r="C23" i="26"/>
  <c r="F81" i="30" l="1"/>
  <c r="N69" i="30"/>
  <c r="N68" i="30"/>
  <c r="M68" i="30"/>
  <c r="L68" i="30"/>
  <c r="J81" i="30"/>
  <c r="N81" i="30"/>
  <c r="N79" i="30"/>
  <c r="N80" i="30"/>
  <c r="N78" i="30"/>
  <c r="H81" i="30"/>
  <c r="L81" i="30" s="1"/>
  <c r="D81" i="30"/>
  <c r="N59" i="30"/>
  <c r="L59" i="30"/>
  <c r="J59" i="30"/>
  <c r="I59" i="30"/>
  <c r="N57" i="30"/>
  <c r="L57" i="30"/>
  <c r="J57" i="30"/>
  <c r="I57" i="30"/>
  <c r="L51" i="30"/>
  <c r="L53" i="30" s="1"/>
  <c r="L55" i="30" s="1"/>
  <c r="F73" i="30"/>
  <c r="F68" i="30"/>
  <c r="N66" i="30"/>
  <c r="F55" i="30"/>
  <c r="F51" i="30"/>
  <c r="N49" i="30"/>
  <c r="J43" i="30"/>
  <c r="J42" i="30"/>
  <c r="J41" i="30"/>
  <c r="J39" i="30"/>
  <c r="J38" i="30"/>
  <c r="M37" i="30"/>
  <c r="M41" i="30" s="1"/>
  <c r="J37" i="30"/>
  <c r="M35" i="30"/>
  <c r="M39" i="30" s="1"/>
  <c r="M43" i="30" s="1"/>
  <c r="L35" i="30"/>
  <c r="L39" i="30" s="1"/>
  <c r="M34" i="30"/>
  <c r="M38" i="30" s="1"/>
  <c r="M42" i="30" s="1"/>
  <c r="M33" i="30"/>
  <c r="F33" i="30"/>
  <c r="N35" i="30" s="1"/>
  <c r="J31" i="30"/>
  <c r="J30" i="30"/>
  <c r="J45" i="30" s="1"/>
  <c r="M28" i="30"/>
  <c r="L28" i="30"/>
  <c r="L31" i="30" s="1"/>
  <c r="L34" i="30" s="1"/>
  <c r="L38" i="30" s="1"/>
  <c r="M27" i="30"/>
  <c r="L27" i="30"/>
  <c r="L30" i="30" s="1"/>
  <c r="F27" i="30"/>
  <c r="N28" i="30" s="1"/>
  <c r="N25" i="30"/>
  <c r="N27" i="30" s="1"/>
  <c r="J18" i="30"/>
  <c r="I16" i="30"/>
  <c r="J16" i="30" s="1"/>
  <c r="M13" i="30"/>
  <c r="M16" i="30" s="1"/>
  <c r="M18" i="30" s="1"/>
  <c r="L13" i="30"/>
  <c r="L16" i="30" s="1"/>
  <c r="M12" i="30"/>
  <c r="M15" i="30" s="1"/>
  <c r="F12" i="30"/>
  <c r="N13" i="30" s="1"/>
  <c r="J10" i="30"/>
  <c r="M7" i="30"/>
  <c r="L7" i="30"/>
  <c r="L10" i="30" s="1"/>
  <c r="M6" i="30"/>
  <c r="I9" i="30" s="1"/>
  <c r="L6" i="30"/>
  <c r="H9" i="30" s="1"/>
  <c r="L9" i="30" s="1"/>
  <c r="N9" i="30" s="1"/>
  <c r="F6" i="30"/>
  <c r="N7" i="30" s="1"/>
  <c r="N4" i="30"/>
  <c r="N6" i="30" s="1"/>
  <c r="J9" i="30" s="1"/>
  <c r="Z32" i="29"/>
  <c r="Z31" i="29"/>
  <c r="Z24" i="29"/>
  <c r="X24" i="29"/>
  <c r="X25" i="29"/>
  <c r="Z25" i="29" s="1"/>
  <c r="X26" i="29"/>
  <c r="Z26" i="29" s="1"/>
  <c r="X27" i="29"/>
  <c r="Z27" i="29" s="1"/>
  <c r="X23" i="29"/>
  <c r="Z23" i="29" s="1"/>
  <c r="S32" i="29"/>
  <c r="S31" i="29"/>
  <c r="S28" i="29"/>
  <c r="S20" i="29"/>
  <c r="R28" i="29"/>
  <c r="R20" i="29"/>
  <c r="Q28" i="29"/>
  <c r="Q20" i="29"/>
  <c r="R9" i="29"/>
  <c r="L31" i="29"/>
  <c r="L32" i="29" s="1"/>
  <c r="E32" i="29"/>
  <c r="E31" i="29"/>
  <c r="J28" i="29"/>
  <c r="J27" i="29"/>
  <c r="L27" i="29" s="1"/>
  <c r="J26" i="29"/>
  <c r="L26" i="29" s="1"/>
  <c r="J25" i="29"/>
  <c r="L25" i="29" s="1"/>
  <c r="J24" i="29"/>
  <c r="L24" i="29" s="1"/>
  <c r="J23" i="29"/>
  <c r="L23" i="29" s="1"/>
  <c r="E27" i="29"/>
  <c r="C27" i="29"/>
  <c r="E26" i="29"/>
  <c r="C26" i="29"/>
  <c r="E25" i="29"/>
  <c r="C25" i="29"/>
  <c r="E24" i="29"/>
  <c r="C24" i="29"/>
  <c r="C28" i="29" s="1"/>
  <c r="E23" i="29"/>
  <c r="E28" i="29" s="1"/>
  <c r="C23" i="29"/>
  <c r="X20" i="29"/>
  <c r="J20" i="29"/>
  <c r="E20" i="29"/>
  <c r="C20" i="29"/>
  <c r="Z19" i="29"/>
  <c r="L19" i="29"/>
  <c r="E19" i="29"/>
  <c r="Z18" i="29"/>
  <c r="L18" i="29"/>
  <c r="E18" i="29"/>
  <c r="Z17" i="29"/>
  <c r="L17" i="29"/>
  <c r="E17" i="29"/>
  <c r="Z16" i="29"/>
  <c r="L16" i="29"/>
  <c r="E16" i="29"/>
  <c r="Z15" i="29"/>
  <c r="L15" i="29"/>
  <c r="E15" i="29"/>
  <c r="X9" i="29"/>
  <c r="S9" i="29"/>
  <c r="Q9" i="29"/>
  <c r="J9" i="29"/>
  <c r="C9" i="29"/>
  <c r="Z8" i="29"/>
  <c r="S8" i="29"/>
  <c r="L8" i="29"/>
  <c r="E8" i="29"/>
  <c r="Z7" i="29"/>
  <c r="S7" i="29"/>
  <c r="L7" i="29"/>
  <c r="E7" i="29"/>
  <c r="Z6" i="29"/>
  <c r="S6" i="29"/>
  <c r="L6" i="29"/>
  <c r="E6" i="29"/>
  <c r="Z5" i="29"/>
  <c r="S5" i="29"/>
  <c r="L5" i="29"/>
  <c r="E5" i="29"/>
  <c r="E9" i="29" s="1"/>
  <c r="Z4" i="29"/>
  <c r="Z9" i="29" s="1"/>
  <c r="S4" i="29"/>
  <c r="L4" i="29"/>
  <c r="L9" i="29" s="1"/>
  <c r="E4" i="29"/>
  <c r="E26" i="26"/>
  <c r="E25" i="26"/>
  <c r="E24" i="26"/>
  <c r="E27" i="26"/>
  <c r="E23" i="26"/>
  <c r="E28" i="26" s="1"/>
  <c r="N51" i="30" l="1"/>
  <c r="M51" i="30" s="1"/>
  <c r="J53" i="30" s="1"/>
  <c r="N53" i="30"/>
  <c r="N55" i="30" s="1"/>
  <c r="L42" i="30"/>
  <c r="N42" i="30" s="1"/>
  <c r="N38" i="30"/>
  <c r="N30" i="30"/>
  <c r="N33" i="30" s="1"/>
  <c r="L33" i="30"/>
  <c r="L37" i="30" s="1"/>
  <c r="L18" i="30"/>
  <c r="N18" i="30" s="1"/>
  <c r="N20" i="30" s="1"/>
  <c r="N16" i="30"/>
  <c r="L12" i="30"/>
  <c r="L15" i="30" s="1"/>
  <c r="N15" i="30" s="1"/>
  <c r="N10" i="30"/>
  <c r="N12" i="30" s="1"/>
  <c r="N39" i="30"/>
  <c r="L43" i="30"/>
  <c r="N43" i="30" s="1"/>
  <c r="N31" i="30"/>
  <c r="N34" i="30" s="1"/>
  <c r="I15" i="30"/>
  <c r="J15" i="30" s="1"/>
  <c r="J20" i="30" s="1"/>
  <c r="Z20" i="29"/>
  <c r="X28" i="29"/>
  <c r="Z28" i="29"/>
  <c r="L20" i="29"/>
  <c r="L28" i="29"/>
  <c r="C7" i="28"/>
  <c r="C8" i="28"/>
  <c r="B8" i="28"/>
  <c r="C4" i="28"/>
  <c r="C5" i="28"/>
  <c r="B5" i="28"/>
  <c r="B4" i="28"/>
  <c r="C13" i="28"/>
  <c r="C10" i="28"/>
  <c r="C11" i="28"/>
  <c r="B13" i="28"/>
  <c r="B11" i="28"/>
  <c r="B10" i="28"/>
  <c r="B7" i="28"/>
  <c r="Z28" i="26"/>
  <c r="X28" i="26"/>
  <c r="X20" i="26"/>
  <c r="Z19" i="26"/>
  <c r="Z18" i="26"/>
  <c r="Z17" i="26"/>
  <c r="Z16" i="26"/>
  <c r="Z15" i="26"/>
  <c r="X9" i="26"/>
  <c r="Z8" i="26"/>
  <c r="Z7" i="26"/>
  <c r="Z6" i="26"/>
  <c r="Z5" i="26"/>
  <c r="Z4" i="26"/>
  <c r="Z9" i="26" s="1"/>
  <c r="Q9" i="26"/>
  <c r="S8" i="26"/>
  <c r="S7" i="26"/>
  <c r="S6" i="26"/>
  <c r="S5" i="26"/>
  <c r="S4" i="26"/>
  <c r="S9" i="26" s="1"/>
  <c r="L28" i="26"/>
  <c r="J28" i="26"/>
  <c r="J20" i="26"/>
  <c r="J9" i="26"/>
  <c r="L8" i="26"/>
  <c r="L7" i="26"/>
  <c r="L6" i="26"/>
  <c r="L5" i="26"/>
  <c r="L4" i="26"/>
  <c r="C28" i="26"/>
  <c r="C20" i="26"/>
  <c r="E19" i="26"/>
  <c r="E18" i="26"/>
  <c r="E17" i="26"/>
  <c r="E16" i="26"/>
  <c r="E15" i="26"/>
  <c r="E8" i="26"/>
  <c r="C9" i="26"/>
  <c r="E5" i="26"/>
  <c r="E6" i="26"/>
  <c r="E7" i="26"/>
  <c r="E4" i="26"/>
  <c r="F76" i="25"/>
  <c r="F71" i="25"/>
  <c r="N69" i="25"/>
  <c r="F56" i="25"/>
  <c r="F51" i="25"/>
  <c r="N49" i="25"/>
  <c r="J43" i="25"/>
  <c r="J42" i="25"/>
  <c r="J41" i="25"/>
  <c r="J39" i="25"/>
  <c r="M38" i="25"/>
  <c r="M42" i="25" s="1"/>
  <c r="J38" i="25"/>
  <c r="J45" i="25" s="1"/>
  <c r="J37" i="25"/>
  <c r="M35" i="25"/>
  <c r="M39" i="25" s="1"/>
  <c r="M43" i="25" s="1"/>
  <c r="L35" i="25"/>
  <c r="L39" i="25" s="1"/>
  <c r="M34" i="25"/>
  <c r="M33" i="25"/>
  <c r="M37" i="25" s="1"/>
  <c r="M41" i="25" s="1"/>
  <c r="L33" i="25"/>
  <c r="L37" i="25" s="1"/>
  <c r="F33" i="25"/>
  <c r="N35" i="25" s="1"/>
  <c r="J31" i="25"/>
  <c r="L30" i="25"/>
  <c r="N30" i="25" s="1"/>
  <c r="N33" i="25" s="1"/>
  <c r="J30" i="25"/>
  <c r="N28" i="25"/>
  <c r="M28" i="25"/>
  <c r="L28" i="25"/>
  <c r="L31" i="25" s="1"/>
  <c r="N27" i="25"/>
  <c r="M27" i="25"/>
  <c r="L27" i="25"/>
  <c r="F27" i="25"/>
  <c r="N25" i="25"/>
  <c r="J18" i="25"/>
  <c r="I16" i="25"/>
  <c r="J16" i="25" s="1"/>
  <c r="I15" i="25"/>
  <c r="J15" i="25" s="1"/>
  <c r="N13" i="25"/>
  <c r="M13" i="25"/>
  <c r="M16" i="25" s="1"/>
  <c r="M18" i="25" s="1"/>
  <c r="L13" i="25"/>
  <c r="L16" i="25" s="1"/>
  <c r="M12" i="25"/>
  <c r="M15" i="25" s="1"/>
  <c r="F12" i="25"/>
  <c r="J10" i="25"/>
  <c r="L9" i="25"/>
  <c r="N9" i="25" s="1"/>
  <c r="H9" i="25"/>
  <c r="N7" i="25"/>
  <c r="M7" i="25"/>
  <c r="L7" i="25"/>
  <c r="L10" i="25" s="1"/>
  <c r="N6" i="25"/>
  <c r="J9" i="25" s="1"/>
  <c r="M6" i="25"/>
  <c r="I9" i="25" s="1"/>
  <c r="L6" i="25"/>
  <c r="F6" i="25"/>
  <c r="N4" i="25"/>
  <c r="F73" i="23"/>
  <c r="F68" i="23"/>
  <c r="N66" i="23"/>
  <c r="F55" i="23"/>
  <c r="F51" i="23"/>
  <c r="N49" i="23"/>
  <c r="J43" i="23"/>
  <c r="J42" i="23"/>
  <c r="J41" i="23"/>
  <c r="M39" i="23"/>
  <c r="M43" i="23" s="1"/>
  <c r="J39" i="23"/>
  <c r="J38" i="23"/>
  <c r="J37" i="23"/>
  <c r="M35" i="23"/>
  <c r="L35" i="23"/>
  <c r="L39" i="23" s="1"/>
  <c r="L43" i="23" s="1"/>
  <c r="M34" i="23"/>
  <c r="M38" i="23" s="1"/>
  <c r="M42" i="23" s="1"/>
  <c r="M33" i="23"/>
  <c r="M37" i="23" s="1"/>
  <c r="M41" i="23" s="1"/>
  <c r="F33" i="23"/>
  <c r="N35" i="23" s="1"/>
  <c r="J31" i="23"/>
  <c r="J30" i="23"/>
  <c r="J45" i="23" s="1"/>
  <c r="M28" i="23"/>
  <c r="L28" i="23"/>
  <c r="L31" i="23" s="1"/>
  <c r="M27" i="23"/>
  <c r="L27" i="23"/>
  <c r="L30" i="23" s="1"/>
  <c r="N30" i="23" s="1"/>
  <c r="N33" i="23" s="1"/>
  <c r="F27" i="23"/>
  <c r="N28" i="23" s="1"/>
  <c r="N25" i="23"/>
  <c r="N27" i="23" s="1"/>
  <c r="J18" i="23"/>
  <c r="I16" i="23"/>
  <c r="J16" i="23" s="1"/>
  <c r="M13" i="23"/>
  <c r="M16" i="23" s="1"/>
  <c r="M18" i="23" s="1"/>
  <c r="L13" i="23"/>
  <c r="L16" i="23" s="1"/>
  <c r="M12" i="23"/>
  <c r="I15" i="23" s="1"/>
  <c r="J15" i="23" s="1"/>
  <c r="F12" i="23"/>
  <c r="N13" i="23" s="1"/>
  <c r="J10" i="23"/>
  <c r="I9" i="23"/>
  <c r="H9" i="23"/>
  <c r="M7" i="23"/>
  <c r="L7" i="23"/>
  <c r="L10" i="23" s="1"/>
  <c r="M6" i="23"/>
  <c r="L6" i="23"/>
  <c r="F6" i="23"/>
  <c r="N7" i="23" s="1"/>
  <c r="N4" i="23"/>
  <c r="N6" i="23" s="1"/>
  <c r="J9" i="23" s="1"/>
  <c r="L9" i="23" l="1"/>
  <c r="N9" i="23" s="1"/>
  <c r="N31" i="23"/>
  <c r="N34" i="23" s="1"/>
  <c r="L34" i="23"/>
  <c r="L38" i="23" s="1"/>
  <c r="Z20" i="26"/>
  <c r="N37" i="30"/>
  <c r="L41" i="30"/>
  <c r="N41" i="30" s="1"/>
  <c r="N45" i="30" s="1"/>
  <c r="E20" i="26"/>
  <c r="C6" i="28"/>
  <c r="C9" i="28" s="1"/>
  <c r="C12" i="28" s="1"/>
  <c r="C14" i="28" s="1"/>
  <c r="C16" i="28" s="1"/>
  <c r="L20" i="26"/>
  <c r="L9" i="26"/>
  <c r="E9" i="26"/>
  <c r="N31" i="25"/>
  <c r="N34" i="25" s="1"/>
  <c r="L34" i="25"/>
  <c r="L38" i="25" s="1"/>
  <c r="N39" i="25"/>
  <c r="L43" i="25"/>
  <c r="N43" i="25" s="1"/>
  <c r="J20" i="25"/>
  <c r="N10" i="25"/>
  <c r="N12" i="25" s="1"/>
  <c r="L12" i="25"/>
  <c r="L15" i="25" s="1"/>
  <c r="N15" i="25" s="1"/>
  <c r="L18" i="25"/>
  <c r="N18" i="25" s="1"/>
  <c r="N20" i="25" s="1"/>
  <c r="N16" i="25"/>
  <c r="L41" i="25"/>
  <c r="N41" i="25" s="1"/>
  <c r="N45" i="25" s="1"/>
  <c r="N37" i="25"/>
  <c r="J20" i="23"/>
  <c r="N16" i="23"/>
  <c r="L18" i="23"/>
  <c r="N18" i="23" s="1"/>
  <c r="N20" i="23" s="1"/>
  <c r="L12" i="23"/>
  <c r="L15" i="23" s="1"/>
  <c r="N10" i="23"/>
  <c r="N12" i="23" s="1"/>
  <c r="L42" i="23"/>
  <c r="N42" i="23" s="1"/>
  <c r="N38" i="23"/>
  <c r="N43" i="23"/>
  <c r="M15" i="23"/>
  <c r="N39" i="23"/>
  <c r="L33" i="23"/>
  <c r="L37" i="23" s="1"/>
  <c r="N15" i="23" l="1"/>
  <c r="L42" i="25"/>
  <c r="N42" i="25" s="1"/>
  <c r="N38" i="25"/>
  <c r="L41" i="23"/>
  <c r="N41" i="23" s="1"/>
  <c r="N45" i="23" s="1"/>
  <c r="N37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tc={907CCE33-C81E-4E2C-AF0C-A5F95EBF5872}</author>
    <author>tc={C2BAD37C-FFA5-4D87-8272-E6E6E1D166CE}</author>
  </authors>
  <commentList>
    <comment ref="G4" authorId="0" shapeId="0" xr:uid="{907CCE33-C81E-4E2C-AF0C-A5F95EBF5872}">
      <text>
        <t>[Threaded comment]
Your version of Excel allows you to read this threaded comment; however, any edits to it will get removed if the file is opened in a newer version of Excel. Learn more: https://go.microsoft.com/fwlink/?linkid=870924
Comment:
    BDA = Balanced Day Adjustments 
Accrual, prepayment, depreciation, bad debt exp etc.</t>
      </text>
    </comment>
    <comment ref="H4" authorId="1" shapeId="0" xr:uid="{C2BAD37C-FFA5-4D87-8272-E6E6E1D16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At end of accounting year; Close books for current year and prepare for next year.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tc={E00FA1D5-3AFD-4919-842A-248D3F340300}</author>
  </authors>
  <commentList>
    <comment ref="I6" authorId="0" shapeId="0" xr:uid="{E00FA1D5-3AFD-4919-842A-248D3F340300}">
      <text>
        <t>[Threaded comment]
Your version of Excel allows you to read this threaded comment; however, any edits to it will get removed if the file is opened in a newer version of Excel. Learn more: https://go.microsoft.com/fwlink/?linkid=870924
Comment:
    Depreciation, Bad debts, Error correction, Closing entries etc.</t>
      </text>
    </comment>
  </commentList>
</comments>
</file>

<file path=xl/sharedStrings.xml><?xml version="1.0" encoding="utf-8"?>
<sst xmlns="http://schemas.openxmlformats.org/spreadsheetml/2006/main" count="874" uniqueCount="205">
  <si>
    <t>Details</t>
  </si>
  <si>
    <t>June</t>
  </si>
  <si>
    <t>Capital</t>
  </si>
  <si>
    <t>Balanced Day Adjustments</t>
  </si>
  <si>
    <t>Chapter 5</t>
  </si>
  <si>
    <t>Frequency</t>
  </si>
  <si>
    <t>Chapter 4</t>
  </si>
  <si>
    <t>Objective</t>
  </si>
  <si>
    <t>CLOSING ENTRIES</t>
  </si>
  <si>
    <t>INPUT</t>
  </si>
  <si>
    <t>Transactions</t>
  </si>
  <si>
    <t>Daily</t>
  </si>
  <si>
    <t>BDA</t>
  </si>
  <si>
    <t>Closing Entries</t>
  </si>
  <si>
    <t>↓</t>
  </si>
  <si>
    <t>$ Debit</t>
  </si>
  <si>
    <t>Credit $</t>
  </si>
  <si>
    <t>PROCESS</t>
  </si>
  <si>
    <t>JOURNAL</t>
  </si>
  <si>
    <t>1,2,3,4</t>
  </si>
  <si>
    <t>Reset revenue to 0</t>
  </si>
  <si>
    <t>Revenue</t>
  </si>
  <si>
    <t>$</t>
  </si>
  <si>
    <t>Income Summary</t>
  </si>
  <si>
    <t>LEDGER</t>
  </si>
  <si>
    <t>To reset revenue to 0</t>
  </si>
  <si>
    <t>TRIAL BALANCE</t>
  </si>
  <si>
    <t>Month end</t>
  </si>
  <si>
    <t>Year end</t>
  </si>
  <si>
    <t>Reset expense to 0</t>
  </si>
  <si>
    <t>Unadjusted</t>
  </si>
  <si>
    <t>Adjusted</t>
  </si>
  <si>
    <t>Post closing</t>
  </si>
  <si>
    <t xml:space="preserve">Expense </t>
  </si>
  <si>
    <t>Transition to</t>
  </si>
  <si>
    <t>To reset expense to 0</t>
  </si>
  <si>
    <t>OUTPUT</t>
  </si>
  <si>
    <t>Financial Statements</t>
  </si>
  <si>
    <t>Open accounts for next year</t>
  </si>
  <si>
    <t>BS, IS</t>
  </si>
  <si>
    <t>Transfer Profit to retained earning or capital</t>
  </si>
  <si>
    <t>Capital / Retained Earning</t>
  </si>
  <si>
    <t>(Transfer profit)</t>
  </si>
  <si>
    <t>Transfer drawings to capital</t>
  </si>
  <si>
    <t>Drawings</t>
  </si>
  <si>
    <t>To reset drawing to 0</t>
  </si>
  <si>
    <t>Total</t>
  </si>
  <si>
    <t>Date</t>
  </si>
  <si>
    <t>$ Credit</t>
  </si>
  <si>
    <t>Account 1</t>
  </si>
  <si>
    <t>Account 2</t>
  </si>
  <si>
    <t>A /L/C/R/E</t>
  </si>
  <si>
    <t>Debit / Credit</t>
  </si>
  <si>
    <t>⇧⇩</t>
  </si>
  <si>
    <t>A, E ⇧</t>
  </si>
  <si>
    <t>L, R, C ⇩</t>
  </si>
  <si>
    <t>A, E⇩</t>
  </si>
  <si>
    <t>L, R, C ⇧</t>
  </si>
  <si>
    <t>Step 1</t>
  </si>
  <si>
    <t>Step 2</t>
  </si>
  <si>
    <t>Step 3</t>
  </si>
  <si>
    <t>Step 4</t>
  </si>
  <si>
    <t>Sales</t>
  </si>
  <si>
    <t>Input</t>
  </si>
  <si>
    <t>SJ</t>
  </si>
  <si>
    <t>PJ</t>
  </si>
  <si>
    <t>CRJ</t>
  </si>
  <si>
    <t>CPJ</t>
  </si>
  <si>
    <t>GJ</t>
  </si>
  <si>
    <t>Process</t>
  </si>
  <si>
    <t>Journal</t>
  </si>
  <si>
    <t>→</t>
  </si>
  <si>
    <t>Sales Journal</t>
  </si>
  <si>
    <t>Purchase Journal</t>
  </si>
  <si>
    <t>Cash Receipt Journal</t>
  </si>
  <si>
    <t>Cash Payment Journal</t>
  </si>
  <si>
    <t>General Journal</t>
  </si>
  <si>
    <r>
      <rPr>
        <sz val="11"/>
        <color rgb="FFFF0000"/>
        <rFont val="Aptos Narrow"/>
        <family val="2"/>
        <scheme val="minor"/>
      </rPr>
      <t>Credit</t>
    </r>
    <r>
      <rPr>
        <sz val="11"/>
        <color theme="1"/>
        <rFont val="Aptos Narrow"/>
        <family val="2"/>
        <scheme val="minor"/>
      </rPr>
      <t xml:space="preserve"> sales</t>
    </r>
  </si>
  <si>
    <r>
      <rPr>
        <sz val="11"/>
        <color rgb="FFFF0000"/>
        <rFont val="Aptos Narrow"/>
        <family val="2"/>
        <scheme val="minor"/>
      </rPr>
      <t>Credit</t>
    </r>
    <r>
      <rPr>
        <sz val="11"/>
        <color theme="1"/>
        <rFont val="Aptos Narrow"/>
        <family val="2"/>
        <scheme val="minor"/>
      </rPr>
      <t xml:space="preserve"> purchases</t>
    </r>
  </si>
  <si>
    <t>Cash receipts</t>
  </si>
  <si>
    <t>Cash payments</t>
  </si>
  <si>
    <t>Residual transactions</t>
  </si>
  <si>
    <t>Ledger</t>
  </si>
  <si>
    <t>Customer</t>
  </si>
  <si>
    <t>Supplier</t>
  </si>
  <si>
    <t>General, Nominal</t>
  </si>
  <si>
    <t>AR - Individual</t>
  </si>
  <si>
    <t>AP - Individual</t>
  </si>
  <si>
    <t>AR Control, AP Control</t>
  </si>
  <si>
    <t>Subsidiary</t>
  </si>
  <si>
    <t>Trial Balance</t>
  </si>
  <si>
    <t>Output</t>
  </si>
  <si>
    <t>BS</t>
  </si>
  <si>
    <t>IS</t>
  </si>
  <si>
    <t>SCF</t>
  </si>
  <si>
    <t>SOE</t>
  </si>
  <si>
    <t>FIFO</t>
  </si>
  <si>
    <t>Purchases</t>
  </si>
  <si>
    <t>Balance</t>
  </si>
  <si>
    <t>Explanation</t>
  </si>
  <si>
    <t>Units</t>
  </si>
  <si>
    <t>Unit Cost</t>
  </si>
  <si>
    <t>Total Cost</t>
  </si>
  <si>
    <t>Start</t>
  </si>
  <si>
    <t>Purchase</t>
  </si>
  <si>
    <t>1st</t>
  </si>
  <si>
    <t>2nd</t>
  </si>
  <si>
    <t>Sale</t>
  </si>
  <si>
    <t>LIFO</t>
  </si>
  <si>
    <t>3rd</t>
  </si>
  <si>
    <t>WAVCO</t>
  </si>
  <si>
    <t>SIM</t>
  </si>
  <si>
    <t>Cost of sales</t>
  </si>
  <si>
    <r>
      <t>$</t>
    </r>
    <r>
      <rPr>
        <b/>
        <sz val="10"/>
        <color indexed="8"/>
        <rFont val="Times New Roman"/>
        <family val="1"/>
        <charset val="204"/>
      </rPr>
      <t>237 700</t>
    </r>
  </si>
  <si>
    <r>
      <t xml:space="preserve">Inventory, 30 June </t>
    </r>
    <r>
      <rPr>
        <b/>
        <sz val="10"/>
        <color indexed="8"/>
        <rFont val="Times New Roman"/>
        <family val="1"/>
        <charset val="204"/>
      </rPr>
      <t>2025</t>
    </r>
  </si>
  <si>
    <t>28 000</t>
  </si>
  <si>
    <t>Selling and distribution expenses</t>
  </si>
  <si>
    <t>75 800</t>
  </si>
  <si>
    <t>379 400</t>
  </si>
  <si>
    <t>Sales returns and allowances</t>
  </si>
  <si>
    <t>9 000</t>
  </si>
  <si>
    <t>Administrative expenses</t>
  </si>
  <si>
    <t>24 900</t>
  </si>
  <si>
    <t>Freight inwards</t>
  </si>
  <si>
    <t>4 700</t>
  </si>
  <si>
    <t>Finance expenses</t>
  </si>
  <si>
    <t>3 100</t>
  </si>
  <si>
    <t>Beginning Inventory</t>
  </si>
  <si>
    <t>UnitCost</t>
  </si>
  <si>
    <t>Ending Inventory</t>
  </si>
  <si>
    <t>??</t>
  </si>
  <si>
    <t>End Inventory</t>
  </si>
  <si>
    <t>COS FIFO</t>
  </si>
  <si>
    <t>Cost of Sales</t>
  </si>
  <si>
    <t>COS LIFO</t>
  </si>
  <si>
    <t>COS AVCO</t>
  </si>
  <si>
    <t>Gross profit</t>
  </si>
  <si>
    <t>PERIODIC</t>
  </si>
  <si>
    <t>Given in Q</t>
  </si>
  <si>
    <t>As above</t>
  </si>
  <si>
    <t>COS SIM</t>
  </si>
  <si>
    <t>P 7.21</t>
  </si>
  <si>
    <t>(Exp)</t>
  </si>
  <si>
    <t>Tax exp</t>
  </si>
  <si>
    <t>Equal</t>
  </si>
  <si>
    <t>Operating profit, PBIT, EBIT</t>
  </si>
  <si>
    <t>Pre tax profit</t>
  </si>
  <si>
    <t>Net profit, PAT</t>
  </si>
  <si>
    <t>Net Sales</t>
  </si>
  <si>
    <t>Less</t>
  </si>
  <si>
    <t>a</t>
  </si>
  <si>
    <t>b</t>
  </si>
  <si>
    <t>c=a-b</t>
  </si>
  <si>
    <t>d</t>
  </si>
  <si>
    <t>e</t>
  </si>
  <si>
    <t>f=c-(d+e)</t>
  </si>
  <si>
    <t>g</t>
  </si>
  <si>
    <t>h</t>
  </si>
  <si>
    <t>i=f-(g+h)</t>
  </si>
  <si>
    <t>j</t>
  </si>
  <si>
    <t>l=i-j</t>
  </si>
  <si>
    <t>m</t>
  </si>
  <si>
    <t>n=l-m</t>
  </si>
  <si>
    <t>PARKSIDE RETAIL</t>
  </si>
  <si>
    <t>Income Statement</t>
  </si>
  <si>
    <t>For the year ended 30 June 2025</t>
  </si>
  <si>
    <t>Ref</t>
  </si>
  <si>
    <t>Receipts</t>
  </si>
  <si>
    <t>Issues</t>
  </si>
  <si>
    <t>1680/150</t>
  </si>
  <si>
    <t>784/70</t>
  </si>
  <si>
    <t>2344/190</t>
  </si>
  <si>
    <t>1110.32/90</t>
  </si>
  <si>
    <t>308.42/25</t>
  </si>
  <si>
    <t>PERPETUAL METOD</t>
  </si>
  <si>
    <t>periodic</t>
  </si>
  <si>
    <t>Sales &amp; Cost</t>
  </si>
  <si>
    <t>(Income statement)</t>
  </si>
  <si>
    <t>(balance sheet)</t>
  </si>
  <si>
    <t>standard inventory method</t>
  </si>
  <si>
    <t>Remaining: 5</t>
  </si>
  <si>
    <t>Remaining: 8</t>
  </si>
  <si>
    <t>Remaining: 12</t>
  </si>
  <si>
    <t>The solution for (d) is wrong in the pdf</t>
  </si>
  <si>
    <t>WA</t>
  </si>
  <si>
    <t>?? $50,400</t>
  </si>
  <si>
    <t>?? $197,920</t>
  </si>
  <si>
    <t>i) FIFO</t>
  </si>
  <si>
    <t>For periodic inventory system, the formula for COGS = BI + P - EI</t>
  </si>
  <si>
    <t>Under periodic FIFO, ending inventory is assumed to consist of the latest purchases.</t>
  </si>
  <si>
    <t>Ending Inventory Total Cost:</t>
  </si>
  <si>
    <t>Cost per U</t>
  </si>
  <si>
    <t>(Ending Inventory Value)</t>
  </si>
  <si>
    <t>COGS = ($364500 + $1659000) - $829500 = $1194000</t>
  </si>
  <si>
    <t>ii) LIFO</t>
  </si>
  <si>
    <t>Under periodic LIFO, ending inventory is assumed to consist of the earliest purchases.</t>
  </si>
  <si>
    <t>COGS = ($364500 + $1659000) - $744000 = $1279500</t>
  </si>
  <si>
    <t>iii) WAV</t>
  </si>
  <si>
    <t>Inventory + Purchase =  69 000 units</t>
  </si>
  <si>
    <t>Total cost = $2023500</t>
  </si>
  <si>
    <t>WAV = 2023500/69000 =  $29.33 per unit</t>
  </si>
  <si>
    <t>COGS = 42000 X 29.33 = $1231860</t>
  </si>
  <si>
    <t>EIV = 27000 X 29.33 = $791910</t>
  </si>
  <si>
    <t>242 400</t>
  </si>
  <si>
    <t>if there is Freight Outwards =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</si>
</sst>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&quot;$&quot;#,##0;[Red]\-&quot;$&quot;#,##0"/>
    <numFmt numFmtId="165" formatCode="_-* #,##0.00_-;\-* #,##0.00_-;_-* &quot;-&quot;??_-;_-@_-"/>
    <numFmt numFmtId="166" formatCode="_-* #,##0_-;\-* #,##0_-;_-* &quot;-&quot;??_-;_-@_-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Times New Roman"/>
      <family val="1"/>
      <charset val="204"/>
    </font>
    <font>
      <sz val="10"/>
      <color indexed="8"/>
      <name val="Times New Roman"/>
      <family val="2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2"/>
    </font>
    <font>
      <b/>
      <sz val="11"/>
      <color indexed="8"/>
      <name val="Times New Roman"/>
      <family val="2"/>
    </font>
    <font>
      <b/>
      <u/>
      <sz val="11"/>
      <color indexed="8"/>
      <name val="Times New Roman"/>
      <family val="2"/>
    </font>
    <font>
      <sz val="11"/>
      <color indexed="8"/>
      <name val="Arial"/>
      <family val="2"/>
    </font>
    <font>
      <sz val="11"/>
      <color indexed="8"/>
      <name val="Times New Roman"/>
      <family val="2"/>
    </font>
    <font>
      <sz val="11"/>
      <color indexed="8"/>
      <name val="Times New Roman"/>
      <family val="1"/>
      <charset val="204"/>
    </font>
    <font>
      <u/>
      <sz val="11"/>
      <color indexed="8"/>
      <name val="Times New Roman"/>
      <family val="2"/>
    </font>
    <font>
      <u/>
      <sz val="10"/>
      <color indexed="8"/>
      <name val="Times New Roman"/>
      <family val="2"/>
    </font>
    <font>
      <sz val="11"/>
      <color theme="1"/>
      <name val="Arial Black"/>
      <family val="2"/>
    </font>
    <font>
      <b/>
      <sz val="11"/>
      <color theme="1"/>
      <name val="Arial Black"/>
      <family val="2"/>
    </font>
    <font>
      <sz val="11"/>
      <name val="Arial Black"/>
      <family val="2"/>
    </font>
    <font>
      <sz val="11"/>
      <color theme="0"/>
      <name val="Arial Black"/>
      <family val="2"/>
    </font>
    <font>
      <sz val="11"/>
      <color rgb="FFFF0000"/>
      <name val="Arial Black"/>
      <family val="2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106">
    <xf numFmtId="0" fontId="0" fillId="0" borderId="0" xfId="0"/>
    <xf numFmtId="0" fontId="0" fillId="0" borderId="1" xfId="0" applyBorder="1"/>
    <xf numFmtId="0" fontId="0" fillId="2" borderId="0" xfId="0" applyFill="1"/>
    <xf numFmtId="0" fontId="1" fillId="2" borderId="0" xfId="0" applyFont="1" applyFill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0" xfId="0" applyFont="1"/>
    <xf numFmtId="0" fontId="0" fillId="5" borderId="9" xfId="0" applyFill="1" applyBorder="1"/>
    <xf numFmtId="0" fontId="4" fillId="2" borderId="0" xfId="0" applyFont="1" applyFill="1"/>
    <xf numFmtId="0" fontId="0" fillId="6" borderId="0" xfId="0" applyFill="1"/>
    <xf numFmtId="0" fontId="1" fillId="6" borderId="0" xfId="0" applyFont="1" applyFill="1"/>
    <xf numFmtId="0" fontId="0" fillId="6" borderId="0" xfId="0" applyFill="1" applyAlignment="1">
      <alignment horizontal="right"/>
    </xf>
    <xf numFmtId="0" fontId="0" fillId="0" borderId="10" xfId="0" applyBorder="1"/>
    <xf numFmtId="17" fontId="0" fillId="0" borderId="10" xfId="0" applyNumberFormat="1" applyBorder="1"/>
    <xf numFmtId="0" fontId="0" fillId="2" borderId="10" xfId="0" applyFill="1" applyBorder="1"/>
    <xf numFmtId="0" fontId="4" fillId="0" borderId="10" xfId="0" applyFont="1" applyBorder="1"/>
    <xf numFmtId="0" fontId="6" fillId="0" borderId="10" xfId="0" applyFont="1" applyBorder="1"/>
    <xf numFmtId="0" fontId="8" fillId="0" borderId="11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12" fillId="0" borderId="0" xfId="0" applyFont="1" applyAlignment="1">
      <alignment vertical="top" wrapText="1"/>
    </xf>
    <xf numFmtId="0" fontId="12" fillId="0" borderId="12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2" fillId="0" borderId="12" xfId="0" applyFont="1" applyBorder="1" applyAlignment="1">
      <alignment horizontal="right" vertical="top" wrapText="1"/>
    </xf>
    <xf numFmtId="0" fontId="12" fillId="0" borderId="13" xfId="0" applyFont="1" applyBorder="1" applyAlignment="1">
      <alignment vertical="top" wrapText="1"/>
    </xf>
    <xf numFmtId="0" fontId="12" fillId="0" borderId="14" xfId="0" applyFont="1" applyBorder="1" applyAlignment="1">
      <alignment horizontal="right" vertical="top" wrapText="1"/>
    </xf>
    <xf numFmtId="0" fontId="12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center" wrapText="1"/>
    </xf>
    <xf numFmtId="1" fontId="14" fillId="0" borderId="2" xfId="0" applyNumberFormat="1" applyFont="1" applyBorder="1" applyAlignment="1">
      <alignment horizontal="left" vertical="top" indent="1" shrinkToFit="1"/>
    </xf>
    <xf numFmtId="0" fontId="15" fillId="0" borderId="0" xfId="0" applyFont="1" applyAlignment="1">
      <alignment horizontal="left" vertical="top" wrapText="1"/>
    </xf>
    <xf numFmtId="166" fontId="15" fillId="0" borderId="0" xfId="1" applyNumberFormat="1" applyFont="1" applyBorder="1" applyAlignment="1">
      <alignment horizontal="right" vertical="top"/>
    </xf>
    <xf numFmtId="2" fontId="14" fillId="0" borderId="0" xfId="0" applyNumberFormat="1" applyFont="1" applyAlignment="1">
      <alignment horizontal="right" vertical="top" shrinkToFit="1"/>
    </xf>
    <xf numFmtId="166" fontId="15" fillId="0" borderId="3" xfId="1" applyNumberFormat="1" applyFont="1" applyBorder="1" applyAlignment="1">
      <alignment horizontal="right" vertical="top"/>
    </xf>
    <xf numFmtId="1" fontId="14" fillId="0" borderId="2" xfId="0" applyNumberFormat="1" applyFont="1" applyBorder="1" applyAlignment="1">
      <alignment horizontal="left" vertical="top" shrinkToFit="1"/>
    </xf>
    <xf numFmtId="0" fontId="15" fillId="0" borderId="0" xfId="0" applyFont="1" applyAlignment="1">
      <alignment vertical="top" wrapText="1"/>
    </xf>
    <xf numFmtId="166" fontId="16" fillId="0" borderId="0" xfId="1" applyNumberFormat="1" applyFont="1" applyBorder="1" applyAlignment="1">
      <alignment horizontal="right" vertical="top"/>
    </xf>
    <xf numFmtId="166" fontId="17" fillId="0" borderId="0" xfId="1" applyNumberFormat="1" applyFont="1" applyBorder="1" applyAlignment="1">
      <alignment vertical="top"/>
    </xf>
    <xf numFmtId="0" fontId="17" fillId="0" borderId="0" xfId="0" applyFont="1" applyAlignment="1">
      <alignment vertical="top"/>
    </xf>
    <xf numFmtId="164" fontId="17" fillId="0" borderId="3" xfId="0" applyNumberFormat="1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166" fontId="17" fillId="0" borderId="5" xfId="1" applyNumberFormat="1" applyFont="1" applyBorder="1" applyAlignment="1">
      <alignment vertical="top"/>
    </xf>
    <xf numFmtId="0" fontId="17" fillId="0" borderId="5" xfId="0" applyFont="1" applyBorder="1" applyAlignment="1">
      <alignment vertical="top"/>
    </xf>
    <xf numFmtId="164" fontId="17" fillId="0" borderId="6" xfId="0" applyNumberFormat="1" applyFont="1" applyBorder="1" applyAlignment="1">
      <alignment vertical="top"/>
    </xf>
    <xf numFmtId="0" fontId="12" fillId="0" borderId="15" xfId="0" applyFont="1" applyBorder="1" applyAlignment="1">
      <alignment vertical="top" wrapText="1"/>
    </xf>
    <xf numFmtId="0" fontId="12" fillId="0" borderId="16" xfId="0" applyFont="1" applyBorder="1" applyAlignment="1">
      <alignment vertical="top" wrapText="1"/>
    </xf>
    <xf numFmtId="0" fontId="12" fillId="0" borderId="16" xfId="0" applyFont="1" applyBorder="1" applyAlignment="1">
      <alignment horizontal="right" vertical="top" wrapText="1"/>
    </xf>
    <xf numFmtId="0" fontId="12" fillId="0" borderId="17" xfId="0" applyFont="1" applyBorder="1" applyAlignment="1">
      <alignment horizontal="right" vertical="top" wrapText="1"/>
    </xf>
    <xf numFmtId="0" fontId="0" fillId="2" borderId="2" xfId="0" applyFill="1" applyBorder="1"/>
    <xf numFmtId="0" fontId="12" fillId="0" borderId="0" xfId="0" applyFont="1" applyAlignment="1">
      <alignment horizontal="right" vertical="top" wrapText="1"/>
    </xf>
    <xf numFmtId="164" fontId="17" fillId="0" borderId="0" xfId="0" applyNumberFormat="1" applyFont="1" applyAlignment="1">
      <alignment vertical="top"/>
    </xf>
    <xf numFmtId="0" fontId="0" fillId="7" borderId="0" xfId="0" applyFill="1"/>
    <xf numFmtId="164" fontId="10" fillId="0" borderId="11" xfId="0" applyNumberFormat="1" applyFont="1" applyBorder="1" applyAlignment="1">
      <alignment horizontal="right" vertical="top" wrapText="1"/>
    </xf>
    <xf numFmtId="0" fontId="5" fillId="0" borderId="2" xfId="0" applyFont="1" applyBorder="1"/>
    <xf numFmtId="0" fontId="5" fillId="0" borderId="0" xfId="0" applyFont="1"/>
    <xf numFmtId="0" fontId="5" fillId="0" borderId="4" xfId="0" applyFont="1" applyBorder="1"/>
    <xf numFmtId="0" fontId="5" fillId="0" borderId="5" xfId="0" applyFont="1" applyBorder="1"/>
    <xf numFmtId="0" fontId="0" fillId="0" borderId="18" xfId="0" applyBorder="1"/>
    <xf numFmtId="0" fontId="18" fillId="0" borderId="19" xfId="0" applyFont="1" applyBorder="1" applyAlignment="1">
      <alignment horizontal="right" vertical="top" wrapText="1"/>
    </xf>
    <xf numFmtId="0" fontId="0" fillId="0" borderId="20" xfId="0" applyBorder="1"/>
    <xf numFmtId="166" fontId="17" fillId="2" borderId="0" xfId="1" applyNumberFormat="1" applyFont="1" applyFill="1" applyBorder="1" applyAlignment="1">
      <alignment vertical="top"/>
    </xf>
    <xf numFmtId="166" fontId="0" fillId="0" borderId="0" xfId="0" applyNumberFormat="1"/>
    <xf numFmtId="0" fontId="0" fillId="8" borderId="0" xfId="0" applyFill="1"/>
    <xf numFmtId="166" fontId="17" fillId="8" borderId="5" xfId="1" applyNumberFormat="1" applyFont="1" applyFill="1" applyBorder="1" applyAlignment="1">
      <alignment vertical="top"/>
    </xf>
    <xf numFmtId="0" fontId="0" fillId="8" borderId="2" xfId="0" applyFill="1" applyBorder="1"/>
    <xf numFmtId="164" fontId="0" fillId="0" borderId="0" xfId="0" applyNumberFormat="1"/>
    <xf numFmtId="0" fontId="17" fillId="9" borderId="0" xfId="0" applyFont="1" applyFill="1" applyAlignment="1">
      <alignment vertical="top"/>
    </xf>
    <xf numFmtId="0" fontId="17" fillId="9" borderId="5" xfId="0" applyFont="1" applyFill="1" applyBorder="1" applyAlignment="1">
      <alignment vertical="top"/>
    </xf>
    <xf numFmtId="166" fontId="0" fillId="0" borderId="3" xfId="0" applyNumberFormat="1" applyBorder="1"/>
    <xf numFmtId="166" fontId="17" fillId="4" borderId="5" xfId="1" applyNumberFormat="1" applyFont="1" applyFill="1" applyBorder="1" applyAlignment="1">
      <alignment vertical="top"/>
    </xf>
    <xf numFmtId="0" fontId="19" fillId="2" borderId="0" xfId="0" applyFont="1" applyFill="1"/>
    <xf numFmtId="0" fontId="19" fillId="0" borderId="0" xfId="0" applyFont="1"/>
    <xf numFmtId="0" fontId="20" fillId="0" borderId="0" xfId="0" applyFont="1"/>
    <xf numFmtId="0" fontId="19" fillId="0" borderId="10" xfId="0" applyFont="1" applyBorder="1"/>
    <xf numFmtId="0" fontId="20" fillId="0" borderId="10" xfId="0" applyFont="1" applyBorder="1"/>
    <xf numFmtId="17" fontId="19" fillId="0" borderId="10" xfId="0" applyNumberFormat="1" applyFont="1" applyBorder="1"/>
    <xf numFmtId="0" fontId="19" fillId="2" borderId="10" xfId="0" applyFont="1" applyFill="1" applyBorder="1"/>
    <xf numFmtId="0" fontId="21" fillId="0" borderId="10" xfId="0" applyFont="1" applyBorder="1"/>
    <xf numFmtId="0" fontId="22" fillId="0" borderId="10" xfId="0" applyFont="1" applyBorder="1"/>
    <xf numFmtId="2" fontId="19" fillId="0" borderId="10" xfId="0" applyNumberFormat="1" applyFont="1" applyBorder="1"/>
    <xf numFmtId="166" fontId="15" fillId="9" borderId="0" xfId="1" applyNumberFormat="1" applyFont="1" applyFill="1" applyBorder="1" applyAlignment="1">
      <alignment horizontal="right" vertical="top"/>
    </xf>
    <xf numFmtId="166" fontId="16" fillId="9" borderId="0" xfId="1" applyNumberFormat="1" applyFont="1" applyFill="1" applyBorder="1" applyAlignment="1">
      <alignment horizontal="right" vertical="top"/>
    </xf>
    <xf numFmtId="166" fontId="16" fillId="0" borderId="0" xfId="1" applyNumberFormat="1" applyFont="1" applyFill="1" applyBorder="1" applyAlignment="1">
      <alignment horizontal="right" vertical="top"/>
    </xf>
    <xf numFmtId="0" fontId="17" fillId="6" borderId="0" xfId="0" applyFont="1" applyFill="1" applyAlignment="1">
      <alignment vertical="top"/>
    </xf>
    <xf numFmtId="0" fontId="17" fillId="6" borderId="5" xfId="0" applyFont="1" applyFill="1" applyBorder="1" applyAlignment="1">
      <alignment vertical="top"/>
    </xf>
    <xf numFmtId="0" fontId="0" fillId="10" borderId="0" xfId="0" applyFill="1"/>
    <xf numFmtId="166" fontId="17" fillId="10" borderId="5" xfId="1" applyNumberFormat="1" applyFont="1" applyFill="1" applyBorder="1" applyAlignment="1">
      <alignment vertical="top"/>
    </xf>
    <xf numFmtId="0" fontId="23" fillId="0" borderId="0" xfId="0" applyFont="1"/>
    <xf numFmtId="0" fontId="24" fillId="0" borderId="1" xfId="0" applyFont="1" applyBorder="1"/>
    <xf numFmtId="0" fontId="0" fillId="0" borderId="21" xfId="0" applyBorder="1"/>
    <xf numFmtId="6" fontId="0" fillId="0" borderId="0" xfId="0" applyNumberFormat="1"/>
    <xf numFmtId="6" fontId="0" fillId="0" borderId="21" xfId="0" applyNumberFormat="1" applyBorder="1"/>
    <xf numFmtId="0" fontId="25" fillId="0" borderId="0" xfId="0" applyFont="1"/>
    <xf numFmtId="0" fontId="0" fillId="2" borderId="0" xfId="0" applyFill="1" applyAlignment="1">
      <alignment horizontal="center" vertical="center" wrapText="1"/>
    </xf>
    <xf numFmtId="0" fontId="0" fillId="6" borderId="0" xfId="0" applyFill="1" applyAlignment="1">
      <alignment vertical="center"/>
    </xf>
    <xf numFmtId="0" fontId="5" fillId="0" borderId="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5" Type="http://schemas.openxmlformats.org/officeDocument/2006/relationships/image" Target="../media/image11.emf"/><Relationship Id="rId4" Type="http://schemas.openxmlformats.org/officeDocument/2006/relationships/image" Target="../media/image6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426794</xdr:colOff>
      <xdr:row>3</xdr:row>
      <xdr:rowOff>64202</xdr:rowOff>
    </xdr:from>
    <xdr:to>
      <xdr:col>10</xdr:col>
      <xdr:colOff>323779</xdr:colOff>
      <xdr:row>34</xdr:row>
      <xdr:rowOff>43106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6A14BAF-5304-4329-9F3B-00D5E6F08070}"/>
            </a:ext>
          </a:extLst>
        </xdr:cNvPr>
        <xdr:cNvGrpSpPr/>
      </xdr:nvGrpSpPr>
      <xdr:grpSpPr bwMode="auto">
        <a:xfrm>
          <a:off x="1017187" y="630979"/>
          <a:ext cx="5210518" cy="5835598"/>
          <a:chOff x="0" y="78429"/>
          <a:chExt cx="6059328" cy="3928254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2821BFB4-9028-0711-717C-EE1E7750F164}"/>
              </a:ext>
            </a:extLst>
          </xdr:cNvPr>
          <xdr:cNvCxnSpPr>
            <a:cxnSpLocks/>
          </xdr:cNvCxnSpPr>
        </xdr:nvCxnSpPr>
        <xdr:spPr bwMode="auto">
          <a:xfrm flipH="1">
            <a:off x="0" y="417106"/>
            <a:ext cx="5477" cy="2779586"/>
          </a:xfrm>
          <a:prstGeom prst="straightConnector1">
            <a:avLst/>
          </a:prstGeom>
          <a:noFill/>
          <a:ln w="6350" algn="ctr">
            <a:solidFill>
              <a:srgbClr val="4472C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BBDA1DD2-6023-D73F-7E79-089D7305053A}"/>
              </a:ext>
            </a:extLst>
          </xdr:cNvPr>
          <xdr:cNvGrpSpPr>
            <a:grpSpLocks/>
          </xdr:cNvGrpSpPr>
        </xdr:nvGrpSpPr>
        <xdr:grpSpPr bwMode="auto">
          <a:xfrm>
            <a:off x="7778" y="78429"/>
            <a:ext cx="6051550" cy="3928254"/>
            <a:chOff x="7778" y="78429"/>
            <a:chExt cx="6051550" cy="3928254"/>
          </a:xfrm>
        </xdr:grpSpPr>
        <xdr:sp macro="" textlink="">
          <xdr:nvSpPr>
            <xdr:cNvPr id="5" name="Flowchart: Alternate Process 4">
              <a:extLst>
                <a:ext uri="{FF2B5EF4-FFF2-40B4-BE49-F238E27FC236}">
                  <a16:creationId xmlns:a16="http://schemas.microsoft.com/office/drawing/2014/main" id="{351990A7-9A14-C888-058B-E7407E7072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2989" y="78429"/>
              <a:ext cx="6045200" cy="641350"/>
            </a:xfrm>
            <a:prstGeom prst="flowChartAlternateProcess">
              <a:avLst/>
            </a:prstGeom>
            <a:solidFill>
              <a:srgbClr val="FFFFFF"/>
            </a:solidFill>
            <a:ln w="12700">
              <a:solidFill>
                <a:srgbClr val="70AD47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Transactions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6" name="Flowchart: Alternate Process 5">
              <a:extLst>
                <a:ext uri="{FF2B5EF4-FFF2-40B4-BE49-F238E27FC236}">
                  <a16:creationId xmlns:a16="http://schemas.microsoft.com/office/drawing/2014/main" id="{781F4FCF-2280-0D26-1960-9B022191604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3119542"/>
              <a:ext cx="6048374" cy="887141"/>
            </a:xfrm>
            <a:prstGeom prst="flowChartAlternate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Financial Statements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Balance Sheet (Asset = Liability + Owners Equity)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Income Statement (Revenue – Expenses = Profit)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Cashflows ($ Receipts and $ Payments)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Changes in Owners Equity (OE at start + changes = OE at end) – sometimes viewed as a note.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7" name="Flowchart: Predefined Process 6">
              <a:extLst>
                <a:ext uri="{FF2B5EF4-FFF2-40B4-BE49-F238E27FC236}">
                  <a16:creationId xmlns:a16="http://schemas.microsoft.com/office/drawing/2014/main" id="{561E9ED8-9D46-6139-668C-158A389B796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1550757"/>
              <a:ext cx="6051550" cy="736600"/>
            </a:xfrm>
            <a:prstGeom prst="flowChartPredefined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4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Asset = Liability + Owners Equity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8" name="Arrow: Down 7">
              <a:extLst>
                <a:ext uri="{FF2B5EF4-FFF2-40B4-BE49-F238E27FC236}">
                  <a16:creationId xmlns:a16="http://schemas.microsoft.com/office/drawing/2014/main" id="{54969C71-180A-07C6-72ED-592D1D46E0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2382941"/>
              <a:ext cx="201045" cy="736601"/>
            </a:xfrm>
            <a:prstGeom prst="downArrow">
              <a:avLst>
                <a:gd name="adj1" fmla="val 50000"/>
                <a:gd name="adj2" fmla="val 50005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  <xdr:sp macro="" textlink="">
          <xdr:nvSpPr>
            <xdr:cNvPr id="9" name="Arrow: Down 8">
              <a:extLst>
                <a:ext uri="{FF2B5EF4-FFF2-40B4-BE49-F238E27FC236}">
                  <a16:creationId xmlns:a16="http://schemas.microsoft.com/office/drawing/2014/main" id="{DDEC4D26-632F-CD68-538D-534FC4B4CCD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729956"/>
              <a:ext cx="206522" cy="736600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</xdr:grpSp>
    </xdr:grpSp>
    <xdr:clientData/>
  </xdr:twoCellAnchor>
  <xdr:twoCellAnchor editAs="oneCell">
    <xdr:from>
      <xdr:col>10</xdr:col>
      <xdr:colOff>603658</xdr:colOff>
      <xdr:row>2</xdr:row>
      <xdr:rowOff>38661</xdr:rowOff>
    </xdr:from>
    <xdr:to>
      <xdr:col>25</xdr:col>
      <xdr:colOff>101853</xdr:colOff>
      <xdr:row>34</xdr:row>
      <xdr:rowOff>19611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0E153D-9C2D-4089-86B6-083E90F71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9658" y="406961"/>
          <a:ext cx="8642195" cy="587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290486</xdr:colOff>
      <xdr:row>17</xdr:row>
      <xdr:rowOff>142943</xdr:rowOff>
    </xdr:from>
    <xdr:to>
      <xdr:col>6</xdr:col>
      <xdr:colOff>135223</xdr:colOff>
      <xdr:row>37</xdr:row>
      <xdr:rowOff>6026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1BD991-8692-464D-B03C-1CF4BFFE3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086" y="3292543"/>
          <a:ext cx="3718237" cy="3552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438855</xdr:colOff>
      <xdr:row>0</xdr:row>
      <xdr:rowOff>28322</xdr:rowOff>
    </xdr:from>
    <xdr:to>
      <xdr:col>19</xdr:col>
      <xdr:colOff>489761</xdr:colOff>
      <xdr:row>20</xdr:row>
      <xdr:rowOff>117826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988B22-99C7-4C89-86AB-D83136191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5555" y="28322"/>
          <a:ext cx="4318106" cy="37725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347073</xdr:colOff>
      <xdr:row>9</xdr:row>
      <xdr:rowOff>164381</xdr:rowOff>
    </xdr:from>
    <xdr:to>
      <xdr:col>25</xdr:col>
      <xdr:colOff>600228</xdr:colOff>
      <xdr:row>16</xdr:row>
      <xdr:rowOff>21119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11047A-38F6-4C4D-92C9-6CA58B869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7723" y="1821731"/>
          <a:ext cx="5739555" cy="1376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269876</xdr:colOff>
      <xdr:row>64</xdr:row>
      <xdr:rowOff>166688</xdr:rowOff>
    </xdr:from>
    <xdr:to>
      <xdr:col>24</xdr:col>
      <xdr:colOff>523875</xdr:colOff>
      <xdr:row>66</xdr:row>
      <xdr:rowOff>26775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A4651E-AE61-45DF-8D78-13BFAEF6D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0926" y="12504738"/>
          <a:ext cx="5740399" cy="293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442362</xdr:colOff>
      <xdr:row>27</xdr:row>
      <xdr:rowOff>30409</xdr:rowOff>
    </xdr:from>
    <xdr:to>
      <xdr:col>25</xdr:col>
      <xdr:colOff>65854</xdr:colOff>
      <xdr:row>33</xdr:row>
      <xdr:rowOff>150267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B3AE736-78FA-FE42-D595-C0A6D0266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7512" y="5831349"/>
          <a:ext cx="4493417" cy="1408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417870</xdr:colOff>
      <xdr:row>2</xdr:row>
      <xdr:rowOff>159883</xdr:rowOff>
    </xdr:from>
    <xdr:to>
      <xdr:col>42</xdr:col>
      <xdr:colOff>550811</xdr:colOff>
      <xdr:row>9</xdr:row>
      <xdr:rowOff>114095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E3CEEE-B27A-2E97-364C-94126E127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10515" y="536786"/>
          <a:ext cx="9899651" cy="124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12</xdr:col>
      <xdr:colOff>577850</xdr:colOff>
      <xdr:row>33</xdr:row>
      <xdr:rowOff>76200</xdr:rowOff>
    </xdr:to>
    <xdr:pic>
      <xdr:nvPicPr>
        <xdr:cNvPr id="24577" name="Picture 1">
          <a:extLst>
            <a:ext uri="{FF2B5EF4-FFF2-40B4-BE49-F238E27FC236}">
              <a16:creationId xmlns:a16="http://schemas.microsoft.com/office/drawing/2014/main" id="{4B6E2272-2B18-EB10-5C31-FD9CA0B7A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52450"/>
          <a:ext cx="6673850" cy="560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347073</xdr:colOff>
      <xdr:row>9</xdr:row>
      <xdr:rowOff>164381</xdr:rowOff>
    </xdr:from>
    <xdr:to>
      <xdr:col>25</xdr:col>
      <xdr:colOff>600228</xdr:colOff>
      <xdr:row>17</xdr:row>
      <xdr:rowOff>67810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5A5C9C-CCF5-4FFE-B04B-2644F4D23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7723" y="1821731"/>
          <a:ext cx="5739555" cy="1376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571499</xdr:colOff>
      <xdr:row>22</xdr:row>
      <xdr:rowOff>142874</xdr:rowOff>
    </xdr:from>
    <xdr:to>
      <xdr:col>24</xdr:col>
      <xdr:colOff>214312</xdr:colOff>
      <xdr:row>30</xdr:row>
      <xdr:rowOff>49211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7BE7DC-13F8-4FAE-844D-EA4134D98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2949" y="4194174"/>
          <a:ext cx="5738813" cy="137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269876</xdr:colOff>
      <xdr:row>67</xdr:row>
      <xdr:rowOff>166688</xdr:rowOff>
    </xdr:from>
    <xdr:to>
      <xdr:col>24</xdr:col>
      <xdr:colOff>523875</xdr:colOff>
      <xdr:row>69</xdr:row>
      <xdr:rowOff>92075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C7C21C-81BE-4E8F-92CE-E49A1D919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0926" y="12504738"/>
          <a:ext cx="5740399" cy="293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289718</xdr:colOff>
      <xdr:row>47</xdr:row>
      <xdr:rowOff>19843</xdr:rowOff>
    </xdr:from>
    <xdr:to>
      <xdr:col>24</xdr:col>
      <xdr:colOff>544153</xdr:colOff>
      <xdr:row>54</xdr:row>
      <xdr:rowOff>113623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4BE2A3-6AFB-43CA-BABD-ADC94544F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90768" y="8674893"/>
          <a:ext cx="5740835" cy="13828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148896</xdr:colOff>
      <xdr:row>13</xdr:row>
      <xdr:rowOff>109484</xdr:rowOff>
    </xdr:from>
    <xdr:to>
      <xdr:col>39</xdr:col>
      <xdr:colOff>487637</xdr:colOff>
      <xdr:row>18</xdr:row>
      <xdr:rowOff>112951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2E5B9D-DFAB-1A5B-E7FD-B30FA7B5C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24413" y="2509346"/>
          <a:ext cx="7643430" cy="9231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347073</xdr:colOff>
      <xdr:row>9</xdr:row>
      <xdr:rowOff>164381</xdr:rowOff>
    </xdr:from>
    <xdr:to>
      <xdr:col>25</xdr:col>
      <xdr:colOff>581177</xdr:colOff>
      <xdr:row>16</xdr:row>
      <xdr:rowOff>15516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283658-B1D0-4B18-8DFE-CB2A18D71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7723" y="1821731"/>
          <a:ext cx="5739555" cy="1376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571499</xdr:colOff>
      <xdr:row>22</xdr:row>
      <xdr:rowOff>142874</xdr:rowOff>
    </xdr:from>
    <xdr:to>
      <xdr:col>24</xdr:col>
      <xdr:colOff>214311</xdr:colOff>
      <xdr:row>29</xdr:row>
      <xdr:rowOff>161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4694F3-02B6-403C-898A-61D193B27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2949" y="4194174"/>
          <a:ext cx="5738813" cy="137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269876</xdr:colOff>
      <xdr:row>64</xdr:row>
      <xdr:rowOff>166688</xdr:rowOff>
    </xdr:from>
    <xdr:to>
      <xdr:col>24</xdr:col>
      <xdr:colOff>523875</xdr:colOff>
      <xdr:row>66</xdr:row>
      <xdr:rowOff>24839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CF5BBC-CD81-4555-9237-3C9B53580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0926" y="12504738"/>
          <a:ext cx="5740399" cy="293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289718</xdr:colOff>
      <xdr:row>47</xdr:row>
      <xdr:rowOff>19843</xdr:rowOff>
    </xdr:from>
    <xdr:to>
      <xdr:col>24</xdr:col>
      <xdr:colOff>544153</xdr:colOff>
      <xdr:row>53</xdr:row>
      <xdr:rowOff>94947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F6D7BAB-AFE7-41D2-BA9D-1A130BCFD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90768" y="8674893"/>
          <a:ext cx="5740835" cy="1382830"/>
        </a:xfrm>
        <a:prstGeom prst="rect">
          <a:avLst/>
        </a:prstGeom>
      </xdr:spPr>
    </xdr:pic>
    <xdr:clientData/>
  </xdr:twoCellAnchor>
  <xdr:twoCellAnchor editAs="oneCell">
    <xdr:from>
      <xdr:col>1</xdr:col>
      <xdr:colOff>220091</xdr:colOff>
      <xdr:row>82</xdr:row>
      <xdr:rowOff>79507</xdr:rowOff>
    </xdr:from>
    <xdr:to>
      <xdr:col>12</xdr:col>
      <xdr:colOff>580424</xdr:colOff>
      <xdr:row>92</xdr:row>
      <xdr:rowOff>157808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E2F156-D326-44B5-B7E1-35614C5E4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98" y="17932078"/>
          <a:ext cx="7129064" cy="2255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8639</xdr:colOff>
      <xdr:row>91</xdr:row>
      <xdr:rowOff>12959</xdr:rowOff>
    </xdr:from>
    <xdr:to>
      <xdr:col>16</xdr:col>
      <xdr:colOff>396824</xdr:colOff>
      <xdr:row>95</xdr:row>
      <xdr:rowOff>171710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4D4069A-8C17-946D-1704-7F6D94893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" y="19667721"/>
          <a:ext cx="10908825" cy="1022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413657</xdr:colOff>
      <xdr:row>0</xdr:row>
      <xdr:rowOff>112731</xdr:rowOff>
    </xdr:from>
    <xdr:to>
      <xdr:col>8</xdr:col>
      <xdr:colOff>585829</xdr:colOff>
      <xdr:row>17</xdr:row>
      <xdr:rowOff>22297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361872-8992-73B5-E8BB-7D09C7862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657" y="112731"/>
          <a:ext cx="5159331" cy="314806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nek Mukesh" id="{C2C51364-1ABA-4FBD-BD4A-41A7CE48DD18}" userId="7baad15b6bef991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2-04-27T08:01:01.46" personId="{C2C51364-1ABA-4FBD-BD4A-41A7CE48DD18}" id="{907CCE33-C81E-4E2C-AF0C-A5F95EBF5872}">
    <text>BDA = Balanced Day Adjustments 
Accrual, prepayment, depreciation, bad debt exp etc.</text>
  </threadedComment>
  <threadedComment ref="H4" dT="2022-04-27T08:03:56.12" personId="{C2C51364-1ABA-4FBD-BD4A-41A7CE48DD18}" id="{C2BAD37C-FFA5-4D87-8272-E6E6E1D166CE}">
    <text>At end of accounting year; Close books for current year and prepare for next year.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6" dT="2022-05-23T07:53:39.75" personId="{C2C51364-1ABA-4FBD-BD4A-41A7CE48DD18}" id="{E00FA1D5-3AFD-4919-842A-248D3F340300}">
    <text>Depreciation, Bad debts, Error correction, Closing entries etc.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1468-06B7-4EAE-81E5-FB432EF125CF}">
  <dimension ref="A1"/>
  <sheetViews>
    <sheetView zoomScale="121" zoomScaleNormal="85" workbookViewId="0">
      <selection activeCell="T36" sqref="T36"/>
    </sheetView>
  </sheetViews>
  <sheetFormatPr defaultColWidth="8.85546875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C2FA-7F47-4646-A4FB-C656FFCA9DC7}">
  <dimension ref="B1:X20"/>
  <sheetViews>
    <sheetView topLeftCell="B1" zoomScaleNormal="100" workbookViewId="0">
      <selection activeCell="M27" sqref="M27"/>
    </sheetView>
  </sheetViews>
  <sheetFormatPr defaultColWidth="8.85546875" defaultRowHeight="15" x14ac:dyDescent="0.25"/>
  <cols>
    <col min="5" max="5" width="18.85546875" bestFit="1" customWidth="1"/>
    <col min="6" max="6" width="10.42578125" customWidth="1"/>
    <col min="7" max="7" width="10.42578125" bestFit="1" customWidth="1"/>
    <col min="11" max="11" width="2.140625" bestFit="1" customWidth="1"/>
    <col min="12" max="12" width="37.42578125" bestFit="1" customWidth="1"/>
    <col min="13" max="13" width="22.7109375" bestFit="1" customWidth="1"/>
    <col min="17" max="17" width="5.42578125" bestFit="1" customWidth="1"/>
    <col min="18" max="18" width="13.28515625" customWidth="1"/>
    <col min="21" max="21" width="6.140625" customWidth="1"/>
  </cols>
  <sheetData>
    <row r="1" spans="2:24" x14ac:dyDescent="0.25">
      <c r="G1" t="s">
        <v>3</v>
      </c>
      <c r="Q1" s="14"/>
      <c r="R1" s="14"/>
      <c r="S1" s="14" t="s">
        <v>54</v>
      </c>
      <c r="T1" s="14" t="s">
        <v>56</v>
      </c>
      <c r="U1" s="14"/>
      <c r="V1" s="14" t="s">
        <v>49</v>
      </c>
      <c r="W1" s="14" t="s">
        <v>50</v>
      </c>
      <c r="X1" s="14" t="s">
        <v>58</v>
      </c>
    </row>
    <row r="2" spans="2:24" x14ac:dyDescent="0.25">
      <c r="B2" s="2" t="s">
        <v>4</v>
      </c>
      <c r="Q2" s="14"/>
      <c r="R2" s="14" t="s">
        <v>18</v>
      </c>
      <c r="S2" s="14" t="s">
        <v>55</v>
      </c>
      <c r="T2" s="14" t="s">
        <v>57</v>
      </c>
      <c r="U2" s="14"/>
      <c r="V2" s="14" t="s">
        <v>51</v>
      </c>
      <c r="W2" s="14" t="s">
        <v>51</v>
      </c>
      <c r="X2" s="14" t="s">
        <v>59</v>
      </c>
    </row>
    <row r="3" spans="2:24" x14ac:dyDescent="0.25">
      <c r="F3" t="s">
        <v>5</v>
      </c>
      <c r="G3" t="s">
        <v>6</v>
      </c>
      <c r="H3" t="s">
        <v>4</v>
      </c>
      <c r="L3" t="s">
        <v>7</v>
      </c>
      <c r="M3" t="s">
        <v>8</v>
      </c>
      <c r="Q3" s="14" t="s">
        <v>47</v>
      </c>
      <c r="R3" s="14" t="s">
        <v>0</v>
      </c>
      <c r="S3" s="14" t="s">
        <v>15</v>
      </c>
      <c r="T3" s="14" t="s">
        <v>48</v>
      </c>
      <c r="U3" s="14"/>
      <c r="V3" s="14" t="s">
        <v>53</v>
      </c>
      <c r="W3" s="14" t="s">
        <v>53</v>
      </c>
      <c r="X3" s="14" t="s">
        <v>60</v>
      </c>
    </row>
    <row r="4" spans="2:24" ht="15.75" thickBot="1" x14ac:dyDescent="0.3">
      <c r="C4" s="2" t="s">
        <v>9</v>
      </c>
      <c r="D4" s="2"/>
      <c r="E4" s="2" t="s">
        <v>10</v>
      </c>
      <c r="F4" t="s">
        <v>11</v>
      </c>
      <c r="G4" t="s">
        <v>12</v>
      </c>
      <c r="H4" t="s">
        <v>13</v>
      </c>
      <c r="Q4" s="14"/>
      <c r="R4" s="14"/>
      <c r="S4" s="14"/>
      <c r="T4" s="14"/>
      <c r="U4" s="14"/>
      <c r="V4" s="14" t="s">
        <v>52</v>
      </c>
      <c r="W4" s="14" t="s">
        <v>52</v>
      </c>
      <c r="X4" s="14" t="s">
        <v>61</v>
      </c>
    </row>
    <row r="5" spans="2:24" x14ac:dyDescent="0.25">
      <c r="C5" s="2"/>
      <c r="D5" s="2"/>
      <c r="E5" s="3" t="s">
        <v>14</v>
      </c>
      <c r="M5" s="1"/>
      <c r="N5" s="4" t="s">
        <v>15</v>
      </c>
      <c r="O5" s="5" t="s">
        <v>16</v>
      </c>
      <c r="Q5" s="14"/>
      <c r="R5" s="14"/>
      <c r="S5" s="14"/>
      <c r="T5" s="14"/>
      <c r="U5" s="14"/>
      <c r="V5" s="14"/>
      <c r="W5" s="14"/>
      <c r="X5" s="14"/>
    </row>
    <row r="6" spans="2:24" x14ac:dyDescent="0.25">
      <c r="C6" s="103" t="s">
        <v>17</v>
      </c>
      <c r="D6" s="2"/>
      <c r="E6" s="16" t="s">
        <v>18</v>
      </c>
      <c r="F6" t="s">
        <v>11</v>
      </c>
      <c r="H6" s="2" t="s">
        <v>19</v>
      </c>
      <c r="K6">
        <v>1</v>
      </c>
      <c r="L6" t="s">
        <v>20</v>
      </c>
      <c r="M6" s="6" t="s">
        <v>21</v>
      </c>
      <c r="N6" t="s">
        <v>22</v>
      </c>
      <c r="O6" s="7"/>
      <c r="Q6" s="14">
        <v>1</v>
      </c>
      <c r="R6" s="14"/>
      <c r="S6" s="14"/>
      <c r="T6" s="14"/>
      <c r="U6" s="14"/>
      <c r="V6" s="14"/>
      <c r="W6" s="14"/>
      <c r="X6" s="14"/>
    </row>
    <row r="7" spans="2:24" x14ac:dyDescent="0.25">
      <c r="C7" s="103"/>
      <c r="D7" s="2"/>
      <c r="E7" s="3" t="s">
        <v>14</v>
      </c>
      <c r="M7" s="6" t="s">
        <v>23</v>
      </c>
      <c r="O7" s="7" t="s">
        <v>22</v>
      </c>
      <c r="Q7" s="14"/>
      <c r="R7" s="14"/>
      <c r="S7" s="14"/>
      <c r="T7" s="14"/>
      <c r="U7" s="14"/>
      <c r="V7" s="14"/>
      <c r="W7" s="14"/>
      <c r="X7" s="14"/>
    </row>
    <row r="8" spans="2:24" x14ac:dyDescent="0.25">
      <c r="C8" s="103"/>
      <c r="D8" s="2"/>
      <c r="E8" s="16" t="s">
        <v>24</v>
      </c>
      <c r="F8" t="s">
        <v>11</v>
      </c>
      <c r="M8" s="6" t="s">
        <v>25</v>
      </c>
      <c r="O8" s="7"/>
      <c r="Q8" s="14"/>
      <c r="R8" s="14"/>
      <c r="S8" s="14"/>
      <c r="T8" s="14"/>
      <c r="U8" s="14"/>
      <c r="V8" s="14"/>
      <c r="W8" s="14"/>
      <c r="X8" s="14"/>
    </row>
    <row r="9" spans="2:24" x14ac:dyDescent="0.25">
      <c r="C9" s="103"/>
      <c r="D9" s="2"/>
      <c r="E9" s="3" t="s">
        <v>14</v>
      </c>
      <c r="M9" s="6"/>
      <c r="O9" s="7"/>
      <c r="Q9" s="14"/>
      <c r="R9" s="14"/>
      <c r="S9" s="14"/>
      <c r="T9" s="14"/>
      <c r="U9" s="14"/>
      <c r="V9" s="14"/>
      <c r="W9" s="14"/>
      <c r="X9" s="14"/>
    </row>
    <row r="10" spans="2:24" x14ac:dyDescent="0.25">
      <c r="C10" s="103"/>
      <c r="D10" s="2"/>
      <c r="E10" s="16" t="s">
        <v>26</v>
      </c>
      <c r="F10" t="s">
        <v>11</v>
      </c>
      <c r="G10" t="s">
        <v>27</v>
      </c>
      <c r="H10" t="s">
        <v>28</v>
      </c>
      <c r="K10">
        <v>2</v>
      </c>
      <c r="L10" t="s">
        <v>29</v>
      </c>
      <c r="M10" s="6" t="s">
        <v>23</v>
      </c>
      <c r="N10" t="s">
        <v>22</v>
      </c>
      <c r="O10" s="7"/>
      <c r="Q10" s="14"/>
      <c r="R10" s="14"/>
      <c r="S10" s="14"/>
      <c r="T10" s="14"/>
      <c r="U10" s="14"/>
      <c r="V10" s="14"/>
      <c r="W10" s="14"/>
      <c r="X10" s="14"/>
    </row>
    <row r="11" spans="2:24" ht="15.75" thickBot="1" x14ac:dyDescent="0.3">
      <c r="C11" s="2"/>
      <c r="D11" s="2"/>
      <c r="E11" s="2"/>
      <c r="F11" s="15" t="s">
        <v>30</v>
      </c>
      <c r="G11" s="8" t="s">
        <v>31</v>
      </c>
      <c r="H11" s="9" t="s">
        <v>32</v>
      </c>
      <c r="M11" s="6" t="s">
        <v>33</v>
      </c>
      <c r="O11" s="7" t="s">
        <v>22</v>
      </c>
      <c r="Q11" s="14">
        <v>2</v>
      </c>
      <c r="R11" s="14"/>
      <c r="S11" s="14"/>
      <c r="T11" s="14"/>
      <c r="U11" s="14"/>
      <c r="V11" s="14"/>
      <c r="W11" s="14"/>
      <c r="X11" s="14"/>
    </row>
    <row r="12" spans="2:24" ht="15.75" thickTop="1" x14ac:dyDescent="0.25">
      <c r="C12" s="2"/>
      <c r="D12" s="2"/>
      <c r="E12" s="3" t="s">
        <v>14</v>
      </c>
      <c r="G12" s="10" t="s">
        <v>14</v>
      </c>
      <c r="H12" t="s">
        <v>34</v>
      </c>
      <c r="M12" s="6" t="s">
        <v>35</v>
      </c>
      <c r="O12" s="7"/>
    </row>
    <row r="13" spans="2:24" x14ac:dyDescent="0.25">
      <c r="C13" s="2" t="s">
        <v>36</v>
      </c>
      <c r="D13" s="2"/>
      <c r="E13" s="2" t="s">
        <v>37</v>
      </c>
      <c r="F13" t="s">
        <v>37</v>
      </c>
      <c r="H13" t="s">
        <v>38</v>
      </c>
      <c r="M13" s="6"/>
      <c r="O13" s="7"/>
    </row>
    <row r="14" spans="2:24" x14ac:dyDescent="0.25">
      <c r="F14" t="s">
        <v>39</v>
      </c>
      <c r="K14">
        <v>3</v>
      </c>
      <c r="L14" t="s">
        <v>40</v>
      </c>
      <c r="M14" s="6" t="s">
        <v>23</v>
      </c>
      <c r="N14" t="s">
        <v>22</v>
      </c>
      <c r="O14" s="7"/>
    </row>
    <row r="15" spans="2:24" x14ac:dyDescent="0.25">
      <c r="M15" s="6" t="s">
        <v>41</v>
      </c>
      <c r="O15" s="7" t="s">
        <v>22</v>
      </c>
    </row>
    <row r="16" spans="2:24" x14ac:dyDescent="0.25">
      <c r="M16" s="6" t="s">
        <v>42</v>
      </c>
      <c r="O16" s="7"/>
    </row>
    <row r="17" spans="11:15" x14ac:dyDescent="0.25">
      <c r="M17" s="6"/>
      <c r="O17" s="7"/>
    </row>
    <row r="18" spans="11:15" x14ac:dyDescent="0.25">
      <c r="K18">
        <v>4</v>
      </c>
      <c r="L18" t="s">
        <v>43</v>
      </c>
      <c r="M18" s="6" t="s">
        <v>2</v>
      </c>
      <c r="N18" t="s">
        <v>22</v>
      </c>
      <c r="O18" s="7"/>
    </row>
    <row r="19" spans="11:15" x14ac:dyDescent="0.25">
      <c r="M19" s="6" t="s">
        <v>44</v>
      </c>
      <c r="O19" s="7" t="s">
        <v>22</v>
      </c>
    </row>
    <row r="20" spans="11:15" ht="15.75" thickBot="1" x14ac:dyDescent="0.3">
      <c r="M20" s="11" t="s">
        <v>45</v>
      </c>
      <c r="N20" s="12"/>
      <c r="O20" s="13"/>
    </row>
  </sheetData>
  <mergeCells count="1">
    <mergeCell ref="C6:C10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8771-121C-4028-A96C-339990C7F79F}">
  <dimension ref="B1:I18"/>
  <sheetViews>
    <sheetView zoomScale="193" zoomScaleNormal="190" workbookViewId="0">
      <selection activeCell="G15" sqref="G15"/>
    </sheetView>
  </sheetViews>
  <sheetFormatPr defaultColWidth="8.85546875" defaultRowHeight="15" x14ac:dyDescent="0.25"/>
  <cols>
    <col min="1" max="1" width="3.140625" customWidth="1"/>
    <col min="3" max="3" width="18.28515625" bestFit="1" customWidth="1"/>
    <col min="4" max="4" width="5.7109375" customWidth="1"/>
    <col min="5" max="5" width="12.85546875" customWidth="1"/>
    <col min="6" max="6" width="15.140625" bestFit="1" customWidth="1"/>
    <col min="7" max="7" width="20.42578125" customWidth="1"/>
    <col min="8" max="8" width="19.42578125" bestFit="1" customWidth="1"/>
    <col min="9" max="9" width="19.140625" customWidth="1"/>
  </cols>
  <sheetData>
    <row r="1" spans="2:9" x14ac:dyDescent="0.25">
      <c r="G1" s="10" t="s">
        <v>14</v>
      </c>
    </row>
    <row r="2" spans="2:9" x14ac:dyDescent="0.25">
      <c r="B2" s="17" t="s">
        <v>63</v>
      </c>
      <c r="C2" s="17" t="s">
        <v>10</v>
      </c>
    </row>
    <row r="3" spans="2:9" x14ac:dyDescent="0.25">
      <c r="B3" s="17"/>
      <c r="C3" s="18" t="s">
        <v>14</v>
      </c>
    </row>
    <row r="4" spans="2:9" x14ac:dyDescent="0.25">
      <c r="B4" s="17"/>
      <c r="C4" s="17"/>
      <c r="E4" t="s">
        <v>64</v>
      </c>
      <c r="F4" t="s">
        <v>65</v>
      </c>
      <c r="G4" t="s">
        <v>66</v>
      </c>
      <c r="H4" t="s">
        <v>67</v>
      </c>
      <c r="I4" t="s">
        <v>68</v>
      </c>
    </row>
    <row r="5" spans="2:9" x14ac:dyDescent="0.25">
      <c r="B5" s="104" t="s">
        <v>69</v>
      </c>
      <c r="C5" s="17" t="s">
        <v>70</v>
      </c>
      <c r="D5" s="10" t="s">
        <v>71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</row>
    <row r="6" spans="2:9" x14ac:dyDescent="0.25">
      <c r="B6" s="104"/>
      <c r="C6" s="18" t="s">
        <v>14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</row>
    <row r="7" spans="2:9" x14ac:dyDescent="0.25">
      <c r="B7" s="104"/>
      <c r="C7" s="18"/>
    </row>
    <row r="8" spans="2:9" x14ac:dyDescent="0.25">
      <c r="B8" s="104"/>
      <c r="C8" s="17" t="s">
        <v>82</v>
      </c>
      <c r="D8" s="10" t="s">
        <v>71</v>
      </c>
      <c r="E8" t="s">
        <v>83</v>
      </c>
      <c r="F8" t="s">
        <v>84</v>
      </c>
      <c r="G8" t="s">
        <v>85</v>
      </c>
    </row>
    <row r="9" spans="2:9" x14ac:dyDescent="0.25">
      <c r="B9" s="104"/>
      <c r="C9" s="18" t="s">
        <v>14</v>
      </c>
      <c r="E9" t="s">
        <v>86</v>
      </c>
      <c r="F9" t="s">
        <v>87</v>
      </c>
      <c r="G9" t="s">
        <v>88</v>
      </c>
    </row>
    <row r="10" spans="2:9" x14ac:dyDescent="0.25">
      <c r="B10" s="104"/>
      <c r="C10" s="18"/>
      <c r="E10" t="s">
        <v>89</v>
      </c>
      <c r="F10" t="s">
        <v>89</v>
      </c>
    </row>
    <row r="11" spans="2:9" x14ac:dyDescent="0.25">
      <c r="B11" s="104"/>
      <c r="C11" s="17" t="s">
        <v>90</v>
      </c>
    </row>
    <row r="12" spans="2:9" x14ac:dyDescent="0.25">
      <c r="B12" s="17"/>
      <c r="C12" s="18" t="s">
        <v>14</v>
      </c>
    </row>
    <row r="13" spans="2:9" x14ac:dyDescent="0.25">
      <c r="B13" s="17"/>
      <c r="C13" s="18"/>
    </row>
    <row r="14" spans="2:9" x14ac:dyDescent="0.25">
      <c r="B14" s="17" t="s">
        <v>91</v>
      </c>
      <c r="C14" s="17" t="s">
        <v>37</v>
      </c>
    </row>
    <row r="15" spans="2:9" x14ac:dyDescent="0.25">
      <c r="B15" s="17"/>
      <c r="C15" s="19" t="s">
        <v>92</v>
      </c>
    </row>
    <row r="16" spans="2:9" x14ac:dyDescent="0.25">
      <c r="B16" s="17"/>
      <c r="C16" s="19" t="s">
        <v>93</v>
      </c>
    </row>
    <row r="17" spans="2:3" x14ac:dyDescent="0.25">
      <c r="B17" s="17"/>
      <c r="C17" s="19" t="s">
        <v>94</v>
      </c>
    </row>
    <row r="18" spans="2:3" x14ac:dyDescent="0.25">
      <c r="B18" s="17"/>
      <c r="C18" s="19" t="s">
        <v>95</v>
      </c>
    </row>
  </sheetData>
  <mergeCells count="1">
    <mergeCell ref="B5:B1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9814-F5FC-433D-A91B-A1506DD05597}">
  <dimension ref="B2:C11"/>
  <sheetViews>
    <sheetView zoomScale="117" zoomScaleNormal="145" workbookViewId="0">
      <selection activeCell="A22" sqref="A22"/>
    </sheetView>
  </sheetViews>
  <sheetFormatPr defaultColWidth="8.85546875" defaultRowHeight="15" x14ac:dyDescent="0.25"/>
  <cols>
    <col min="2" max="2" width="29.85546875" customWidth="1"/>
  </cols>
  <sheetData>
    <row r="2" spans="2:3" x14ac:dyDescent="0.25">
      <c r="B2" t="s">
        <v>175</v>
      </c>
    </row>
    <row r="4" spans="2:3" x14ac:dyDescent="0.25">
      <c r="B4" s="25"/>
      <c r="C4" s="26"/>
    </row>
    <row r="5" spans="2:3" x14ac:dyDescent="0.25">
      <c r="B5" s="27"/>
      <c r="C5" s="28"/>
    </row>
    <row r="6" spans="2:3" x14ac:dyDescent="0.25">
      <c r="B6" s="29"/>
      <c r="C6" s="28"/>
    </row>
    <row r="7" spans="2:3" ht="3" customHeight="1" x14ac:dyDescent="0.25">
      <c r="B7" s="29"/>
      <c r="C7" s="28"/>
    </row>
    <row r="8" spans="2:3" hidden="1" x14ac:dyDescent="0.25">
      <c r="B8" s="29"/>
      <c r="C8" s="28"/>
    </row>
    <row r="9" spans="2:3" hidden="1" x14ac:dyDescent="0.25">
      <c r="B9" s="29"/>
      <c r="C9" s="28"/>
    </row>
    <row r="10" spans="2:3" hidden="1" x14ac:dyDescent="0.25">
      <c r="B10" s="29"/>
      <c r="C10" s="28"/>
    </row>
    <row r="11" spans="2:3" x14ac:dyDescent="0.25">
      <c r="B11" s="29"/>
      <c r="C11" s="2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9A49-CA92-4EBB-8E34-607384C2C107}">
  <dimension ref="B2:C11"/>
  <sheetViews>
    <sheetView zoomScale="131" zoomScaleNormal="145" workbookViewId="0">
      <selection activeCell="B4" sqref="B4"/>
    </sheetView>
  </sheetViews>
  <sheetFormatPr defaultColWidth="8.85546875" defaultRowHeight="15" x14ac:dyDescent="0.25"/>
  <cols>
    <col min="2" max="2" width="29.85546875" customWidth="1"/>
  </cols>
  <sheetData>
    <row r="2" spans="2:3" x14ac:dyDescent="0.25">
      <c r="B2" t="s">
        <v>174</v>
      </c>
    </row>
    <row r="4" spans="2:3" x14ac:dyDescent="0.25">
      <c r="B4" s="25" t="s">
        <v>112</v>
      </c>
      <c r="C4" s="26" t="s">
        <v>113</v>
      </c>
    </row>
    <row r="5" spans="2:3" x14ac:dyDescent="0.25">
      <c r="B5" s="27" t="s">
        <v>114</v>
      </c>
      <c r="C5" s="28" t="s">
        <v>115</v>
      </c>
    </row>
    <row r="6" spans="2:3" x14ac:dyDescent="0.25">
      <c r="B6" s="29" t="s">
        <v>116</v>
      </c>
      <c r="C6" s="28" t="s">
        <v>117</v>
      </c>
    </row>
    <row r="7" spans="2:3" x14ac:dyDescent="0.25">
      <c r="B7" s="29" t="s">
        <v>62</v>
      </c>
      <c r="C7" s="28" t="s">
        <v>118</v>
      </c>
    </row>
    <row r="8" spans="2:3" x14ac:dyDescent="0.25">
      <c r="B8" s="29" t="s">
        <v>119</v>
      </c>
      <c r="C8" s="28" t="s">
        <v>120</v>
      </c>
    </row>
    <row r="9" spans="2:3" x14ac:dyDescent="0.25">
      <c r="B9" s="29" t="s">
        <v>121</v>
      </c>
      <c r="C9" s="28" t="s">
        <v>122</v>
      </c>
    </row>
    <row r="10" spans="2:3" x14ac:dyDescent="0.25">
      <c r="B10" s="29" t="s">
        <v>123</v>
      </c>
      <c r="C10" s="28" t="s">
        <v>124</v>
      </c>
    </row>
    <row r="11" spans="2:3" x14ac:dyDescent="0.25">
      <c r="B11" s="29" t="s">
        <v>125</v>
      </c>
      <c r="C11" s="28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8F79D-9820-4F0E-85E0-EB2FC36CCDA0}">
  <dimension ref="A1:O83"/>
  <sheetViews>
    <sheetView topLeftCell="A59" zoomScale="115" zoomScaleNormal="115" workbookViewId="0">
      <selection activeCell="E78" sqref="E78"/>
    </sheetView>
  </sheetViews>
  <sheetFormatPr defaultColWidth="8.7109375" defaultRowHeight="18.75" x14ac:dyDescent="0.4"/>
  <cols>
    <col min="1" max="1" width="9.28515625" style="81" bestFit="1" customWidth="1"/>
    <col min="2" max="2" width="12.140625" style="81" customWidth="1"/>
    <col min="3" max="3" width="4.42578125" style="81" customWidth="1"/>
    <col min="4" max="5" width="8.7109375" style="81"/>
    <col min="6" max="6" width="9.42578125" style="81" customWidth="1"/>
    <col min="7" max="7" width="6.28515625" style="81" customWidth="1"/>
    <col min="8" max="10" width="8.7109375" style="81"/>
    <col min="11" max="11" width="4.7109375" style="81" customWidth="1"/>
    <col min="12" max="12" width="16.42578125" style="81" customWidth="1"/>
    <col min="13" max="16384" width="8.7109375" style="81"/>
  </cols>
  <sheetData>
    <row r="1" spans="1:14" x14ac:dyDescent="0.4">
      <c r="A1" s="80" t="s">
        <v>96</v>
      </c>
    </row>
    <row r="2" spans="1:14" x14ac:dyDescent="0.4">
      <c r="A2" s="83"/>
      <c r="B2" s="83"/>
      <c r="D2" s="83"/>
      <c r="E2" s="83" t="s">
        <v>97</v>
      </c>
      <c r="F2" s="83"/>
      <c r="H2" s="83"/>
      <c r="I2" s="83" t="s">
        <v>176</v>
      </c>
      <c r="J2" s="83"/>
      <c r="L2" s="83"/>
      <c r="M2" s="83" t="s">
        <v>98</v>
      </c>
      <c r="N2" s="83"/>
    </row>
    <row r="3" spans="1:14" x14ac:dyDescent="0.4">
      <c r="A3" s="83" t="s">
        <v>47</v>
      </c>
      <c r="B3" s="83" t="s">
        <v>99</v>
      </c>
      <c r="D3" s="83" t="s">
        <v>100</v>
      </c>
      <c r="E3" s="83" t="s">
        <v>101</v>
      </c>
      <c r="F3" s="83" t="s">
        <v>102</v>
      </c>
      <c r="H3" s="83" t="s">
        <v>100</v>
      </c>
      <c r="I3" s="83" t="s">
        <v>101</v>
      </c>
      <c r="J3" s="83" t="s">
        <v>102</v>
      </c>
      <c r="L3" s="83" t="s">
        <v>100</v>
      </c>
      <c r="M3" s="83" t="s">
        <v>101</v>
      </c>
      <c r="N3" s="83" t="s">
        <v>102</v>
      </c>
    </row>
    <row r="4" spans="1:14" x14ac:dyDescent="0.4">
      <c r="A4" s="85">
        <v>37104</v>
      </c>
      <c r="B4" s="83" t="s">
        <v>103</v>
      </c>
      <c r="D4" s="83"/>
      <c r="E4" s="83"/>
      <c r="F4" s="83"/>
      <c r="H4" s="83"/>
      <c r="I4" s="83"/>
      <c r="J4" s="83"/>
      <c r="L4" s="83">
        <v>60</v>
      </c>
      <c r="M4" s="83">
        <v>10</v>
      </c>
      <c r="N4" s="83">
        <f>L4*M4</f>
        <v>600</v>
      </c>
    </row>
    <row r="5" spans="1:14" x14ac:dyDescent="0.4">
      <c r="A5" s="83"/>
      <c r="B5" s="83"/>
      <c r="D5" s="83"/>
      <c r="E5" s="83"/>
      <c r="F5" s="83"/>
      <c r="H5" s="83"/>
      <c r="I5" s="83"/>
      <c r="J5" s="83"/>
      <c r="L5" s="83"/>
      <c r="M5" s="83"/>
      <c r="N5" s="83"/>
    </row>
    <row r="6" spans="1:14" x14ac:dyDescent="0.4">
      <c r="A6" s="83">
        <v>12</v>
      </c>
      <c r="B6" s="83" t="s">
        <v>104</v>
      </c>
      <c r="D6" s="83">
        <v>90</v>
      </c>
      <c r="E6" s="83">
        <v>12</v>
      </c>
      <c r="F6" s="83">
        <f>D6*E6</f>
        <v>1080</v>
      </c>
      <c r="H6" s="83"/>
      <c r="I6" s="83"/>
      <c r="J6" s="83"/>
      <c r="K6" s="81" t="s">
        <v>105</v>
      </c>
      <c r="L6" s="83">
        <f>L4</f>
        <v>60</v>
      </c>
      <c r="M6" s="83">
        <f>M4</f>
        <v>10</v>
      </c>
      <c r="N6" s="83">
        <f>N4</f>
        <v>600</v>
      </c>
    </row>
    <row r="7" spans="1:14" x14ac:dyDescent="0.4">
      <c r="A7" s="83"/>
      <c r="B7" s="83"/>
      <c r="D7" s="83"/>
      <c r="E7" s="83"/>
      <c r="F7" s="83"/>
      <c r="H7" s="83"/>
      <c r="I7" s="83"/>
      <c r="J7" s="83"/>
      <c r="K7" s="81" t="s">
        <v>106</v>
      </c>
      <c r="L7" s="83">
        <f>D6</f>
        <v>90</v>
      </c>
      <c r="M7" s="83">
        <f t="shared" ref="M7:N7" si="0">E6</f>
        <v>12</v>
      </c>
      <c r="N7" s="83">
        <f t="shared" si="0"/>
        <v>1080</v>
      </c>
    </row>
    <row r="8" spans="1:14" x14ac:dyDescent="0.4">
      <c r="A8" s="83"/>
      <c r="B8" s="83"/>
      <c r="D8" s="83"/>
      <c r="E8" s="83"/>
      <c r="F8" s="83"/>
      <c r="H8" s="83"/>
      <c r="I8" s="83"/>
      <c r="J8" s="83"/>
      <c r="L8" s="83"/>
      <c r="M8" s="83"/>
      <c r="N8" s="83"/>
    </row>
    <row r="9" spans="1:14" x14ac:dyDescent="0.4">
      <c r="A9" s="83">
        <v>15</v>
      </c>
      <c r="B9" s="83" t="s">
        <v>107</v>
      </c>
      <c r="D9" s="83"/>
      <c r="E9" s="83"/>
      <c r="F9" s="83"/>
      <c r="H9" s="83">
        <f>L6</f>
        <v>60</v>
      </c>
      <c r="I9" s="83">
        <f t="shared" ref="I9:J9" si="1">M6</f>
        <v>10</v>
      </c>
      <c r="J9" s="83">
        <f t="shared" si="1"/>
        <v>600</v>
      </c>
      <c r="L9" s="83">
        <f>L6-H9</f>
        <v>0</v>
      </c>
      <c r="M9" s="83">
        <v>10</v>
      </c>
      <c r="N9" s="83">
        <f>L9*M9</f>
        <v>0</v>
      </c>
    </row>
    <row r="10" spans="1:14" x14ac:dyDescent="0.4">
      <c r="A10" s="83"/>
      <c r="B10" s="83"/>
      <c r="D10" s="83"/>
      <c r="E10" s="83"/>
      <c r="F10" s="83"/>
      <c r="H10" s="83">
        <v>20</v>
      </c>
      <c r="I10" s="83">
        <v>12</v>
      </c>
      <c r="J10" s="83">
        <f>H10*I10</f>
        <v>240</v>
      </c>
      <c r="L10" s="83">
        <f>L7-H10</f>
        <v>70</v>
      </c>
      <c r="M10" s="83">
        <v>12</v>
      </c>
      <c r="N10" s="83">
        <f>L10*M10</f>
        <v>840</v>
      </c>
    </row>
    <row r="11" spans="1:14" x14ac:dyDescent="0.4">
      <c r="A11" s="83"/>
      <c r="B11" s="83"/>
      <c r="D11" s="83"/>
      <c r="E11" s="83"/>
      <c r="F11" s="83"/>
      <c r="H11" s="83"/>
      <c r="I11" s="83"/>
      <c r="J11" s="83"/>
      <c r="L11" s="83"/>
      <c r="M11" s="83"/>
      <c r="N11" s="83"/>
    </row>
    <row r="12" spans="1:14" x14ac:dyDescent="0.4">
      <c r="A12" s="83">
        <v>21</v>
      </c>
      <c r="B12" s="83" t="s">
        <v>104</v>
      </c>
      <c r="D12" s="83">
        <v>120</v>
      </c>
      <c r="E12" s="83">
        <v>13</v>
      </c>
      <c r="F12" s="83">
        <f>D12*E12</f>
        <v>1560</v>
      </c>
      <c r="H12" s="83"/>
      <c r="I12" s="83"/>
      <c r="J12" s="83"/>
      <c r="K12" s="81" t="s">
        <v>105</v>
      </c>
      <c r="L12" s="83">
        <f>L10</f>
        <v>70</v>
      </c>
      <c r="M12" s="83">
        <f t="shared" ref="M12:N12" si="2">M10</f>
        <v>12</v>
      </c>
      <c r="N12" s="83">
        <f t="shared" si="2"/>
        <v>840</v>
      </c>
    </row>
    <row r="13" spans="1:14" x14ac:dyDescent="0.4">
      <c r="A13" s="83"/>
      <c r="B13" s="83"/>
      <c r="D13" s="83"/>
      <c r="E13" s="83"/>
      <c r="F13" s="83"/>
      <c r="H13" s="83"/>
      <c r="I13" s="83"/>
      <c r="J13" s="83"/>
      <c r="K13" s="81" t="s">
        <v>106</v>
      </c>
      <c r="L13" s="83">
        <f>D12</f>
        <v>120</v>
      </c>
      <c r="M13" s="83">
        <f t="shared" ref="M13:N13" si="3">E12</f>
        <v>13</v>
      </c>
      <c r="N13" s="83">
        <f t="shared" si="3"/>
        <v>1560</v>
      </c>
    </row>
    <row r="14" spans="1:14" x14ac:dyDescent="0.4">
      <c r="A14" s="83"/>
      <c r="B14" s="83"/>
      <c r="D14" s="83"/>
      <c r="E14" s="83"/>
      <c r="F14" s="83"/>
      <c r="H14" s="83"/>
      <c r="I14" s="83"/>
      <c r="J14" s="83"/>
      <c r="L14" s="83"/>
      <c r="M14" s="83"/>
      <c r="N14" s="83"/>
    </row>
    <row r="15" spans="1:14" x14ac:dyDescent="0.4">
      <c r="A15" s="83">
        <v>22</v>
      </c>
      <c r="B15" s="83" t="s">
        <v>107</v>
      </c>
      <c r="D15" s="83"/>
      <c r="E15" s="83"/>
      <c r="F15" s="83"/>
      <c r="H15" s="83">
        <v>70</v>
      </c>
      <c r="I15" s="83">
        <f>M12</f>
        <v>12</v>
      </c>
      <c r="J15" s="83">
        <f>H15*I15</f>
        <v>840</v>
      </c>
      <c r="L15" s="83">
        <f>L12-H15</f>
        <v>0</v>
      </c>
      <c r="M15" s="83">
        <f>M12</f>
        <v>12</v>
      </c>
      <c r="N15" s="83">
        <f>L15*M15</f>
        <v>0</v>
      </c>
    </row>
    <row r="16" spans="1:14" x14ac:dyDescent="0.4">
      <c r="A16" s="83"/>
      <c r="B16" s="83"/>
      <c r="D16" s="83"/>
      <c r="E16" s="83"/>
      <c r="F16" s="83"/>
      <c r="H16" s="83">
        <v>30</v>
      </c>
      <c r="I16" s="83">
        <f>M13</f>
        <v>13</v>
      </c>
      <c r="J16" s="83">
        <f>H16*I16</f>
        <v>390</v>
      </c>
      <c r="L16" s="83">
        <f>L13-H16</f>
        <v>90</v>
      </c>
      <c r="M16" s="83">
        <f>M13</f>
        <v>13</v>
      </c>
      <c r="N16" s="83">
        <f>L16*M16</f>
        <v>1170</v>
      </c>
    </row>
    <row r="17" spans="1:15" x14ac:dyDescent="0.4">
      <c r="A17" s="83"/>
      <c r="B17" s="83"/>
      <c r="D17" s="83"/>
      <c r="E17" s="83"/>
      <c r="F17" s="83"/>
      <c r="H17" s="83"/>
      <c r="I17" s="83"/>
      <c r="J17" s="83"/>
      <c r="L17" s="83"/>
      <c r="M17" s="83"/>
      <c r="N17" s="83"/>
    </row>
    <row r="18" spans="1:15" x14ac:dyDescent="0.4">
      <c r="A18" s="83">
        <v>28</v>
      </c>
      <c r="B18" s="83" t="s">
        <v>107</v>
      </c>
      <c r="D18" s="83"/>
      <c r="E18" s="83"/>
      <c r="F18" s="83"/>
      <c r="H18" s="83">
        <v>65</v>
      </c>
      <c r="I18" s="83">
        <v>13</v>
      </c>
      <c r="J18" s="83">
        <f>H18*I18</f>
        <v>845</v>
      </c>
      <c r="L18" s="83">
        <f>L16-H18</f>
        <v>25</v>
      </c>
      <c r="M18" s="83">
        <f>M16</f>
        <v>13</v>
      </c>
      <c r="N18" s="86">
        <f>L18*M18</f>
        <v>325</v>
      </c>
      <c r="O18" s="81" t="s">
        <v>92</v>
      </c>
    </row>
    <row r="19" spans="1:15" x14ac:dyDescent="0.4">
      <c r="A19" s="83"/>
      <c r="B19" s="83"/>
      <c r="D19" s="83"/>
      <c r="E19" s="83"/>
      <c r="F19" s="83"/>
      <c r="H19" s="83"/>
      <c r="I19" s="83"/>
      <c r="L19" s="83"/>
      <c r="M19" s="83"/>
      <c r="N19" s="83"/>
    </row>
    <row r="20" spans="1:15" x14ac:dyDescent="0.4">
      <c r="J20" s="86">
        <f>SUM(J9:J18)</f>
        <v>2915</v>
      </c>
      <c r="K20" s="80" t="s">
        <v>93</v>
      </c>
      <c r="N20" s="80">
        <f>N18</f>
        <v>325</v>
      </c>
      <c r="O20" s="80" t="s">
        <v>92</v>
      </c>
    </row>
    <row r="21" spans="1:15" x14ac:dyDescent="0.4">
      <c r="K21" s="81" t="s">
        <v>177</v>
      </c>
      <c r="O21" s="81" t="s">
        <v>178</v>
      </c>
    </row>
    <row r="22" spans="1:15" x14ac:dyDescent="0.4">
      <c r="A22" s="80" t="s">
        <v>108</v>
      </c>
    </row>
    <row r="23" spans="1:15" x14ac:dyDescent="0.4">
      <c r="A23" s="83"/>
      <c r="B23" s="83"/>
      <c r="D23" s="83"/>
      <c r="E23" s="83" t="s">
        <v>97</v>
      </c>
      <c r="F23" s="83"/>
      <c r="H23" s="83"/>
      <c r="I23" s="83" t="s">
        <v>62</v>
      </c>
      <c r="J23" s="83"/>
      <c r="L23" s="83"/>
      <c r="M23" s="83" t="s">
        <v>98</v>
      </c>
      <c r="N23" s="83"/>
    </row>
    <row r="24" spans="1:15" x14ac:dyDescent="0.4">
      <c r="A24" s="83" t="s">
        <v>47</v>
      </c>
      <c r="B24" s="83" t="s">
        <v>99</v>
      </c>
      <c r="D24" s="83" t="s">
        <v>100</v>
      </c>
      <c r="E24" s="83" t="s">
        <v>101</v>
      </c>
      <c r="F24" s="83" t="s">
        <v>102</v>
      </c>
      <c r="H24" s="83" t="s">
        <v>100</v>
      </c>
      <c r="I24" s="83" t="s">
        <v>101</v>
      </c>
      <c r="J24" s="83" t="s">
        <v>102</v>
      </c>
      <c r="L24" s="83" t="s">
        <v>100</v>
      </c>
      <c r="M24" s="83" t="s">
        <v>101</v>
      </c>
      <c r="N24" s="83" t="s">
        <v>102</v>
      </c>
    </row>
    <row r="25" spans="1:15" x14ac:dyDescent="0.4">
      <c r="A25" s="85">
        <v>37104</v>
      </c>
      <c r="B25" s="83" t="s">
        <v>103</v>
      </c>
      <c r="D25" s="83"/>
      <c r="E25" s="83"/>
      <c r="F25" s="83"/>
      <c r="H25" s="83"/>
      <c r="I25" s="83"/>
      <c r="J25" s="83"/>
      <c r="L25" s="83">
        <v>60</v>
      </c>
      <c r="M25" s="83">
        <v>10</v>
      </c>
      <c r="N25" s="83">
        <f>L25*M25</f>
        <v>600</v>
      </c>
    </row>
    <row r="26" spans="1:15" x14ac:dyDescent="0.4">
      <c r="A26" s="83"/>
      <c r="B26" s="83"/>
      <c r="D26" s="83"/>
      <c r="E26" s="83"/>
      <c r="F26" s="83"/>
      <c r="H26" s="83"/>
      <c r="I26" s="83"/>
      <c r="J26" s="83"/>
      <c r="L26" s="83"/>
      <c r="M26" s="83"/>
      <c r="N26" s="83"/>
    </row>
    <row r="27" spans="1:15" x14ac:dyDescent="0.4">
      <c r="A27" s="83">
        <v>12</v>
      </c>
      <c r="B27" s="83" t="s">
        <v>104</v>
      </c>
      <c r="D27" s="83">
        <v>90</v>
      </c>
      <c r="E27" s="83">
        <v>12</v>
      </c>
      <c r="F27" s="83">
        <f>D27*E27</f>
        <v>1080</v>
      </c>
      <c r="H27" s="83"/>
      <c r="I27" s="83"/>
      <c r="J27" s="83"/>
      <c r="K27" s="81" t="s">
        <v>106</v>
      </c>
      <c r="L27" s="83">
        <f>L25</f>
        <v>60</v>
      </c>
      <c r="M27" s="83">
        <f>M25</f>
        <v>10</v>
      </c>
      <c r="N27" s="83">
        <f>N25</f>
        <v>600</v>
      </c>
    </row>
    <row r="28" spans="1:15" x14ac:dyDescent="0.4">
      <c r="A28" s="83"/>
      <c r="B28" s="83"/>
      <c r="D28" s="83"/>
      <c r="E28" s="83"/>
      <c r="F28" s="83"/>
      <c r="H28" s="83"/>
      <c r="I28" s="83"/>
      <c r="J28" s="83"/>
      <c r="K28" s="81" t="s">
        <v>105</v>
      </c>
      <c r="L28" s="83">
        <f>D27</f>
        <v>90</v>
      </c>
      <c r="M28" s="83">
        <f t="shared" ref="M28:N28" si="4">E27</f>
        <v>12</v>
      </c>
      <c r="N28" s="83">
        <f t="shared" si="4"/>
        <v>1080</v>
      </c>
    </row>
    <row r="29" spans="1:15" x14ac:dyDescent="0.4">
      <c r="A29" s="83"/>
      <c r="B29" s="83"/>
      <c r="D29" s="83"/>
      <c r="E29" s="83"/>
      <c r="F29" s="83"/>
      <c r="H29" s="83"/>
      <c r="I29" s="83"/>
      <c r="J29" s="83"/>
      <c r="L29" s="83"/>
      <c r="M29" s="83"/>
      <c r="N29" s="83"/>
    </row>
    <row r="30" spans="1:15" x14ac:dyDescent="0.4">
      <c r="A30" s="83">
        <v>15</v>
      </c>
      <c r="B30" s="83" t="s">
        <v>107</v>
      </c>
      <c r="D30" s="83"/>
      <c r="E30" s="83"/>
      <c r="F30" s="83"/>
      <c r="G30" s="81" t="s">
        <v>106</v>
      </c>
      <c r="H30" s="83">
        <v>0</v>
      </c>
      <c r="I30" s="83">
        <v>10</v>
      </c>
      <c r="J30" s="83">
        <f>H30*I30</f>
        <v>0</v>
      </c>
      <c r="L30" s="87">
        <f>L27-H30</f>
        <v>60</v>
      </c>
      <c r="M30" s="87">
        <v>10</v>
      </c>
      <c r="N30" s="87">
        <f>L30*M30</f>
        <v>600</v>
      </c>
    </row>
    <row r="31" spans="1:15" x14ac:dyDescent="0.4">
      <c r="A31" s="83"/>
      <c r="B31" s="83"/>
      <c r="D31" s="83"/>
      <c r="E31" s="83"/>
      <c r="F31" s="83"/>
      <c r="G31" s="81" t="s">
        <v>105</v>
      </c>
      <c r="H31" s="83">
        <v>80</v>
      </c>
      <c r="I31" s="83">
        <v>12</v>
      </c>
      <c r="J31" s="83">
        <f>H31*I31</f>
        <v>960</v>
      </c>
      <c r="L31" s="87">
        <f>L28-H31</f>
        <v>10</v>
      </c>
      <c r="M31" s="87">
        <v>12</v>
      </c>
      <c r="N31" s="87">
        <f>L31*M31</f>
        <v>120</v>
      </c>
    </row>
    <row r="32" spans="1:15" x14ac:dyDescent="0.4">
      <c r="A32" s="83"/>
      <c r="B32" s="83"/>
      <c r="D32" s="83"/>
      <c r="E32" s="83"/>
      <c r="F32" s="83"/>
      <c r="H32" s="83"/>
      <c r="I32" s="83"/>
      <c r="J32" s="83"/>
      <c r="L32" s="88"/>
      <c r="M32" s="88"/>
      <c r="N32" s="88"/>
    </row>
    <row r="33" spans="1:15" x14ac:dyDescent="0.4">
      <c r="A33" s="83">
        <v>21</v>
      </c>
      <c r="B33" s="83" t="s">
        <v>104</v>
      </c>
      <c r="D33" s="83">
        <v>120</v>
      </c>
      <c r="E33" s="83">
        <v>13</v>
      </c>
      <c r="F33" s="83">
        <f>D33*E33</f>
        <v>1560</v>
      </c>
      <c r="H33" s="83"/>
      <c r="I33" s="83"/>
      <c r="J33" s="83"/>
      <c r="K33" s="81" t="s">
        <v>109</v>
      </c>
      <c r="L33" s="87">
        <f>L30</f>
        <v>60</v>
      </c>
      <c r="M33" s="87">
        <f t="shared" ref="M33:N34" si="5">M30</f>
        <v>10</v>
      </c>
      <c r="N33" s="87">
        <f t="shared" si="5"/>
        <v>600</v>
      </c>
    </row>
    <row r="34" spans="1:15" x14ac:dyDescent="0.4">
      <c r="A34" s="83"/>
      <c r="B34" s="83"/>
      <c r="D34" s="83"/>
      <c r="E34" s="83"/>
      <c r="F34" s="83"/>
      <c r="H34" s="83"/>
      <c r="I34" s="83"/>
      <c r="J34" s="83"/>
      <c r="K34" s="81" t="s">
        <v>106</v>
      </c>
      <c r="L34" s="87">
        <f>L31</f>
        <v>10</v>
      </c>
      <c r="M34" s="87">
        <f t="shared" si="5"/>
        <v>12</v>
      </c>
      <c r="N34" s="87">
        <f t="shared" si="5"/>
        <v>120</v>
      </c>
    </row>
    <row r="35" spans="1:15" x14ac:dyDescent="0.4">
      <c r="A35" s="83"/>
      <c r="B35" s="83"/>
      <c r="D35" s="83"/>
      <c r="E35" s="83"/>
      <c r="F35" s="83"/>
      <c r="H35" s="83"/>
      <c r="I35" s="83"/>
      <c r="J35" s="83"/>
      <c r="K35" s="81" t="s">
        <v>105</v>
      </c>
      <c r="L35" s="87">
        <f>D33</f>
        <v>120</v>
      </c>
      <c r="M35" s="87">
        <f t="shared" ref="M35:N35" si="6">E33</f>
        <v>13</v>
      </c>
      <c r="N35" s="87">
        <f t="shared" si="6"/>
        <v>1560</v>
      </c>
    </row>
    <row r="36" spans="1:15" x14ac:dyDescent="0.4">
      <c r="A36" s="83"/>
      <c r="B36" s="83"/>
      <c r="D36" s="83"/>
      <c r="E36" s="83"/>
      <c r="F36" s="83"/>
      <c r="H36" s="83"/>
      <c r="I36" s="83"/>
      <c r="J36" s="83"/>
      <c r="L36" s="87"/>
      <c r="M36" s="87"/>
      <c r="N36" s="87"/>
    </row>
    <row r="37" spans="1:15" x14ac:dyDescent="0.4">
      <c r="A37" s="83">
        <v>22</v>
      </c>
      <c r="B37" s="83" t="s">
        <v>107</v>
      </c>
      <c r="D37" s="83"/>
      <c r="E37" s="83"/>
      <c r="F37" s="83"/>
      <c r="G37" s="81" t="s">
        <v>109</v>
      </c>
      <c r="H37" s="83">
        <v>0</v>
      </c>
      <c r="I37" s="83">
        <v>10</v>
      </c>
      <c r="J37" s="83">
        <f>H37*I37</f>
        <v>0</v>
      </c>
      <c r="K37" s="81" t="s">
        <v>109</v>
      </c>
      <c r="L37" s="87">
        <f>L33-H37</f>
        <v>60</v>
      </c>
      <c r="M37" s="87">
        <f>M33</f>
        <v>10</v>
      </c>
      <c r="N37" s="87">
        <f>L37*M37</f>
        <v>600</v>
      </c>
    </row>
    <row r="38" spans="1:15" x14ac:dyDescent="0.4">
      <c r="A38" s="83"/>
      <c r="B38" s="83"/>
      <c r="D38" s="83"/>
      <c r="E38" s="83"/>
      <c r="F38" s="83"/>
      <c r="G38" s="81" t="s">
        <v>106</v>
      </c>
      <c r="H38" s="83">
        <v>0</v>
      </c>
      <c r="I38" s="83">
        <v>12</v>
      </c>
      <c r="J38" s="83">
        <f>H38*I38</f>
        <v>0</v>
      </c>
      <c r="K38" s="81" t="s">
        <v>106</v>
      </c>
      <c r="L38" s="87">
        <f>L34-H38</f>
        <v>10</v>
      </c>
      <c r="M38" s="87">
        <f>M34</f>
        <v>12</v>
      </c>
      <c r="N38" s="87">
        <f>L38*M38</f>
        <v>120</v>
      </c>
    </row>
    <row r="39" spans="1:15" x14ac:dyDescent="0.4">
      <c r="A39" s="83"/>
      <c r="B39" s="83"/>
      <c r="D39" s="83"/>
      <c r="E39" s="83"/>
      <c r="F39" s="83"/>
      <c r="G39" s="81" t="s">
        <v>105</v>
      </c>
      <c r="H39" s="83">
        <v>100</v>
      </c>
      <c r="I39" s="83">
        <v>13</v>
      </c>
      <c r="J39" s="83">
        <f>H39*I39</f>
        <v>1300</v>
      </c>
      <c r="K39" s="81" t="s">
        <v>105</v>
      </c>
      <c r="L39" s="87">
        <f>L35-H39</f>
        <v>20</v>
      </c>
      <c r="M39" s="87">
        <f>M35</f>
        <v>13</v>
      </c>
      <c r="N39" s="87">
        <f>L39*M39</f>
        <v>260</v>
      </c>
    </row>
    <row r="40" spans="1:15" x14ac:dyDescent="0.4">
      <c r="A40" s="83"/>
      <c r="B40" s="83"/>
      <c r="D40" s="83"/>
      <c r="E40" s="83"/>
      <c r="F40" s="83"/>
      <c r="H40" s="83"/>
      <c r="I40" s="83"/>
      <c r="J40" s="83"/>
      <c r="L40" s="87"/>
      <c r="M40" s="87"/>
      <c r="N40" s="87"/>
    </row>
    <row r="41" spans="1:15" x14ac:dyDescent="0.4">
      <c r="A41" s="83">
        <v>28</v>
      </c>
      <c r="B41" s="83" t="s">
        <v>107</v>
      </c>
      <c r="D41" s="83"/>
      <c r="E41" s="83"/>
      <c r="F41" s="83"/>
      <c r="G41" s="81" t="s">
        <v>109</v>
      </c>
      <c r="H41" s="83">
        <v>35</v>
      </c>
      <c r="I41" s="83">
        <v>10</v>
      </c>
      <c r="J41" s="83">
        <f>H41*I41</f>
        <v>350</v>
      </c>
      <c r="L41" s="87">
        <f>L37-H41</f>
        <v>25</v>
      </c>
      <c r="M41" s="87">
        <f>M37</f>
        <v>10</v>
      </c>
      <c r="N41" s="87">
        <f>L41*M41</f>
        <v>250</v>
      </c>
    </row>
    <row r="42" spans="1:15" x14ac:dyDescent="0.4">
      <c r="A42" s="83"/>
      <c r="B42" s="83"/>
      <c r="D42" s="83"/>
      <c r="E42" s="83"/>
      <c r="F42" s="83"/>
      <c r="G42" s="81" t="s">
        <v>106</v>
      </c>
      <c r="H42" s="83">
        <v>10</v>
      </c>
      <c r="I42" s="83">
        <v>12</v>
      </c>
      <c r="J42" s="83">
        <f>H42*I42</f>
        <v>120</v>
      </c>
      <c r="L42" s="87">
        <f>L38-H42</f>
        <v>0</v>
      </c>
      <c r="M42" s="87">
        <f>M38</f>
        <v>12</v>
      </c>
      <c r="N42" s="87">
        <f>L42*M42</f>
        <v>0</v>
      </c>
    </row>
    <row r="43" spans="1:15" x14ac:dyDescent="0.4">
      <c r="G43" s="81" t="s">
        <v>105</v>
      </c>
      <c r="H43" s="83">
        <v>20</v>
      </c>
      <c r="I43" s="83">
        <v>13</v>
      </c>
      <c r="J43" s="83">
        <f>H43*I43</f>
        <v>260</v>
      </c>
      <c r="L43" s="87">
        <f>L39-H43</f>
        <v>0</v>
      </c>
      <c r="M43" s="87">
        <f>M39</f>
        <v>13</v>
      </c>
      <c r="N43" s="87">
        <f>L43*M43</f>
        <v>0</v>
      </c>
    </row>
    <row r="45" spans="1:15" x14ac:dyDescent="0.4">
      <c r="J45" s="80">
        <f>SUM(J30:J43)</f>
        <v>2990</v>
      </c>
      <c r="K45" s="81" t="s">
        <v>93</v>
      </c>
      <c r="N45" s="80">
        <f>N41</f>
        <v>250</v>
      </c>
      <c r="O45" s="81" t="s">
        <v>92</v>
      </c>
    </row>
    <row r="46" spans="1:15" x14ac:dyDescent="0.4">
      <c r="A46" s="81" t="s">
        <v>110</v>
      </c>
    </row>
    <row r="47" spans="1:15" x14ac:dyDescent="0.4">
      <c r="A47" s="83"/>
      <c r="B47" s="83"/>
      <c r="D47" s="83"/>
      <c r="E47" s="83" t="s">
        <v>97</v>
      </c>
      <c r="F47" s="83"/>
      <c r="H47" s="83"/>
      <c r="I47" s="83" t="s">
        <v>62</v>
      </c>
      <c r="J47" s="83"/>
      <c r="L47" s="83"/>
      <c r="M47" s="83" t="s">
        <v>98</v>
      </c>
      <c r="N47" s="83"/>
    </row>
    <row r="48" spans="1:15" x14ac:dyDescent="0.4">
      <c r="A48" s="83" t="s">
        <v>47</v>
      </c>
      <c r="B48" s="83" t="s">
        <v>99</v>
      </c>
      <c r="D48" s="83" t="s">
        <v>100</v>
      </c>
      <c r="E48" s="83" t="s">
        <v>101</v>
      </c>
      <c r="F48" s="83" t="s">
        <v>102</v>
      </c>
      <c r="H48" s="83" t="s">
        <v>100</v>
      </c>
      <c r="I48" s="83" t="s">
        <v>101</v>
      </c>
      <c r="J48" s="83" t="s">
        <v>102</v>
      </c>
      <c r="L48" s="83" t="s">
        <v>100</v>
      </c>
      <c r="M48" s="83" t="s">
        <v>101</v>
      </c>
      <c r="N48" s="83" t="s">
        <v>102</v>
      </c>
    </row>
    <row r="49" spans="1:15" x14ac:dyDescent="0.4">
      <c r="A49" s="85">
        <v>37104</v>
      </c>
      <c r="B49" s="83" t="s">
        <v>103</v>
      </c>
      <c r="D49" s="83"/>
      <c r="E49" s="83"/>
      <c r="F49" s="83"/>
      <c r="H49" s="83"/>
      <c r="I49" s="83"/>
      <c r="J49" s="83"/>
      <c r="L49" s="83">
        <v>60</v>
      </c>
      <c r="M49" s="83">
        <v>10</v>
      </c>
      <c r="N49" s="83">
        <f>L49*M49</f>
        <v>600</v>
      </c>
    </row>
    <row r="50" spans="1:15" x14ac:dyDescent="0.4">
      <c r="A50" s="83"/>
      <c r="B50" s="83"/>
      <c r="D50" s="83"/>
      <c r="E50" s="83"/>
      <c r="F50" s="83"/>
      <c r="H50" s="83"/>
      <c r="I50" s="83"/>
      <c r="J50" s="83"/>
      <c r="L50" s="83"/>
      <c r="M50" s="83"/>
      <c r="N50" s="83"/>
    </row>
    <row r="51" spans="1:15" x14ac:dyDescent="0.4">
      <c r="A51" s="83">
        <v>12</v>
      </c>
      <c r="B51" s="83"/>
      <c r="D51" s="83">
        <v>90</v>
      </c>
      <c r="E51" s="83">
        <v>12</v>
      </c>
      <c r="F51" s="83">
        <f>D51*E51</f>
        <v>1080</v>
      </c>
      <c r="H51" s="83"/>
      <c r="I51" s="83"/>
      <c r="J51" s="83"/>
      <c r="L51" s="83">
        <f>L49+D51</f>
        <v>150</v>
      </c>
      <c r="M51" s="83">
        <f>N51/L51</f>
        <v>11.2</v>
      </c>
      <c r="N51" s="83">
        <f>N49+F51</f>
        <v>1680</v>
      </c>
    </row>
    <row r="52" spans="1:15" x14ac:dyDescent="0.4">
      <c r="A52" s="83"/>
      <c r="B52" s="83"/>
      <c r="D52" s="83"/>
      <c r="E52" s="83"/>
      <c r="F52" s="83"/>
      <c r="H52" s="83"/>
      <c r="I52" s="83"/>
      <c r="J52" s="83"/>
      <c r="L52" s="83"/>
      <c r="M52" s="83"/>
      <c r="N52" s="83"/>
    </row>
    <row r="53" spans="1:15" x14ac:dyDescent="0.4">
      <c r="A53" s="83">
        <v>15</v>
      </c>
      <c r="B53" s="83"/>
      <c r="D53" s="83"/>
      <c r="E53" s="83"/>
      <c r="F53" s="83"/>
      <c r="H53" s="83">
        <v>80</v>
      </c>
      <c r="I53" s="83">
        <f>M51</f>
        <v>11.2</v>
      </c>
      <c r="J53" s="83">
        <f>H53*I53</f>
        <v>896</v>
      </c>
      <c r="L53" s="83">
        <f>L51-H53</f>
        <v>70</v>
      </c>
      <c r="M53" s="83">
        <f>N53/L53</f>
        <v>11.2</v>
      </c>
      <c r="N53" s="83">
        <f>N51-J53</f>
        <v>784</v>
      </c>
    </row>
    <row r="54" spans="1:15" x14ac:dyDescent="0.4">
      <c r="A54" s="83"/>
      <c r="B54" s="83"/>
      <c r="D54" s="83"/>
      <c r="E54" s="83"/>
      <c r="F54" s="83"/>
      <c r="H54" s="83"/>
      <c r="I54" s="83"/>
      <c r="J54" s="83"/>
      <c r="L54" s="83"/>
      <c r="M54" s="83"/>
      <c r="N54" s="83"/>
    </row>
    <row r="55" spans="1:15" x14ac:dyDescent="0.4">
      <c r="A55" s="83">
        <v>21</v>
      </c>
      <c r="B55" s="83"/>
      <c r="D55" s="83">
        <v>120</v>
      </c>
      <c r="E55" s="83">
        <v>13</v>
      </c>
      <c r="F55" s="83">
        <f>D55*E55</f>
        <v>1560</v>
      </c>
      <c r="H55" s="83"/>
      <c r="I55" s="83"/>
      <c r="J55" s="83"/>
      <c r="L55" s="83">
        <f>L53+D55</f>
        <v>190</v>
      </c>
      <c r="M55" s="83">
        <f>N55/L55</f>
        <v>12.336842105263157</v>
      </c>
      <c r="N55" s="83">
        <f>N53+F55</f>
        <v>2344</v>
      </c>
    </row>
    <row r="56" spans="1:15" x14ac:dyDescent="0.4">
      <c r="A56" s="83"/>
      <c r="B56" s="83"/>
      <c r="D56" s="83"/>
      <c r="E56" s="83"/>
      <c r="F56" s="83"/>
      <c r="H56" s="83"/>
      <c r="I56" s="83"/>
      <c r="J56" s="83"/>
      <c r="L56" s="83"/>
      <c r="M56" s="83"/>
      <c r="N56" s="83"/>
    </row>
    <row r="57" spans="1:15" x14ac:dyDescent="0.4">
      <c r="A57" s="83">
        <v>22</v>
      </c>
      <c r="B57" s="83"/>
      <c r="D57" s="83"/>
      <c r="E57" s="83"/>
      <c r="F57" s="83"/>
      <c r="H57" s="83">
        <v>100</v>
      </c>
      <c r="I57" s="83">
        <f>M55</f>
        <v>12.336842105263157</v>
      </c>
      <c r="J57" s="83">
        <f>H57*I57</f>
        <v>1233.6842105263156</v>
      </c>
      <c r="L57" s="83">
        <f>L55-H57</f>
        <v>90</v>
      </c>
      <c r="M57" s="83">
        <f>N57/L57</f>
        <v>12.336842105263161</v>
      </c>
      <c r="N57" s="83">
        <f>N55-J57</f>
        <v>1110.3157894736844</v>
      </c>
    </row>
    <row r="58" spans="1:15" x14ac:dyDescent="0.4">
      <c r="A58" s="83"/>
      <c r="B58" s="83"/>
      <c r="D58" s="83"/>
      <c r="E58" s="83"/>
      <c r="F58" s="83"/>
      <c r="H58" s="83"/>
      <c r="I58" s="83"/>
      <c r="J58" s="83"/>
      <c r="L58" s="83"/>
      <c r="M58" s="83"/>
      <c r="N58" s="83"/>
    </row>
    <row r="59" spans="1:15" x14ac:dyDescent="0.4">
      <c r="A59" s="83">
        <v>28</v>
      </c>
      <c r="B59" s="83"/>
      <c r="D59" s="83"/>
      <c r="E59" s="83"/>
      <c r="F59" s="83"/>
      <c r="H59" s="83">
        <v>65</v>
      </c>
      <c r="I59" s="83">
        <f>M57</f>
        <v>12.336842105263161</v>
      </c>
      <c r="J59" s="83">
        <f>H59*I59</f>
        <v>801.89473684210543</v>
      </c>
      <c r="L59" s="83">
        <f>L57-H59</f>
        <v>25</v>
      </c>
      <c r="M59" s="83">
        <f>N59/L59</f>
        <v>12.336842105263159</v>
      </c>
      <c r="N59" s="83">
        <f>N57-J59</f>
        <v>308.42105263157896</v>
      </c>
    </row>
    <row r="60" spans="1:15" x14ac:dyDescent="0.4">
      <c r="A60" s="83"/>
      <c r="B60" s="83"/>
      <c r="D60" s="83"/>
      <c r="E60" s="83"/>
      <c r="F60" s="83"/>
      <c r="H60" s="83"/>
      <c r="I60" s="83"/>
      <c r="J60" s="83"/>
      <c r="L60" s="83"/>
      <c r="M60" s="83"/>
      <c r="N60" s="83"/>
    </row>
    <row r="61" spans="1:15" x14ac:dyDescent="0.4">
      <c r="H61" s="81">
        <f>SUM(H53:H59)</f>
        <v>245</v>
      </c>
      <c r="J61" s="80">
        <f>SUM(J53:J59)</f>
        <v>2931.5789473684213</v>
      </c>
      <c r="K61" s="81" t="s">
        <v>93</v>
      </c>
      <c r="N61" s="80">
        <f>N59</f>
        <v>308.42105263157896</v>
      </c>
      <c r="O61" s="81" t="s">
        <v>92</v>
      </c>
    </row>
    <row r="63" spans="1:15" x14ac:dyDescent="0.4">
      <c r="A63" s="81" t="s">
        <v>111</v>
      </c>
      <c r="B63" s="81" t="s">
        <v>179</v>
      </c>
    </row>
    <row r="64" spans="1:15" x14ac:dyDescent="0.4">
      <c r="A64" s="83"/>
      <c r="B64" s="83"/>
      <c r="D64" s="83"/>
      <c r="E64" s="83" t="s">
        <v>97</v>
      </c>
      <c r="F64" s="83"/>
      <c r="H64" s="83"/>
      <c r="I64" s="83" t="s">
        <v>62</v>
      </c>
      <c r="J64" s="83"/>
      <c r="L64" s="83"/>
      <c r="M64" s="83" t="s">
        <v>98</v>
      </c>
      <c r="N64" s="83"/>
    </row>
    <row r="65" spans="1:14" x14ac:dyDescent="0.4">
      <c r="A65" s="83" t="s">
        <v>47</v>
      </c>
      <c r="B65" s="83" t="s">
        <v>99</v>
      </c>
      <c r="D65" s="83" t="s">
        <v>100</v>
      </c>
      <c r="E65" s="83" t="s">
        <v>101</v>
      </c>
      <c r="F65" s="83" t="s">
        <v>102</v>
      </c>
      <c r="H65" s="83" t="s">
        <v>100</v>
      </c>
      <c r="I65" s="83" t="s">
        <v>101</v>
      </c>
      <c r="J65" s="83" t="s">
        <v>102</v>
      </c>
      <c r="L65" s="83" t="s">
        <v>100</v>
      </c>
      <c r="M65" s="83" t="s">
        <v>101</v>
      </c>
      <c r="N65" s="83" t="s">
        <v>102</v>
      </c>
    </row>
    <row r="66" spans="1:14" x14ac:dyDescent="0.4">
      <c r="A66" s="85">
        <v>37104</v>
      </c>
      <c r="B66" s="83" t="s">
        <v>103</v>
      </c>
      <c r="D66" s="83"/>
      <c r="E66" s="83"/>
      <c r="F66" s="83"/>
      <c r="H66" s="83"/>
      <c r="I66" s="83"/>
      <c r="J66" s="83"/>
      <c r="L66" s="83">
        <v>60</v>
      </c>
      <c r="M66" s="83">
        <v>10</v>
      </c>
      <c r="N66" s="83">
        <f>L66*M66</f>
        <v>600</v>
      </c>
    </row>
    <row r="67" spans="1:14" x14ac:dyDescent="0.4">
      <c r="A67" s="83"/>
      <c r="B67" s="83"/>
      <c r="D67" s="83"/>
      <c r="E67" s="83"/>
      <c r="F67" s="83"/>
      <c r="H67" s="83"/>
      <c r="I67" s="83"/>
      <c r="J67" s="83"/>
      <c r="L67" s="83"/>
      <c r="M67" s="83"/>
      <c r="N67" s="83"/>
    </row>
    <row r="68" spans="1:14" x14ac:dyDescent="0.4">
      <c r="A68" s="83">
        <v>12</v>
      </c>
      <c r="B68" s="83"/>
      <c r="D68" s="83">
        <v>90</v>
      </c>
      <c r="E68" s="83">
        <v>12</v>
      </c>
      <c r="F68" s="83">
        <f>D68*E68</f>
        <v>1080</v>
      </c>
      <c r="H68" s="83"/>
      <c r="I68" s="83"/>
      <c r="J68" s="83"/>
      <c r="L68" s="83"/>
      <c r="M68" s="83"/>
      <c r="N68" s="83"/>
    </row>
    <row r="69" spans="1:14" x14ac:dyDescent="0.4">
      <c r="A69" s="83"/>
      <c r="B69" s="83"/>
      <c r="D69" s="83"/>
      <c r="E69" s="83"/>
      <c r="F69" s="83"/>
      <c r="H69" s="83"/>
      <c r="I69" s="83"/>
      <c r="J69" s="83"/>
      <c r="L69" s="83"/>
      <c r="M69" s="83"/>
      <c r="N69" s="83"/>
    </row>
    <row r="70" spans="1:14" x14ac:dyDescent="0.4">
      <c r="A70" s="83">
        <v>15</v>
      </c>
      <c r="B70" s="83"/>
      <c r="D70" s="83"/>
      <c r="E70" s="83"/>
      <c r="F70" s="83"/>
      <c r="H70" s="83"/>
      <c r="I70" s="83"/>
      <c r="J70" s="83"/>
      <c r="L70" s="83"/>
      <c r="M70" s="83"/>
      <c r="N70" s="83"/>
    </row>
    <row r="71" spans="1:14" x14ac:dyDescent="0.4">
      <c r="A71" s="83"/>
      <c r="B71" s="83"/>
      <c r="D71" s="83"/>
      <c r="E71" s="83"/>
      <c r="F71" s="83"/>
      <c r="H71" s="83"/>
      <c r="I71" s="83"/>
      <c r="J71" s="83"/>
      <c r="L71" s="83"/>
      <c r="M71" s="83"/>
      <c r="N71" s="83"/>
    </row>
    <row r="72" spans="1:14" x14ac:dyDescent="0.4">
      <c r="A72" s="83"/>
      <c r="B72" s="83"/>
      <c r="D72" s="83"/>
      <c r="E72" s="83"/>
      <c r="F72" s="83"/>
      <c r="H72" s="83"/>
      <c r="I72" s="83"/>
      <c r="J72" s="83"/>
      <c r="L72" s="83"/>
      <c r="M72" s="83"/>
      <c r="N72" s="83"/>
    </row>
    <row r="73" spans="1:14" x14ac:dyDescent="0.4">
      <c r="A73" s="83">
        <v>21</v>
      </c>
      <c r="B73" s="83"/>
      <c r="D73" s="83">
        <v>120</v>
      </c>
      <c r="E73" s="83">
        <v>13</v>
      </c>
      <c r="F73" s="83">
        <f>D73*E73</f>
        <v>1560</v>
      </c>
      <c r="H73" s="83"/>
      <c r="I73" s="83"/>
      <c r="J73" s="83"/>
      <c r="L73" s="83"/>
      <c r="M73" s="83"/>
      <c r="N73" s="83"/>
    </row>
    <row r="74" spans="1:14" x14ac:dyDescent="0.4">
      <c r="A74" s="83"/>
      <c r="B74" s="83"/>
      <c r="D74" s="83"/>
      <c r="E74" s="83"/>
      <c r="F74" s="83"/>
      <c r="H74" s="83"/>
      <c r="I74" s="83"/>
      <c r="J74" s="83"/>
      <c r="L74" s="83"/>
      <c r="M74" s="83"/>
      <c r="N74" s="83"/>
    </row>
    <row r="75" spans="1:14" x14ac:dyDescent="0.4">
      <c r="A75" s="83"/>
      <c r="B75" s="83"/>
      <c r="D75" s="83"/>
      <c r="E75" s="83"/>
      <c r="F75" s="83"/>
      <c r="H75" s="83"/>
      <c r="I75" s="83"/>
      <c r="J75" s="83"/>
      <c r="L75" s="83"/>
      <c r="M75" s="83"/>
      <c r="N75" s="83"/>
    </row>
    <row r="76" spans="1:14" x14ac:dyDescent="0.4">
      <c r="A76" s="83"/>
      <c r="B76" s="83"/>
      <c r="D76" s="83"/>
      <c r="E76" s="83"/>
      <c r="F76" s="83"/>
      <c r="H76" s="83"/>
      <c r="I76" s="83"/>
      <c r="J76" s="83"/>
      <c r="L76" s="83"/>
      <c r="M76" s="83"/>
      <c r="N76" s="83"/>
    </row>
    <row r="77" spans="1:14" x14ac:dyDescent="0.4">
      <c r="A77" s="83">
        <v>22</v>
      </c>
      <c r="B77" s="83"/>
      <c r="D77" s="83"/>
      <c r="E77" s="83"/>
      <c r="F77" s="83"/>
      <c r="H77" s="83"/>
      <c r="I77" s="83"/>
      <c r="J77" s="83"/>
      <c r="L77" s="83"/>
      <c r="M77" s="83"/>
      <c r="N77" s="83"/>
    </row>
    <row r="78" spans="1:14" x14ac:dyDescent="0.4">
      <c r="A78" s="83"/>
      <c r="B78" s="83"/>
      <c r="D78" s="83"/>
      <c r="E78" s="83"/>
      <c r="F78" s="83"/>
      <c r="H78" s="83"/>
      <c r="I78" s="83"/>
      <c r="J78" s="83"/>
      <c r="L78" s="83"/>
      <c r="M78" s="83"/>
      <c r="N78" s="83"/>
    </row>
    <row r="79" spans="1:14" x14ac:dyDescent="0.4">
      <c r="A79" s="83">
        <v>28</v>
      </c>
      <c r="B79" s="83"/>
      <c r="D79" s="83"/>
      <c r="E79" s="83"/>
      <c r="F79" s="83"/>
      <c r="H79" s="83">
        <v>55</v>
      </c>
      <c r="I79" s="83">
        <v>10</v>
      </c>
      <c r="J79" s="83">
        <v>550</v>
      </c>
      <c r="L79" s="83" t="s">
        <v>180</v>
      </c>
      <c r="M79" s="83">
        <v>10</v>
      </c>
      <c r="N79" s="83">
        <v>50</v>
      </c>
    </row>
    <row r="80" spans="1:14" x14ac:dyDescent="0.4">
      <c r="A80" s="83"/>
      <c r="B80" s="83"/>
      <c r="D80" s="83"/>
      <c r="E80" s="83"/>
      <c r="F80" s="83"/>
      <c r="H80" s="83">
        <v>78</v>
      </c>
      <c r="I80" s="81">
        <v>12</v>
      </c>
      <c r="J80" s="83">
        <v>936</v>
      </c>
      <c r="L80" s="83" t="s">
        <v>182</v>
      </c>
      <c r="M80" s="83">
        <v>12</v>
      </c>
      <c r="N80" s="83">
        <v>144</v>
      </c>
    </row>
    <row r="81" spans="2:14" x14ac:dyDescent="0.4">
      <c r="H81" s="81">
        <v>112</v>
      </c>
      <c r="I81" s="81">
        <v>13</v>
      </c>
      <c r="J81" s="81">
        <v>1456</v>
      </c>
      <c r="L81" s="81" t="s">
        <v>181</v>
      </c>
      <c r="M81" s="81">
        <v>13</v>
      </c>
      <c r="N81" s="81">
        <v>104</v>
      </c>
    </row>
    <row r="83" spans="2:14" x14ac:dyDescent="0.4">
      <c r="B83" s="97" t="s">
        <v>183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4EA51-03FA-4C78-8619-78C342259328}">
  <dimension ref="A1:AA32"/>
  <sheetViews>
    <sheetView topLeftCell="E1" zoomScale="140" workbookViewId="0">
      <selection activeCell="Y33" sqref="Y33"/>
    </sheetView>
  </sheetViews>
  <sheetFormatPr defaultColWidth="8.85546875" defaultRowHeight="15" x14ac:dyDescent="0.25"/>
  <cols>
    <col min="1" max="1" width="11.42578125" bestFit="1" customWidth="1"/>
    <col min="2" max="2" width="18.42578125" bestFit="1" customWidth="1"/>
    <col min="3" max="3" width="10.140625" bestFit="1" customWidth="1"/>
    <col min="5" max="6" width="11.42578125" customWidth="1"/>
    <col min="7" max="8" width="8.7109375" customWidth="1"/>
    <col min="9" max="9" width="17.140625" customWidth="1"/>
    <col min="10" max="15" width="8.7109375" customWidth="1"/>
    <col min="16" max="16" width="17.140625" customWidth="1"/>
    <col min="17" max="22" width="8.7109375" customWidth="1"/>
    <col min="23" max="23" width="17.140625" customWidth="1"/>
    <col min="24" max="26" width="8.7109375" customWidth="1"/>
  </cols>
  <sheetData>
    <row r="1" spans="1:26" ht="15.75" thickBot="1" x14ac:dyDescent="0.3">
      <c r="H1" s="1"/>
      <c r="I1" s="4"/>
      <c r="J1" s="4"/>
      <c r="K1" s="4"/>
      <c r="L1" s="5"/>
      <c r="O1" s="1"/>
      <c r="P1" s="4"/>
      <c r="Q1" s="4"/>
      <c r="R1" s="4"/>
      <c r="S1" s="5"/>
      <c r="V1" s="1"/>
      <c r="W1" s="4"/>
      <c r="X1" s="4"/>
      <c r="Y1" s="4"/>
      <c r="Z1" s="5"/>
    </row>
    <row r="2" spans="1:26" ht="28.5" x14ac:dyDescent="0.25">
      <c r="A2" s="54" t="s">
        <v>47</v>
      </c>
      <c r="B2" s="55" t="s">
        <v>0</v>
      </c>
      <c r="C2" s="56" t="s">
        <v>100</v>
      </c>
      <c r="D2" s="56" t="s">
        <v>128</v>
      </c>
      <c r="E2" s="57" t="s">
        <v>46</v>
      </c>
      <c r="F2" s="59"/>
      <c r="H2" s="35" t="s">
        <v>47</v>
      </c>
      <c r="I2" s="32" t="s">
        <v>0</v>
      </c>
      <c r="J2" s="34" t="s">
        <v>100</v>
      </c>
      <c r="K2" s="34" t="s">
        <v>128</v>
      </c>
      <c r="L2" s="36" t="s">
        <v>46</v>
      </c>
      <c r="O2" s="35" t="s">
        <v>47</v>
      </c>
      <c r="P2" s="32" t="s">
        <v>0</v>
      </c>
      <c r="Q2" s="34" t="s">
        <v>100</v>
      </c>
      <c r="R2" s="34" t="s">
        <v>128</v>
      </c>
      <c r="S2" s="36" t="s">
        <v>46</v>
      </c>
      <c r="V2" s="35" t="s">
        <v>47</v>
      </c>
      <c r="W2" s="32" t="s">
        <v>0</v>
      </c>
      <c r="X2" s="34" t="s">
        <v>100</v>
      </c>
      <c r="Y2" s="34" t="s">
        <v>128</v>
      </c>
      <c r="Z2" s="36" t="s">
        <v>46</v>
      </c>
    </row>
    <row r="3" spans="1:26" x14ac:dyDescent="0.25">
      <c r="A3" s="37" t="s">
        <v>1</v>
      </c>
      <c r="B3" s="30"/>
      <c r="C3" s="30"/>
      <c r="D3" s="30"/>
      <c r="E3" s="38"/>
      <c r="F3" s="30"/>
      <c r="H3" s="37" t="s">
        <v>1</v>
      </c>
      <c r="I3" s="30"/>
      <c r="J3" s="30"/>
      <c r="K3" s="30"/>
      <c r="L3" s="38"/>
      <c r="O3" s="37" t="s">
        <v>1</v>
      </c>
      <c r="P3" s="30"/>
      <c r="Q3" s="30"/>
      <c r="R3" s="30"/>
      <c r="S3" s="38"/>
      <c r="V3" s="37" t="s">
        <v>1</v>
      </c>
      <c r="W3" s="30"/>
      <c r="X3" s="30"/>
      <c r="Y3" s="30"/>
      <c r="Z3" s="38"/>
    </row>
    <row r="4" spans="1:26" ht="30" x14ac:dyDescent="0.25">
      <c r="A4" s="39">
        <v>1</v>
      </c>
      <c r="B4" s="40" t="s">
        <v>127</v>
      </c>
      <c r="C4" s="90">
        <v>12000</v>
      </c>
      <c r="D4" s="42">
        <v>5.3</v>
      </c>
      <c r="E4" s="43">
        <f>C4*D4</f>
        <v>63600</v>
      </c>
      <c r="F4" s="41"/>
      <c r="H4" s="39">
        <v>1</v>
      </c>
      <c r="I4" s="40" t="s">
        <v>127</v>
      </c>
      <c r="J4" s="41">
        <v>12000</v>
      </c>
      <c r="K4" s="42">
        <v>5.3</v>
      </c>
      <c r="L4" s="43">
        <f>J4*K4</f>
        <v>63600</v>
      </c>
      <c r="O4" s="39">
        <v>1</v>
      </c>
      <c r="P4" s="40" t="s">
        <v>127</v>
      </c>
      <c r="Q4" s="41">
        <v>12000</v>
      </c>
      <c r="R4" s="42">
        <v>5.3</v>
      </c>
      <c r="S4" s="43">
        <f>Q4*R4</f>
        <v>63600</v>
      </c>
      <c r="V4" s="39">
        <v>1</v>
      </c>
      <c r="W4" s="40" t="s">
        <v>127</v>
      </c>
      <c r="X4" s="41">
        <v>12000</v>
      </c>
      <c r="Y4" s="42">
        <v>5.3</v>
      </c>
      <c r="Z4" s="43">
        <f>X4*Y4</f>
        <v>63600</v>
      </c>
    </row>
    <row r="5" spans="1:26" x14ac:dyDescent="0.25">
      <c r="A5" s="44">
        <v>8</v>
      </c>
      <c r="B5" s="40" t="s">
        <v>104</v>
      </c>
      <c r="C5" s="90">
        <v>7500</v>
      </c>
      <c r="D5" s="42">
        <v>5.5</v>
      </c>
      <c r="E5" s="43">
        <f t="shared" ref="E5:E7" si="0">C5*D5</f>
        <v>41250</v>
      </c>
      <c r="F5" s="41"/>
      <c r="H5" s="44">
        <v>8</v>
      </c>
      <c r="I5" s="40" t="s">
        <v>104</v>
      </c>
      <c r="J5" s="90">
        <v>7500</v>
      </c>
      <c r="K5" s="42">
        <v>5.5</v>
      </c>
      <c r="L5" s="43">
        <f t="shared" ref="L5:L7" si="1">J5*K5</f>
        <v>41250</v>
      </c>
      <c r="O5" s="44">
        <v>8</v>
      </c>
      <c r="P5" s="40" t="s">
        <v>104</v>
      </c>
      <c r="Q5" s="41">
        <v>7500</v>
      </c>
      <c r="R5" s="42">
        <v>5.5</v>
      </c>
      <c r="S5" s="43">
        <f t="shared" ref="S5:S7" si="2">Q5*R5</f>
        <v>41250</v>
      </c>
      <c r="V5" s="44">
        <v>8</v>
      </c>
      <c r="W5" s="40" t="s">
        <v>104</v>
      </c>
      <c r="X5" s="41">
        <v>7500</v>
      </c>
      <c r="Y5" s="42">
        <v>5.5</v>
      </c>
      <c r="Z5" s="43">
        <f t="shared" ref="Z5:Z7" si="3">X5*Y5</f>
        <v>41250</v>
      </c>
    </row>
    <row r="6" spans="1:26" x14ac:dyDescent="0.25">
      <c r="A6" s="44">
        <v>13</v>
      </c>
      <c r="B6" s="40" t="s">
        <v>104</v>
      </c>
      <c r="C6" s="90">
        <v>6000</v>
      </c>
      <c r="D6" s="42">
        <v>5.6</v>
      </c>
      <c r="E6" s="43">
        <f t="shared" si="0"/>
        <v>33600</v>
      </c>
      <c r="F6" s="41"/>
      <c r="H6" s="44">
        <v>13</v>
      </c>
      <c r="I6" s="40" t="s">
        <v>104</v>
      </c>
      <c r="J6" s="90">
        <v>6000</v>
      </c>
      <c r="K6" s="42">
        <v>5.6</v>
      </c>
      <c r="L6" s="43">
        <f t="shared" si="1"/>
        <v>33600</v>
      </c>
      <c r="O6" s="44">
        <v>13</v>
      </c>
      <c r="P6" s="40" t="s">
        <v>104</v>
      </c>
      <c r="Q6" s="41">
        <v>6000</v>
      </c>
      <c r="R6" s="42">
        <v>5.6</v>
      </c>
      <c r="S6" s="43">
        <f t="shared" si="2"/>
        <v>33600</v>
      </c>
      <c r="V6" s="44">
        <v>13</v>
      </c>
      <c r="W6" s="40" t="s">
        <v>104</v>
      </c>
      <c r="X6" s="41">
        <v>6000</v>
      </c>
      <c r="Y6" s="42">
        <v>5.6</v>
      </c>
      <c r="Z6" s="43">
        <f t="shared" si="3"/>
        <v>33600</v>
      </c>
    </row>
    <row r="7" spans="1:26" x14ac:dyDescent="0.25">
      <c r="A7" s="44">
        <v>25</v>
      </c>
      <c r="B7" s="40" t="s">
        <v>104</v>
      </c>
      <c r="C7" s="90">
        <v>8950</v>
      </c>
      <c r="D7" s="42">
        <v>5.8</v>
      </c>
      <c r="E7" s="43">
        <f t="shared" si="0"/>
        <v>51910</v>
      </c>
      <c r="F7" s="41"/>
      <c r="H7" s="44">
        <v>25</v>
      </c>
      <c r="I7" s="40" t="s">
        <v>104</v>
      </c>
      <c r="J7" s="90">
        <v>8950</v>
      </c>
      <c r="K7" s="42">
        <v>5.8</v>
      </c>
      <c r="L7" s="43">
        <f t="shared" si="1"/>
        <v>51910</v>
      </c>
      <c r="O7" s="44">
        <v>25</v>
      </c>
      <c r="P7" s="40" t="s">
        <v>104</v>
      </c>
      <c r="Q7" s="41">
        <v>8950</v>
      </c>
      <c r="R7" s="42">
        <v>5.8</v>
      </c>
      <c r="S7" s="43">
        <f t="shared" si="2"/>
        <v>51910</v>
      </c>
      <c r="V7" s="44">
        <v>25</v>
      </c>
      <c r="W7" s="40" t="s">
        <v>104</v>
      </c>
      <c r="X7" s="41">
        <v>8950</v>
      </c>
      <c r="Y7" s="42">
        <v>5.8</v>
      </c>
      <c r="Z7" s="43">
        <f t="shared" si="3"/>
        <v>51910</v>
      </c>
    </row>
    <row r="8" spans="1:26" x14ac:dyDescent="0.25">
      <c r="A8" s="44">
        <v>29</v>
      </c>
      <c r="B8" s="45" t="s">
        <v>104</v>
      </c>
      <c r="C8" s="92">
        <v>9200</v>
      </c>
      <c r="D8" s="42">
        <v>6.3</v>
      </c>
      <c r="E8" s="43">
        <f>C8*D8</f>
        <v>57960</v>
      </c>
      <c r="F8" s="41"/>
      <c r="H8" s="44">
        <v>29</v>
      </c>
      <c r="I8" s="45" t="s">
        <v>104</v>
      </c>
      <c r="J8" s="91">
        <v>9200</v>
      </c>
      <c r="K8" s="42">
        <v>6.3</v>
      </c>
      <c r="L8" s="43">
        <f>J8*K8</f>
        <v>57960</v>
      </c>
      <c r="O8" s="44">
        <v>29</v>
      </c>
      <c r="P8" s="45" t="s">
        <v>104</v>
      </c>
      <c r="Q8" s="46">
        <v>9200</v>
      </c>
      <c r="R8" s="42">
        <v>6.3</v>
      </c>
      <c r="S8" s="43">
        <f>Q8*R8</f>
        <v>57960</v>
      </c>
      <c r="V8" s="44">
        <v>29</v>
      </c>
      <c r="W8" s="45" t="s">
        <v>104</v>
      </c>
      <c r="X8" s="46">
        <v>9200</v>
      </c>
      <c r="Y8" s="42">
        <v>6.3</v>
      </c>
      <c r="Z8" s="43">
        <f>X8*Y8</f>
        <v>57960</v>
      </c>
    </row>
    <row r="9" spans="1:26" x14ac:dyDescent="0.25">
      <c r="A9" s="6"/>
      <c r="B9" s="45" t="s">
        <v>46</v>
      </c>
      <c r="C9" s="47">
        <f>SUM(C4:C8)</f>
        <v>43650</v>
      </c>
      <c r="D9" s="48"/>
      <c r="E9" s="49">
        <f>SUM(E4:E8)</f>
        <v>248320</v>
      </c>
      <c r="F9" s="60"/>
      <c r="H9" s="6"/>
      <c r="I9" s="45" t="s">
        <v>46</v>
      </c>
      <c r="J9" s="47">
        <f>SUM(J4:J8)</f>
        <v>43650</v>
      </c>
      <c r="K9" s="48"/>
      <c r="L9" s="49">
        <f>SUM(L4:L8)</f>
        <v>248320</v>
      </c>
      <c r="O9" s="6"/>
      <c r="P9" s="45" t="s">
        <v>46</v>
      </c>
      <c r="Q9" s="47">
        <f>SUM(Q4:Q8)</f>
        <v>43650</v>
      </c>
      <c r="R9" s="93">
        <f>S9/Q9</f>
        <v>5.6888888888888891</v>
      </c>
      <c r="S9" s="49">
        <f>SUM(S4:S8)</f>
        <v>248320</v>
      </c>
      <c r="V9" s="6"/>
      <c r="W9" s="45" t="s">
        <v>46</v>
      </c>
      <c r="X9" s="47">
        <f>SUM(X4:X8)</f>
        <v>43650</v>
      </c>
      <c r="Y9" s="48"/>
      <c r="Z9" s="49">
        <f>SUM(Z4:Z8)</f>
        <v>248320</v>
      </c>
    </row>
    <row r="10" spans="1:26" x14ac:dyDescent="0.25">
      <c r="A10" s="6"/>
      <c r="E10" s="7"/>
      <c r="H10" s="6"/>
      <c r="L10" s="7"/>
      <c r="O10" s="6"/>
      <c r="S10" s="7"/>
      <c r="V10" s="6"/>
      <c r="Z10" s="7"/>
    </row>
    <row r="11" spans="1:26" x14ac:dyDescent="0.25">
      <c r="A11" s="6"/>
      <c r="B11" t="s">
        <v>133</v>
      </c>
      <c r="C11" s="2">
        <v>35650</v>
      </c>
      <c r="E11" s="7" t="s">
        <v>130</v>
      </c>
      <c r="H11" s="6"/>
      <c r="I11" t="s">
        <v>62</v>
      </c>
      <c r="J11" s="2">
        <v>35650</v>
      </c>
      <c r="L11" s="7" t="s">
        <v>130</v>
      </c>
      <c r="O11" s="6"/>
      <c r="P11" t="s">
        <v>62</v>
      </c>
      <c r="Q11">
        <v>35650</v>
      </c>
      <c r="S11" s="7" t="s">
        <v>130</v>
      </c>
      <c r="V11" s="6"/>
      <c r="W11" t="s">
        <v>62</v>
      </c>
      <c r="X11" s="2">
        <v>35650</v>
      </c>
      <c r="Z11" s="7" t="s">
        <v>130</v>
      </c>
    </row>
    <row r="12" spans="1:26" x14ac:dyDescent="0.25">
      <c r="A12" s="6"/>
      <c r="B12" t="s">
        <v>129</v>
      </c>
      <c r="C12" s="72">
        <v>8000</v>
      </c>
      <c r="E12" s="7" t="s">
        <v>130</v>
      </c>
      <c r="H12" s="6"/>
      <c r="I12" t="s">
        <v>129</v>
      </c>
      <c r="J12" s="72">
        <v>8000</v>
      </c>
      <c r="L12" s="7" t="s">
        <v>130</v>
      </c>
      <c r="O12" s="6"/>
      <c r="P12" t="s">
        <v>129</v>
      </c>
      <c r="Q12">
        <v>8000</v>
      </c>
      <c r="S12" s="7" t="s">
        <v>130</v>
      </c>
      <c r="V12" s="6"/>
      <c r="W12" t="s">
        <v>129</v>
      </c>
      <c r="X12" s="95">
        <v>8000</v>
      </c>
      <c r="Z12" s="7" t="s">
        <v>130</v>
      </c>
    </row>
    <row r="13" spans="1:26" x14ac:dyDescent="0.25">
      <c r="A13" s="61" t="s">
        <v>137</v>
      </c>
      <c r="E13" s="7"/>
      <c r="H13" s="61" t="s">
        <v>137</v>
      </c>
      <c r="L13" s="7"/>
      <c r="O13" s="61" t="s">
        <v>137</v>
      </c>
      <c r="S13" s="7"/>
      <c r="V13" s="61" t="s">
        <v>137</v>
      </c>
      <c r="Z13" s="7"/>
    </row>
    <row r="14" spans="1:26" ht="28.5" x14ac:dyDescent="0.25">
      <c r="A14" s="58" t="s">
        <v>132</v>
      </c>
      <c r="C14" s="34" t="s">
        <v>100</v>
      </c>
      <c r="D14" s="34" t="s">
        <v>128</v>
      </c>
      <c r="E14" s="36" t="s">
        <v>46</v>
      </c>
      <c r="F14" s="59"/>
      <c r="H14" s="58" t="s">
        <v>134</v>
      </c>
      <c r="J14" s="34" t="s">
        <v>100</v>
      </c>
      <c r="K14" s="34" t="s">
        <v>128</v>
      </c>
      <c r="L14" s="36" t="s">
        <v>46</v>
      </c>
      <c r="O14" s="58" t="s">
        <v>135</v>
      </c>
      <c r="Q14" s="34" t="s">
        <v>100</v>
      </c>
      <c r="R14" s="34" t="s">
        <v>128</v>
      </c>
      <c r="S14" s="36" t="s">
        <v>46</v>
      </c>
      <c r="V14" s="58" t="s">
        <v>140</v>
      </c>
      <c r="X14" s="34" t="s">
        <v>100</v>
      </c>
      <c r="Y14" s="34" t="s">
        <v>128</v>
      </c>
      <c r="Z14" s="36" t="s">
        <v>46</v>
      </c>
    </row>
    <row r="15" spans="1:26" ht="14.45" customHeight="1" x14ac:dyDescent="0.25">
      <c r="A15" s="39">
        <v>1</v>
      </c>
      <c r="B15" s="40" t="s">
        <v>127</v>
      </c>
      <c r="C15" s="90">
        <v>12000</v>
      </c>
      <c r="D15" s="42">
        <v>5.3</v>
      </c>
      <c r="E15" s="43">
        <f>C15*D15</f>
        <v>63600</v>
      </c>
      <c r="F15" s="41"/>
      <c r="H15" s="39">
        <v>1</v>
      </c>
      <c r="I15" s="40" t="s">
        <v>127</v>
      </c>
      <c r="J15" s="41">
        <v>4000</v>
      </c>
      <c r="K15" s="42">
        <v>5.3</v>
      </c>
      <c r="L15" s="43">
        <f>J15*K15</f>
        <v>21200</v>
      </c>
      <c r="O15" s="39">
        <v>1</v>
      </c>
      <c r="P15" s="40" t="s">
        <v>127</v>
      </c>
      <c r="Q15" s="41"/>
      <c r="R15" s="42"/>
      <c r="S15" s="43"/>
      <c r="V15" s="39">
        <v>1</v>
      </c>
      <c r="W15" s="40" t="s">
        <v>127</v>
      </c>
      <c r="X15" s="41">
        <v>9500</v>
      </c>
      <c r="Y15" s="42">
        <v>5.3</v>
      </c>
      <c r="Z15" s="43">
        <f>X15*Y15</f>
        <v>50350</v>
      </c>
    </row>
    <row r="16" spans="1:26" x14ac:dyDescent="0.25">
      <c r="A16" s="44">
        <v>8</v>
      </c>
      <c r="B16" s="40" t="s">
        <v>104</v>
      </c>
      <c r="C16" s="90">
        <v>7500</v>
      </c>
      <c r="D16" s="42">
        <v>5.5</v>
      </c>
      <c r="E16" s="43">
        <f t="shared" ref="E16:E18" si="4">C16*D16</f>
        <v>41250</v>
      </c>
      <c r="F16" s="41"/>
      <c r="G16" s="30"/>
      <c r="H16" s="44">
        <v>8</v>
      </c>
      <c r="I16" s="40" t="s">
        <v>104</v>
      </c>
      <c r="J16" s="90">
        <v>7500</v>
      </c>
      <c r="K16" s="42">
        <v>5.5</v>
      </c>
      <c r="L16" s="43">
        <f t="shared" ref="L16:L18" si="5">J16*K16</f>
        <v>41250</v>
      </c>
      <c r="O16" s="44">
        <v>8</v>
      </c>
      <c r="P16" s="40" t="s">
        <v>104</v>
      </c>
      <c r="Q16" s="41"/>
      <c r="R16" s="42"/>
      <c r="S16" s="43"/>
      <c r="V16" s="44">
        <v>8</v>
      </c>
      <c r="W16" s="40" t="s">
        <v>104</v>
      </c>
      <c r="X16" s="41">
        <v>6500</v>
      </c>
      <c r="Y16" s="42">
        <v>5.5</v>
      </c>
      <c r="Z16" s="43">
        <f t="shared" ref="Z16:Z18" si="6">X16*Y16</f>
        <v>35750</v>
      </c>
    </row>
    <row r="17" spans="1:27" ht="14.45" customHeight="1" x14ac:dyDescent="0.25">
      <c r="A17" s="44">
        <v>13</v>
      </c>
      <c r="B17" s="40" t="s">
        <v>104</v>
      </c>
      <c r="C17" s="90">
        <v>6000</v>
      </c>
      <c r="D17" s="42">
        <v>5.6</v>
      </c>
      <c r="E17" s="43">
        <f t="shared" si="4"/>
        <v>33600</v>
      </c>
      <c r="F17" s="41"/>
      <c r="G17" s="31"/>
      <c r="H17" s="44">
        <v>13</v>
      </c>
      <c r="I17" s="40" t="s">
        <v>104</v>
      </c>
      <c r="J17" s="90">
        <v>6000</v>
      </c>
      <c r="K17" s="42">
        <v>5.6</v>
      </c>
      <c r="L17" s="43">
        <f t="shared" si="5"/>
        <v>33600</v>
      </c>
      <c r="O17" s="44">
        <v>13</v>
      </c>
      <c r="P17" s="40" t="s">
        <v>104</v>
      </c>
      <c r="Q17" s="41"/>
      <c r="R17" s="42"/>
      <c r="S17" s="43"/>
      <c r="V17" s="44">
        <v>13</v>
      </c>
      <c r="W17" s="40" t="s">
        <v>104</v>
      </c>
      <c r="X17" s="41">
        <v>5000</v>
      </c>
      <c r="Y17" s="42">
        <v>5.6</v>
      </c>
      <c r="Z17" s="43">
        <f t="shared" si="6"/>
        <v>28000</v>
      </c>
    </row>
    <row r="18" spans="1:27" x14ac:dyDescent="0.25">
      <c r="A18" s="44">
        <v>25</v>
      </c>
      <c r="B18" s="40" t="s">
        <v>104</v>
      </c>
      <c r="C18" s="90">
        <v>8950</v>
      </c>
      <c r="D18" s="42">
        <v>5.8</v>
      </c>
      <c r="E18" s="43">
        <f t="shared" si="4"/>
        <v>51910</v>
      </c>
      <c r="F18" s="41"/>
      <c r="G18" s="31"/>
      <c r="H18" s="44">
        <v>25</v>
      </c>
      <c r="I18" s="40" t="s">
        <v>104</v>
      </c>
      <c r="J18" s="90">
        <v>8950</v>
      </c>
      <c r="K18" s="42">
        <v>5.8</v>
      </c>
      <c r="L18" s="43">
        <f t="shared" si="5"/>
        <v>51910</v>
      </c>
      <c r="O18" s="44">
        <v>25</v>
      </c>
      <c r="P18" s="40" t="s">
        <v>104</v>
      </c>
      <c r="Q18" s="41"/>
      <c r="R18" s="42"/>
      <c r="S18" s="43"/>
      <c r="V18" s="44">
        <v>25</v>
      </c>
      <c r="W18" s="40" t="s">
        <v>104</v>
      </c>
      <c r="X18" s="41">
        <v>7400</v>
      </c>
      <c r="Y18" s="42">
        <v>5.8</v>
      </c>
      <c r="Z18" s="43">
        <f t="shared" si="6"/>
        <v>42920</v>
      </c>
    </row>
    <row r="19" spans="1:27" x14ac:dyDescent="0.25">
      <c r="A19" s="44">
        <v>29</v>
      </c>
      <c r="B19" s="45" t="s">
        <v>104</v>
      </c>
      <c r="C19" s="46">
        <v>1200</v>
      </c>
      <c r="D19" s="42">
        <v>6.3</v>
      </c>
      <c r="E19" s="43">
        <f>C19*D19</f>
        <v>7560</v>
      </c>
      <c r="F19" s="41"/>
      <c r="G19" s="31"/>
      <c r="H19" s="44">
        <v>29</v>
      </c>
      <c r="I19" s="45" t="s">
        <v>104</v>
      </c>
      <c r="J19" s="91">
        <v>9200</v>
      </c>
      <c r="K19" s="42">
        <v>6.3</v>
      </c>
      <c r="L19" s="43">
        <f>J19*K19</f>
        <v>57960</v>
      </c>
      <c r="O19" s="44">
        <v>29</v>
      </c>
      <c r="P19" s="45" t="s">
        <v>104</v>
      </c>
      <c r="Q19" s="46"/>
      <c r="R19" s="42"/>
      <c r="S19" s="43"/>
      <c r="V19" s="44">
        <v>29</v>
      </c>
      <c r="W19" s="45" t="s">
        <v>104</v>
      </c>
      <c r="X19" s="46">
        <v>7250</v>
      </c>
      <c r="Y19" s="42">
        <v>6.3</v>
      </c>
      <c r="Z19" s="43">
        <f>X19*Y19</f>
        <v>45675</v>
      </c>
    </row>
    <row r="20" spans="1:27" x14ac:dyDescent="0.25">
      <c r="A20" s="6"/>
      <c r="B20" s="45" t="s">
        <v>46</v>
      </c>
      <c r="C20" s="70">
        <f>SUM(C15:C19)</f>
        <v>35650</v>
      </c>
      <c r="D20" s="48"/>
      <c r="E20" s="49">
        <f>SUM(E15:E19)</f>
        <v>197920</v>
      </c>
      <c r="F20" s="60" t="s">
        <v>93</v>
      </c>
      <c r="G20" s="31"/>
      <c r="H20" s="6"/>
      <c r="I20" s="45" t="s">
        <v>46</v>
      </c>
      <c r="J20" s="70">
        <f>SUM(J15:J19)</f>
        <v>35650</v>
      </c>
      <c r="K20" s="48"/>
      <c r="L20" s="49">
        <f>SUM(L15:L19)</f>
        <v>205920</v>
      </c>
      <c r="O20" s="6"/>
      <c r="P20" s="45" t="s">
        <v>46</v>
      </c>
      <c r="Q20" s="47">
        <v>35650</v>
      </c>
      <c r="R20" s="93">
        <f>R9</f>
        <v>5.6888888888888891</v>
      </c>
      <c r="S20" s="49">
        <f>Q20*R20</f>
        <v>202808.88888888891</v>
      </c>
      <c r="V20" s="6"/>
      <c r="W20" s="45" t="s">
        <v>46</v>
      </c>
      <c r="X20" s="70">
        <f>SUM(X15:X19)</f>
        <v>35650</v>
      </c>
      <c r="Y20" s="48"/>
      <c r="Z20" s="49">
        <f>SUM(Z15:Z19)</f>
        <v>202695</v>
      </c>
    </row>
    <row r="21" spans="1:27" ht="14.45" customHeight="1" x14ac:dyDescent="0.25">
      <c r="A21" s="6"/>
      <c r="E21" s="7"/>
      <c r="G21" s="33"/>
      <c r="H21" s="6"/>
      <c r="L21" s="7"/>
      <c r="O21" s="6"/>
      <c r="S21" s="7"/>
      <c r="V21" s="6"/>
      <c r="Z21" s="7"/>
    </row>
    <row r="22" spans="1:27" ht="14.45" customHeight="1" x14ac:dyDescent="0.25">
      <c r="A22" s="74" t="s">
        <v>131</v>
      </c>
      <c r="C22" s="34" t="s">
        <v>100</v>
      </c>
      <c r="D22" s="34" t="s">
        <v>128</v>
      </c>
      <c r="E22" s="36" t="s">
        <v>46</v>
      </c>
      <c r="F22" s="59"/>
      <c r="G22" s="33"/>
      <c r="H22" s="6" t="s">
        <v>131</v>
      </c>
      <c r="J22" s="34" t="s">
        <v>100</v>
      </c>
      <c r="K22" s="34" t="s">
        <v>128</v>
      </c>
      <c r="L22" s="36" t="s">
        <v>46</v>
      </c>
      <c r="O22" s="6" t="s">
        <v>131</v>
      </c>
      <c r="Q22" s="34" t="s">
        <v>100</v>
      </c>
      <c r="R22" s="34" t="s">
        <v>128</v>
      </c>
      <c r="S22" s="36" t="s">
        <v>46</v>
      </c>
      <c r="V22" s="6" t="s">
        <v>131</v>
      </c>
      <c r="X22" s="34" t="s">
        <v>100</v>
      </c>
      <c r="Y22" s="34" t="s">
        <v>128</v>
      </c>
      <c r="Z22" s="36" t="s">
        <v>46</v>
      </c>
    </row>
    <row r="23" spans="1:27" ht="30" x14ac:dyDescent="0.25">
      <c r="A23" s="39">
        <v>1</v>
      </c>
      <c r="B23" s="40" t="s">
        <v>127</v>
      </c>
      <c r="C23" s="71">
        <f>C4-C15</f>
        <v>0</v>
      </c>
      <c r="D23">
        <v>5.3</v>
      </c>
      <c r="E23" s="43">
        <f>C23*D23</f>
        <v>0</v>
      </c>
      <c r="H23" s="39">
        <v>1</v>
      </c>
      <c r="I23" s="40" t="s">
        <v>127</v>
      </c>
      <c r="J23" s="71">
        <f>J4-J15</f>
        <v>8000</v>
      </c>
      <c r="K23" s="42">
        <v>5.3</v>
      </c>
      <c r="L23" s="43">
        <f>J23*K23</f>
        <v>42400</v>
      </c>
      <c r="O23" s="39">
        <v>1</v>
      </c>
      <c r="P23" s="40" t="s">
        <v>127</v>
      </c>
      <c r="S23" s="7"/>
      <c r="V23" s="39">
        <v>1</v>
      </c>
      <c r="W23" s="40" t="s">
        <v>127</v>
      </c>
      <c r="X23" s="71">
        <f>X4-X15</f>
        <v>2500</v>
      </c>
      <c r="Y23" s="42">
        <v>5.3</v>
      </c>
      <c r="Z23" s="43">
        <f>X23*Y23</f>
        <v>13250</v>
      </c>
    </row>
    <row r="24" spans="1:27" x14ac:dyDescent="0.25">
      <c r="A24" s="44">
        <v>8</v>
      </c>
      <c r="B24" s="40" t="s">
        <v>104</v>
      </c>
      <c r="C24" s="71">
        <f t="shared" ref="C24:C27" si="7">C5-C16</f>
        <v>0</v>
      </c>
      <c r="D24">
        <v>5.5</v>
      </c>
      <c r="E24" s="43">
        <f t="shared" ref="E24:E26" si="8">C24*D24</f>
        <v>0</v>
      </c>
      <c r="H24" s="44">
        <v>8</v>
      </c>
      <c r="I24" s="40" t="s">
        <v>104</v>
      </c>
      <c r="J24" s="71">
        <f t="shared" ref="J24:J27" si="9">J5-J16</f>
        <v>0</v>
      </c>
      <c r="K24" s="42">
        <v>5.5</v>
      </c>
      <c r="L24" s="43">
        <f t="shared" ref="L24:L26" si="10">J24*K24</f>
        <v>0</v>
      </c>
      <c r="O24" s="44">
        <v>8</v>
      </c>
      <c r="P24" s="40" t="s">
        <v>104</v>
      </c>
      <c r="S24" s="7"/>
      <c r="V24" s="44">
        <v>8</v>
      </c>
      <c r="W24" s="40" t="s">
        <v>104</v>
      </c>
      <c r="X24" s="71">
        <f t="shared" ref="X24:X27" si="11">X5-X16</f>
        <v>1000</v>
      </c>
      <c r="Y24" s="42">
        <v>5.5</v>
      </c>
      <c r="Z24" s="43">
        <f t="shared" ref="Z24:Z26" si="12">X24*Y24</f>
        <v>5500</v>
      </c>
    </row>
    <row r="25" spans="1:27" x14ac:dyDescent="0.25">
      <c r="A25" s="44">
        <v>13</v>
      </c>
      <c r="B25" s="40" t="s">
        <v>104</v>
      </c>
      <c r="C25" s="71">
        <f t="shared" si="7"/>
        <v>0</v>
      </c>
      <c r="D25">
        <v>5.6</v>
      </c>
      <c r="E25" s="43">
        <f t="shared" si="8"/>
        <v>0</v>
      </c>
      <c r="H25" s="44">
        <v>13</v>
      </c>
      <c r="I25" s="40" t="s">
        <v>104</v>
      </c>
      <c r="J25" s="71">
        <f t="shared" si="9"/>
        <v>0</v>
      </c>
      <c r="K25" s="42">
        <v>5.6</v>
      </c>
      <c r="L25" s="43">
        <f t="shared" si="10"/>
        <v>0</v>
      </c>
      <c r="O25" s="44">
        <v>13</v>
      </c>
      <c r="P25" s="40" t="s">
        <v>104</v>
      </c>
      <c r="S25" s="7"/>
      <c r="V25" s="44">
        <v>13</v>
      </c>
      <c r="W25" s="40" t="s">
        <v>104</v>
      </c>
      <c r="X25" s="71">
        <f t="shared" si="11"/>
        <v>1000</v>
      </c>
      <c r="Y25" s="42">
        <v>5.6</v>
      </c>
      <c r="Z25" s="43">
        <f t="shared" si="12"/>
        <v>5600</v>
      </c>
    </row>
    <row r="26" spans="1:27" x14ac:dyDescent="0.25">
      <c r="A26" s="44">
        <v>25</v>
      </c>
      <c r="B26" s="40" t="s">
        <v>104</v>
      </c>
      <c r="C26" s="71">
        <f t="shared" si="7"/>
        <v>0</v>
      </c>
      <c r="D26">
        <v>5.8</v>
      </c>
      <c r="E26" s="43">
        <f t="shared" si="8"/>
        <v>0</v>
      </c>
      <c r="H26" s="44">
        <v>25</v>
      </c>
      <c r="I26" s="40" t="s">
        <v>104</v>
      </c>
      <c r="J26" s="71">
        <f t="shared" si="9"/>
        <v>0</v>
      </c>
      <c r="K26" s="42">
        <v>5.8</v>
      </c>
      <c r="L26" s="43">
        <f t="shared" si="10"/>
        <v>0</v>
      </c>
      <c r="O26" s="44">
        <v>25</v>
      </c>
      <c r="P26" s="40" t="s">
        <v>104</v>
      </c>
      <c r="S26" s="7"/>
      <c r="V26" s="44">
        <v>25</v>
      </c>
      <c r="W26" s="40" t="s">
        <v>104</v>
      </c>
      <c r="X26" s="71">
        <f t="shared" si="11"/>
        <v>1550</v>
      </c>
      <c r="Y26" s="42">
        <v>5.8</v>
      </c>
      <c r="Z26" s="43">
        <f t="shared" si="12"/>
        <v>8990</v>
      </c>
    </row>
    <row r="27" spans="1:27" x14ac:dyDescent="0.25">
      <c r="A27" s="44">
        <v>29</v>
      </c>
      <c r="B27" s="45" t="s">
        <v>104</v>
      </c>
      <c r="C27" s="71">
        <f t="shared" si="7"/>
        <v>8000</v>
      </c>
      <c r="D27">
        <v>6.3</v>
      </c>
      <c r="E27" s="43">
        <f>C27*D27</f>
        <v>50400</v>
      </c>
      <c r="H27" s="44">
        <v>29</v>
      </c>
      <c r="I27" s="45" t="s">
        <v>104</v>
      </c>
      <c r="J27" s="71">
        <f t="shared" si="9"/>
        <v>0</v>
      </c>
      <c r="K27" s="42">
        <v>6.3</v>
      </c>
      <c r="L27" s="43">
        <f>J27*K27</f>
        <v>0</v>
      </c>
      <c r="O27" s="44">
        <v>29</v>
      </c>
      <c r="P27" s="45" t="s">
        <v>104</v>
      </c>
      <c r="S27" s="7"/>
      <c r="V27" s="44">
        <v>29</v>
      </c>
      <c r="W27" s="45" t="s">
        <v>104</v>
      </c>
      <c r="X27" s="71">
        <f t="shared" si="11"/>
        <v>1950</v>
      </c>
      <c r="Y27" s="42">
        <v>6.3</v>
      </c>
      <c r="Z27" s="43">
        <f>X27*Y27</f>
        <v>12285</v>
      </c>
    </row>
    <row r="28" spans="1:27" ht="15.75" thickBot="1" x14ac:dyDescent="0.3">
      <c r="A28" s="11"/>
      <c r="B28" s="50" t="s">
        <v>46</v>
      </c>
      <c r="C28" s="73">
        <f>SUM(C24:C27)</f>
        <v>8000</v>
      </c>
      <c r="D28" s="52"/>
      <c r="E28" s="49">
        <f>SUM(E23:E27)</f>
        <v>50400</v>
      </c>
      <c r="F28" s="60" t="s">
        <v>92</v>
      </c>
      <c r="H28" s="11"/>
      <c r="I28" s="50" t="s">
        <v>46</v>
      </c>
      <c r="J28" s="73">
        <f>SUM(J23:J27)</f>
        <v>8000</v>
      </c>
      <c r="K28" s="52"/>
      <c r="L28" s="53">
        <f>SUM(L23:L27)</f>
        <v>42400</v>
      </c>
      <c r="O28" s="11"/>
      <c r="P28" s="50" t="s">
        <v>46</v>
      </c>
      <c r="Q28" s="51">
        <v>8000</v>
      </c>
      <c r="R28" s="94">
        <f>R9</f>
        <v>5.6888888888888891</v>
      </c>
      <c r="S28" s="49">
        <f>Q28*R28</f>
        <v>45511.111111111109</v>
      </c>
      <c r="V28" s="11"/>
      <c r="W28" s="50" t="s">
        <v>46</v>
      </c>
      <c r="X28" s="96">
        <f>SUM(X23:X27)</f>
        <v>8000</v>
      </c>
      <c r="Y28" s="52"/>
      <c r="Z28" s="53">
        <f>SUM(Z23:Z27)</f>
        <v>45625</v>
      </c>
    </row>
    <row r="30" spans="1:27" x14ac:dyDescent="0.25">
      <c r="B30" t="s">
        <v>62</v>
      </c>
      <c r="E30">
        <v>213900</v>
      </c>
      <c r="F30" t="s">
        <v>138</v>
      </c>
      <c r="H30" t="s">
        <v>62</v>
      </c>
      <c r="L30">
        <v>213900</v>
      </c>
      <c r="M30" t="s">
        <v>138</v>
      </c>
      <c r="O30" t="s">
        <v>62</v>
      </c>
      <c r="S30">
        <v>213900</v>
      </c>
      <c r="T30" t="s">
        <v>138</v>
      </c>
      <c r="V30" t="s">
        <v>62</v>
      </c>
      <c r="Z30">
        <v>213900</v>
      </c>
      <c r="AA30" t="s">
        <v>138</v>
      </c>
    </row>
    <row r="31" spans="1:27" x14ac:dyDescent="0.25">
      <c r="B31" t="s">
        <v>112</v>
      </c>
      <c r="E31" s="75">
        <f>E20</f>
        <v>197920</v>
      </c>
      <c r="F31" t="s">
        <v>139</v>
      </c>
      <c r="H31" t="s">
        <v>112</v>
      </c>
      <c r="L31" s="75">
        <f>L20</f>
        <v>205920</v>
      </c>
      <c r="M31" t="s">
        <v>139</v>
      </c>
      <c r="O31" t="s">
        <v>112</v>
      </c>
      <c r="S31" s="75">
        <f>S20</f>
        <v>202808.88888888891</v>
      </c>
      <c r="T31" t="s">
        <v>139</v>
      </c>
      <c r="V31" t="s">
        <v>112</v>
      </c>
      <c r="Z31" s="75">
        <f>Z20</f>
        <v>202695</v>
      </c>
      <c r="AA31" t="s">
        <v>139</v>
      </c>
    </row>
    <row r="32" spans="1:27" x14ac:dyDescent="0.25">
      <c r="B32" t="s">
        <v>136</v>
      </c>
      <c r="E32" s="75">
        <f>E30-E31</f>
        <v>15980</v>
      </c>
      <c r="H32" t="s">
        <v>136</v>
      </c>
      <c r="L32" s="75">
        <f>L30-L31</f>
        <v>7980</v>
      </c>
      <c r="O32" t="s">
        <v>136</v>
      </c>
      <c r="S32" s="75">
        <f>S30-S31</f>
        <v>11091.111111111095</v>
      </c>
      <c r="V32" t="s">
        <v>136</v>
      </c>
      <c r="Z32" s="75">
        <f>Z30-Z31</f>
        <v>11205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D650-A5EC-4232-8ED2-89227865BE4D}">
  <dimension ref="B2"/>
  <sheetViews>
    <sheetView workbookViewId="0">
      <selection activeCell="B3" sqref="B3"/>
    </sheetView>
  </sheetViews>
  <sheetFormatPr defaultColWidth="8.85546875" defaultRowHeight="15" x14ac:dyDescent="0.25"/>
  <sheetData>
    <row r="2" spans="2:2" x14ac:dyDescent="0.25">
      <c r="B2" t="s">
        <v>141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D6BC-EBCC-4192-91D8-66369F108705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939B-174C-4659-B497-77F0D3AD477A}">
  <dimension ref="A1:O83"/>
  <sheetViews>
    <sheetView topLeftCell="A43" zoomScale="115" zoomScaleNormal="115" workbookViewId="0">
      <selection activeCell="F19" sqref="F19"/>
    </sheetView>
  </sheetViews>
  <sheetFormatPr defaultColWidth="8.85546875" defaultRowHeight="15" x14ac:dyDescent="0.25"/>
  <cols>
    <col min="1" max="1" width="6.7109375" customWidth="1"/>
    <col min="2" max="2" width="12.140625" customWidth="1"/>
    <col min="3" max="3" width="4.42578125" customWidth="1"/>
    <col min="6" max="6" width="9.42578125" customWidth="1"/>
    <col min="7" max="7" width="4.140625" customWidth="1"/>
    <col min="11" max="11" width="4.7109375" customWidth="1"/>
  </cols>
  <sheetData>
    <row r="1" spans="1:14" x14ac:dyDescent="0.25">
      <c r="A1" s="2" t="s">
        <v>96</v>
      </c>
    </row>
    <row r="2" spans="1:14" x14ac:dyDescent="0.25">
      <c r="A2" s="20"/>
      <c r="B2" s="20"/>
      <c r="D2" s="20"/>
      <c r="E2" s="20" t="s">
        <v>97</v>
      </c>
      <c r="F2" s="20"/>
      <c r="H2" s="20"/>
      <c r="I2" s="20" t="s">
        <v>62</v>
      </c>
      <c r="J2" s="20"/>
      <c r="L2" s="20"/>
      <c r="M2" s="20" t="s">
        <v>98</v>
      </c>
      <c r="N2" s="20"/>
    </row>
    <row r="3" spans="1:14" x14ac:dyDescent="0.25">
      <c r="A3" s="20" t="s">
        <v>47</v>
      </c>
      <c r="B3" s="20" t="s">
        <v>99</v>
      </c>
      <c r="D3" s="20" t="s">
        <v>100</v>
      </c>
      <c r="E3" s="20" t="s">
        <v>101</v>
      </c>
      <c r="F3" s="20" t="s">
        <v>102</v>
      </c>
      <c r="H3" s="20" t="s">
        <v>100</v>
      </c>
      <c r="I3" s="20" t="s">
        <v>101</v>
      </c>
      <c r="J3" s="20" t="s">
        <v>102</v>
      </c>
      <c r="L3" s="20" t="s">
        <v>100</v>
      </c>
      <c r="M3" s="20" t="s">
        <v>101</v>
      </c>
      <c r="N3" s="20" t="s">
        <v>102</v>
      </c>
    </row>
    <row r="4" spans="1:14" x14ac:dyDescent="0.25">
      <c r="A4" s="21">
        <v>37104</v>
      </c>
      <c r="B4" s="20" t="s">
        <v>103</v>
      </c>
      <c r="D4" s="20"/>
      <c r="E4" s="20"/>
      <c r="F4" s="20"/>
      <c r="H4" s="20"/>
      <c r="I4" s="20"/>
      <c r="J4" s="20"/>
      <c r="L4" s="20">
        <v>60</v>
      </c>
      <c r="M4" s="20">
        <v>10</v>
      </c>
      <c r="N4" s="20">
        <f>L4*M4</f>
        <v>600</v>
      </c>
    </row>
    <row r="5" spans="1:14" x14ac:dyDescent="0.25">
      <c r="A5" s="20"/>
      <c r="B5" s="20"/>
      <c r="D5" s="20"/>
      <c r="E5" s="20"/>
      <c r="F5" s="20"/>
      <c r="H5" s="20"/>
      <c r="I5" s="20"/>
      <c r="J5" s="20"/>
      <c r="L5" s="20"/>
      <c r="M5" s="20"/>
      <c r="N5" s="20"/>
    </row>
    <row r="6" spans="1:14" x14ac:dyDescent="0.25">
      <c r="A6" s="20">
        <v>12</v>
      </c>
      <c r="B6" s="20" t="s">
        <v>104</v>
      </c>
      <c r="D6" s="20">
        <v>90</v>
      </c>
      <c r="E6" s="20">
        <v>12</v>
      </c>
      <c r="F6" s="20">
        <f>D6*E6</f>
        <v>1080</v>
      </c>
      <c r="H6" s="20"/>
      <c r="I6" s="20"/>
      <c r="J6" s="20"/>
      <c r="K6" t="s">
        <v>105</v>
      </c>
      <c r="L6" s="20">
        <f>L4</f>
        <v>60</v>
      </c>
      <c r="M6" s="20">
        <f>M4</f>
        <v>10</v>
      </c>
      <c r="N6" s="20">
        <f>N4</f>
        <v>600</v>
      </c>
    </row>
    <row r="7" spans="1:14" x14ac:dyDescent="0.25">
      <c r="A7" s="20"/>
      <c r="B7" s="20"/>
      <c r="D7" s="20"/>
      <c r="E7" s="20"/>
      <c r="F7" s="20"/>
      <c r="H7" s="20"/>
      <c r="I7" s="20"/>
      <c r="J7" s="20"/>
      <c r="K7" t="s">
        <v>106</v>
      </c>
      <c r="L7" s="20">
        <f>D6</f>
        <v>90</v>
      </c>
      <c r="M7" s="20">
        <f t="shared" ref="M7:N7" si="0">E6</f>
        <v>12</v>
      </c>
      <c r="N7" s="20">
        <f t="shared" si="0"/>
        <v>1080</v>
      </c>
    </row>
    <row r="8" spans="1:14" x14ac:dyDescent="0.25">
      <c r="A8" s="20"/>
      <c r="B8" s="20"/>
      <c r="D8" s="20"/>
      <c r="E8" s="20"/>
      <c r="F8" s="20"/>
      <c r="H8" s="20"/>
      <c r="I8" s="20"/>
      <c r="J8" s="20"/>
      <c r="L8" s="20"/>
      <c r="M8" s="20"/>
      <c r="N8" s="20"/>
    </row>
    <row r="9" spans="1:14" x14ac:dyDescent="0.25">
      <c r="A9" s="20">
        <v>15</v>
      </c>
      <c r="B9" s="20" t="s">
        <v>107</v>
      </c>
      <c r="D9" s="20"/>
      <c r="E9" s="20"/>
      <c r="F9" s="20"/>
      <c r="H9" s="20">
        <f>L6</f>
        <v>60</v>
      </c>
      <c r="I9" s="20">
        <f t="shared" ref="I9:J9" si="1">M6</f>
        <v>10</v>
      </c>
      <c r="J9" s="20">
        <f t="shared" si="1"/>
        <v>600</v>
      </c>
      <c r="L9" s="20">
        <f>L6-H9</f>
        <v>0</v>
      </c>
      <c r="M9" s="20">
        <v>10</v>
      </c>
      <c r="N9" s="20">
        <f>L9*M9</f>
        <v>0</v>
      </c>
    </row>
    <row r="10" spans="1:14" x14ac:dyDescent="0.25">
      <c r="A10" s="20"/>
      <c r="B10" s="20"/>
      <c r="D10" s="20"/>
      <c r="E10" s="20"/>
      <c r="F10" s="20"/>
      <c r="H10" s="20">
        <v>20</v>
      </c>
      <c r="I10" s="20">
        <v>12</v>
      </c>
      <c r="J10" s="20">
        <f>H10*I10</f>
        <v>240</v>
      </c>
      <c r="L10" s="20">
        <f>L7-H10</f>
        <v>70</v>
      </c>
      <c r="M10" s="20">
        <v>12</v>
      </c>
      <c r="N10" s="20">
        <f>L10*M10</f>
        <v>840</v>
      </c>
    </row>
    <row r="11" spans="1:14" x14ac:dyDescent="0.25">
      <c r="A11" s="20"/>
      <c r="B11" s="20"/>
      <c r="D11" s="20"/>
      <c r="E11" s="20"/>
      <c r="F11" s="20"/>
      <c r="H11" s="20"/>
      <c r="I11" s="20"/>
      <c r="J11" s="20"/>
      <c r="L11" s="20"/>
      <c r="M11" s="20"/>
      <c r="N11" s="20"/>
    </row>
    <row r="12" spans="1:14" x14ac:dyDescent="0.25">
      <c r="A12" s="20">
        <v>21</v>
      </c>
      <c r="B12" s="20" t="s">
        <v>104</v>
      </c>
      <c r="D12" s="20">
        <v>120</v>
      </c>
      <c r="E12" s="20">
        <v>13</v>
      </c>
      <c r="F12" s="20">
        <f>D12*E12</f>
        <v>1560</v>
      </c>
      <c r="H12" s="20"/>
      <c r="I12" s="20"/>
      <c r="J12" s="20"/>
      <c r="K12" t="s">
        <v>105</v>
      </c>
      <c r="L12" s="20">
        <f>L10</f>
        <v>70</v>
      </c>
      <c r="M12" s="20">
        <f t="shared" ref="M12:N12" si="2">M10</f>
        <v>12</v>
      </c>
      <c r="N12" s="20">
        <f t="shared" si="2"/>
        <v>840</v>
      </c>
    </row>
    <row r="13" spans="1:14" x14ac:dyDescent="0.25">
      <c r="A13" s="20"/>
      <c r="B13" s="20"/>
      <c r="D13" s="20"/>
      <c r="E13" s="20"/>
      <c r="F13" s="20"/>
      <c r="H13" s="20"/>
      <c r="I13" s="20"/>
      <c r="J13" s="20"/>
      <c r="K13" t="s">
        <v>106</v>
      </c>
      <c r="L13" s="20">
        <f>D12</f>
        <v>120</v>
      </c>
      <c r="M13" s="20">
        <f t="shared" ref="M13:N13" si="3">E12</f>
        <v>13</v>
      </c>
      <c r="N13" s="20">
        <f t="shared" si="3"/>
        <v>1560</v>
      </c>
    </row>
    <row r="14" spans="1:14" x14ac:dyDescent="0.25">
      <c r="A14" s="20"/>
      <c r="B14" s="20"/>
      <c r="D14" s="20"/>
      <c r="E14" s="20"/>
      <c r="F14" s="20"/>
      <c r="H14" s="20"/>
      <c r="I14" s="20"/>
      <c r="J14" s="20"/>
      <c r="L14" s="20"/>
      <c r="M14" s="20"/>
      <c r="N14" s="20"/>
    </row>
    <row r="15" spans="1:14" x14ac:dyDescent="0.25">
      <c r="A15" s="20">
        <v>22</v>
      </c>
      <c r="B15" s="20" t="s">
        <v>107</v>
      </c>
      <c r="D15" s="20"/>
      <c r="E15" s="20"/>
      <c r="F15" s="20"/>
      <c r="H15" s="20">
        <v>70</v>
      </c>
      <c r="I15" s="20">
        <f>M12</f>
        <v>12</v>
      </c>
      <c r="J15" s="20">
        <f>H15*I15</f>
        <v>840</v>
      </c>
      <c r="L15" s="20">
        <f>L12-H15</f>
        <v>0</v>
      </c>
      <c r="M15" s="20">
        <f>M12</f>
        <v>12</v>
      </c>
      <c r="N15" s="20">
        <f>L15*M15</f>
        <v>0</v>
      </c>
    </row>
    <row r="16" spans="1:14" x14ac:dyDescent="0.25">
      <c r="A16" s="20"/>
      <c r="B16" s="20"/>
      <c r="D16" s="20"/>
      <c r="E16" s="20"/>
      <c r="F16" s="20"/>
      <c r="H16" s="20">
        <v>30</v>
      </c>
      <c r="I16" s="20">
        <f>M13</f>
        <v>13</v>
      </c>
      <c r="J16" s="20">
        <f>H16*I16</f>
        <v>390</v>
      </c>
      <c r="L16" s="20">
        <f>L13-H16</f>
        <v>90</v>
      </c>
      <c r="M16" s="20">
        <f>M13</f>
        <v>13</v>
      </c>
      <c r="N16" s="20">
        <f>L16*M16</f>
        <v>1170</v>
      </c>
    </row>
    <row r="17" spans="1:15" x14ac:dyDescent="0.25">
      <c r="A17" s="20"/>
      <c r="B17" s="20"/>
      <c r="D17" s="20"/>
      <c r="E17" s="20"/>
      <c r="F17" s="20"/>
      <c r="H17" s="20"/>
      <c r="I17" s="20"/>
      <c r="J17" s="20"/>
      <c r="L17" s="20"/>
      <c r="M17" s="20"/>
      <c r="N17" s="20"/>
    </row>
    <row r="18" spans="1:15" x14ac:dyDescent="0.25">
      <c r="A18" s="20">
        <v>28</v>
      </c>
      <c r="B18" s="20" t="s">
        <v>107</v>
      </c>
      <c r="D18" s="20"/>
      <c r="E18" s="20"/>
      <c r="F18" s="20"/>
      <c r="H18" s="20">
        <v>65</v>
      </c>
      <c r="I18" s="20">
        <v>13</v>
      </c>
      <c r="J18" s="20">
        <f>H18*I18</f>
        <v>845</v>
      </c>
      <c r="L18" s="20">
        <f>L16-H18</f>
        <v>25</v>
      </c>
      <c r="M18" s="20">
        <f>M16</f>
        <v>13</v>
      </c>
      <c r="N18" s="22">
        <f>L18*M18</f>
        <v>325</v>
      </c>
    </row>
    <row r="19" spans="1:15" x14ac:dyDescent="0.25">
      <c r="A19" s="20"/>
      <c r="B19" s="20"/>
      <c r="D19" s="20"/>
      <c r="E19" s="20"/>
      <c r="F19" s="20"/>
      <c r="H19" s="20"/>
      <c r="I19" s="20"/>
      <c r="L19" s="20"/>
      <c r="M19" s="20"/>
      <c r="N19" s="20"/>
    </row>
    <row r="20" spans="1:15" x14ac:dyDescent="0.25">
      <c r="J20" s="22">
        <f>SUM(J9:J18)</f>
        <v>2915</v>
      </c>
      <c r="K20" s="2" t="s">
        <v>93</v>
      </c>
      <c r="N20" s="2">
        <f>N18</f>
        <v>325</v>
      </c>
      <c r="O20" s="2" t="s">
        <v>92</v>
      </c>
    </row>
    <row r="22" spans="1:15" x14ac:dyDescent="0.25">
      <c r="A22" s="2" t="s">
        <v>108</v>
      </c>
    </row>
    <row r="23" spans="1:15" x14ac:dyDescent="0.25">
      <c r="A23" s="20"/>
      <c r="B23" s="20"/>
      <c r="D23" s="20"/>
      <c r="E23" s="20" t="s">
        <v>97</v>
      </c>
      <c r="F23" s="20"/>
      <c r="H23" s="20"/>
      <c r="I23" s="20" t="s">
        <v>62</v>
      </c>
      <c r="J23" s="20"/>
      <c r="L23" s="20"/>
      <c r="M23" s="20" t="s">
        <v>98</v>
      </c>
      <c r="N23" s="20"/>
    </row>
    <row r="24" spans="1:15" x14ac:dyDescent="0.25">
      <c r="A24" s="20" t="s">
        <v>47</v>
      </c>
      <c r="B24" s="20" t="s">
        <v>99</v>
      </c>
      <c r="D24" s="20" t="s">
        <v>100</v>
      </c>
      <c r="E24" s="20" t="s">
        <v>101</v>
      </c>
      <c r="F24" s="20" t="s">
        <v>102</v>
      </c>
      <c r="H24" s="20" t="s">
        <v>100</v>
      </c>
      <c r="I24" s="20" t="s">
        <v>101</v>
      </c>
      <c r="J24" s="20" t="s">
        <v>102</v>
      </c>
      <c r="L24" s="20" t="s">
        <v>100</v>
      </c>
      <c r="M24" s="20" t="s">
        <v>101</v>
      </c>
      <c r="N24" s="20" t="s">
        <v>102</v>
      </c>
    </row>
    <row r="25" spans="1:15" x14ac:dyDescent="0.25">
      <c r="A25" s="21">
        <v>37104</v>
      </c>
      <c r="B25" s="20" t="s">
        <v>103</v>
      </c>
      <c r="D25" s="20"/>
      <c r="E25" s="20"/>
      <c r="F25" s="20"/>
      <c r="H25" s="20"/>
      <c r="I25" s="20"/>
      <c r="J25" s="20"/>
      <c r="L25" s="20">
        <v>60</v>
      </c>
      <c r="M25" s="20">
        <v>10</v>
      </c>
      <c r="N25" s="20">
        <f>L25*M25</f>
        <v>600</v>
      </c>
    </row>
    <row r="26" spans="1:15" x14ac:dyDescent="0.25">
      <c r="A26" s="20"/>
      <c r="B26" s="20"/>
      <c r="D26" s="20"/>
      <c r="E26" s="20"/>
      <c r="F26" s="20"/>
      <c r="H26" s="20"/>
      <c r="I26" s="20"/>
      <c r="J26" s="20"/>
      <c r="L26" s="20"/>
      <c r="M26" s="20"/>
      <c r="N26" s="20"/>
    </row>
    <row r="27" spans="1:15" x14ac:dyDescent="0.25">
      <c r="A27" s="20">
        <v>12</v>
      </c>
      <c r="B27" s="20" t="s">
        <v>104</v>
      </c>
      <c r="D27" s="20">
        <v>90</v>
      </c>
      <c r="E27" s="20">
        <v>12</v>
      </c>
      <c r="F27" s="20">
        <f>D27*E27</f>
        <v>1080</v>
      </c>
      <c r="H27" s="20"/>
      <c r="I27" s="20"/>
      <c r="J27" s="20"/>
      <c r="K27" t="s">
        <v>106</v>
      </c>
      <c r="L27" s="20">
        <f>L25</f>
        <v>60</v>
      </c>
      <c r="M27" s="20">
        <f>M25</f>
        <v>10</v>
      </c>
      <c r="N27" s="20">
        <f>N25</f>
        <v>600</v>
      </c>
    </row>
    <row r="28" spans="1:15" x14ac:dyDescent="0.25">
      <c r="A28" s="20"/>
      <c r="B28" s="20"/>
      <c r="D28" s="20"/>
      <c r="E28" s="20"/>
      <c r="F28" s="20"/>
      <c r="H28" s="20"/>
      <c r="I28" s="20"/>
      <c r="J28" s="20"/>
      <c r="K28" t="s">
        <v>105</v>
      </c>
      <c r="L28" s="20">
        <f>D27</f>
        <v>90</v>
      </c>
      <c r="M28" s="20">
        <f t="shared" ref="M28:N28" si="4">E27</f>
        <v>12</v>
      </c>
      <c r="N28" s="20">
        <f t="shared" si="4"/>
        <v>1080</v>
      </c>
    </row>
    <row r="29" spans="1:15" x14ac:dyDescent="0.25">
      <c r="A29" s="20"/>
      <c r="B29" s="20"/>
      <c r="D29" s="20"/>
      <c r="E29" s="20"/>
      <c r="F29" s="20"/>
      <c r="H29" s="20"/>
      <c r="I29" s="20"/>
      <c r="J29" s="20"/>
      <c r="L29" s="20"/>
      <c r="M29" s="20"/>
      <c r="N29" s="20"/>
    </row>
    <row r="30" spans="1:15" x14ac:dyDescent="0.25">
      <c r="A30" s="20">
        <v>15</v>
      </c>
      <c r="B30" s="20" t="s">
        <v>107</v>
      </c>
      <c r="D30" s="20"/>
      <c r="E30" s="20"/>
      <c r="F30" s="20"/>
      <c r="G30" t="s">
        <v>106</v>
      </c>
      <c r="H30" s="20">
        <v>0</v>
      </c>
      <c r="I30" s="20">
        <v>10</v>
      </c>
      <c r="J30" s="20">
        <f>H30*I30</f>
        <v>0</v>
      </c>
      <c r="L30" s="23">
        <f>L27-H30</f>
        <v>60</v>
      </c>
      <c r="M30" s="23">
        <v>10</v>
      </c>
      <c r="N30" s="23">
        <f>L30*M30</f>
        <v>600</v>
      </c>
    </row>
    <row r="31" spans="1:15" x14ac:dyDescent="0.25">
      <c r="A31" s="20"/>
      <c r="B31" s="20"/>
      <c r="D31" s="20"/>
      <c r="E31" s="20"/>
      <c r="F31" s="20"/>
      <c r="G31" t="s">
        <v>105</v>
      </c>
      <c r="H31" s="20">
        <v>80</v>
      </c>
      <c r="I31" s="20">
        <v>12</v>
      </c>
      <c r="J31" s="20">
        <f>H31*I31</f>
        <v>960</v>
      </c>
      <c r="L31" s="23">
        <f>L28-H31</f>
        <v>10</v>
      </c>
      <c r="M31" s="23">
        <v>12</v>
      </c>
      <c r="N31" s="23">
        <f>L31*M31</f>
        <v>120</v>
      </c>
    </row>
    <row r="32" spans="1:15" x14ac:dyDescent="0.25">
      <c r="A32" s="20"/>
      <c r="B32" s="20"/>
      <c r="D32" s="20"/>
      <c r="E32" s="20"/>
      <c r="F32" s="20"/>
      <c r="H32" s="20"/>
      <c r="I32" s="20"/>
      <c r="J32" s="20"/>
      <c r="L32" s="24"/>
      <c r="M32" s="24"/>
      <c r="N32" s="24"/>
    </row>
    <row r="33" spans="1:15" x14ac:dyDescent="0.25">
      <c r="A33" s="20">
        <v>21</v>
      </c>
      <c r="B33" s="20" t="s">
        <v>104</v>
      </c>
      <c r="D33" s="20">
        <v>120</v>
      </c>
      <c r="E33" s="20">
        <v>13</v>
      </c>
      <c r="F33" s="20">
        <f>D33*E33</f>
        <v>1560</v>
      </c>
      <c r="H33" s="20"/>
      <c r="I33" s="20"/>
      <c r="J33" s="20"/>
      <c r="K33" t="s">
        <v>109</v>
      </c>
      <c r="L33" s="23">
        <f>L30</f>
        <v>60</v>
      </c>
      <c r="M33" s="23">
        <f t="shared" ref="M33:N34" si="5">M30</f>
        <v>10</v>
      </c>
      <c r="N33" s="23">
        <f t="shared" si="5"/>
        <v>600</v>
      </c>
    </row>
    <row r="34" spans="1:15" x14ac:dyDescent="0.25">
      <c r="A34" s="20"/>
      <c r="B34" s="20"/>
      <c r="D34" s="20"/>
      <c r="E34" s="20"/>
      <c r="F34" s="20"/>
      <c r="H34" s="20"/>
      <c r="I34" s="20"/>
      <c r="J34" s="20"/>
      <c r="K34" t="s">
        <v>106</v>
      </c>
      <c r="L34" s="23">
        <f>L31</f>
        <v>10</v>
      </c>
      <c r="M34" s="23">
        <f t="shared" si="5"/>
        <v>12</v>
      </c>
      <c r="N34" s="23">
        <f t="shared" si="5"/>
        <v>120</v>
      </c>
    </row>
    <row r="35" spans="1:15" x14ac:dyDescent="0.25">
      <c r="A35" s="20"/>
      <c r="B35" s="20"/>
      <c r="D35" s="20"/>
      <c r="E35" s="20"/>
      <c r="F35" s="20"/>
      <c r="H35" s="20"/>
      <c r="I35" s="20"/>
      <c r="J35" s="20"/>
      <c r="K35" t="s">
        <v>105</v>
      </c>
      <c r="L35" s="23">
        <f>D33</f>
        <v>120</v>
      </c>
      <c r="M35" s="23">
        <f t="shared" ref="M35:N35" si="6">E33</f>
        <v>13</v>
      </c>
      <c r="N35" s="23">
        <f t="shared" si="6"/>
        <v>1560</v>
      </c>
    </row>
    <row r="36" spans="1:15" x14ac:dyDescent="0.25">
      <c r="A36" s="20"/>
      <c r="B36" s="20"/>
      <c r="D36" s="20"/>
      <c r="E36" s="20"/>
      <c r="F36" s="20"/>
      <c r="H36" s="20"/>
      <c r="I36" s="20"/>
      <c r="J36" s="20"/>
      <c r="L36" s="23"/>
      <c r="M36" s="23"/>
      <c r="N36" s="23"/>
    </row>
    <row r="37" spans="1:15" x14ac:dyDescent="0.25">
      <c r="A37" s="20">
        <v>22</v>
      </c>
      <c r="B37" s="20" t="s">
        <v>107</v>
      </c>
      <c r="D37" s="20"/>
      <c r="E37" s="20"/>
      <c r="F37" s="20"/>
      <c r="G37" t="s">
        <v>109</v>
      </c>
      <c r="H37" s="20">
        <v>0</v>
      </c>
      <c r="I37" s="20">
        <v>10</v>
      </c>
      <c r="J37" s="20">
        <f>H37*I37</f>
        <v>0</v>
      </c>
      <c r="K37" t="s">
        <v>109</v>
      </c>
      <c r="L37" s="23">
        <f>L33-H37</f>
        <v>60</v>
      </c>
      <c r="M37" s="23">
        <f>M33</f>
        <v>10</v>
      </c>
      <c r="N37" s="23">
        <f>L37*M37</f>
        <v>600</v>
      </c>
    </row>
    <row r="38" spans="1:15" x14ac:dyDescent="0.25">
      <c r="A38" s="20"/>
      <c r="B38" s="20"/>
      <c r="D38" s="20"/>
      <c r="E38" s="20"/>
      <c r="F38" s="20"/>
      <c r="G38" t="s">
        <v>106</v>
      </c>
      <c r="H38" s="20">
        <v>0</v>
      </c>
      <c r="I38" s="20">
        <v>12</v>
      </c>
      <c r="J38" s="20">
        <f>H38*I38</f>
        <v>0</v>
      </c>
      <c r="K38" t="s">
        <v>106</v>
      </c>
      <c r="L38" s="23">
        <f>L34-H38</f>
        <v>10</v>
      </c>
      <c r="M38" s="23">
        <f>M34</f>
        <v>12</v>
      </c>
      <c r="N38" s="23">
        <f>L38*M38</f>
        <v>120</v>
      </c>
    </row>
    <row r="39" spans="1:15" x14ac:dyDescent="0.25">
      <c r="A39" s="20"/>
      <c r="B39" s="20"/>
      <c r="D39" s="20"/>
      <c r="E39" s="20"/>
      <c r="F39" s="20"/>
      <c r="G39" t="s">
        <v>105</v>
      </c>
      <c r="H39" s="20">
        <v>100</v>
      </c>
      <c r="I39" s="20">
        <v>13</v>
      </c>
      <c r="J39" s="20">
        <f>H39*I39</f>
        <v>1300</v>
      </c>
      <c r="K39" t="s">
        <v>105</v>
      </c>
      <c r="L39" s="23">
        <f>L35-H39</f>
        <v>20</v>
      </c>
      <c r="M39" s="23">
        <f>M35</f>
        <v>13</v>
      </c>
      <c r="N39" s="23">
        <f>L39*M39</f>
        <v>260</v>
      </c>
    </row>
    <row r="40" spans="1:15" x14ac:dyDescent="0.25">
      <c r="A40" s="20"/>
      <c r="B40" s="20"/>
      <c r="D40" s="20"/>
      <c r="E40" s="20"/>
      <c r="F40" s="20"/>
      <c r="H40" s="20"/>
      <c r="I40" s="20"/>
      <c r="J40" s="20"/>
      <c r="L40" s="23"/>
      <c r="M40" s="23"/>
      <c r="N40" s="23"/>
    </row>
    <row r="41" spans="1:15" x14ac:dyDescent="0.25">
      <c r="A41" s="20">
        <v>28</v>
      </c>
      <c r="B41" s="20" t="s">
        <v>107</v>
      </c>
      <c r="D41" s="20"/>
      <c r="E41" s="20"/>
      <c r="F41" s="20"/>
      <c r="G41" t="s">
        <v>109</v>
      </c>
      <c r="H41" s="20">
        <v>35</v>
      </c>
      <c r="I41" s="20">
        <v>10</v>
      </c>
      <c r="J41" s="20">
        <f>H41*I41</f>
        <v>350</v>
      </c>
      <c r="L41" s="23">
        <f>L37-H41</f>
        <v>25</v>
      </c>
      <c r="M41" s="23">
        <f>M37</f>
        <v>10</v>
      </c>
      <c r="N41" s="23">
        <f>L41*M41</f>
        <v>250</v>
      </c>
    </row>
    <row r="42" spans="1:15" x14ac:dyDescent="0.25">
      <c r="A42" s="20"/>
      <c r="B42" s="20"/>
      <c r="D42" s="20"/>
      <c r="E42" s="20"/>
      <c r="F42" s="20"/>
      <c r="G42" t="s">
        <v>106</v>
      </c>
      <c r="H42" s="20">
        <v>10</v>
      </c>
      <c r="I42" s="20">
        <v>12</v>
      </c>
      <c r="J42" s="20">
        <f>H42*I42</f>
        <v>120</v>
      </c>
      <c r="L42" s="23">
        <f>L38-H42</f>
        <v>0</v>
      </c>
      <c r="M42" s="23">
        <f>M38</f>
        <v>12</v>
      </c>
      <c r="N42" s="23">
        <f>L42*M42</f>
        <v>0</v>
      </c>
    </row>
    <row r="43" spans="1:15" x14ac:dyDescent="0.25">
      <c r="G43" t="s">
        <v>105</v>
      </c>
      <c r="H43" s="20">
        <v>20</v>
      </c>
      <c r="I43" s="20">
        <v>13</v>
      </c>
      <c r="J43" s="20">
        <f>H43*I43</f>
        <v>260</v>
      </c>
      <c r="L43" s="23">
        <f>L39-H43</f>
        <v>0</v>
      </c>
      <c r="M43" s="23">
        <f>M39</f>
        <v>13</v>
      </c>
      <c r="N43" s="23">
        <f>L43*M43</f>
        <v>0</v>
      </c>
    </row>
    <row r="45" spans="1:15" x14ac:dyDescent="0.25">
      <c r="J45" s="2">
        <f>SUM(J30:J43)</f>
        <v>2990</v>
      </c>
      <c r="K45" t="s">
        <v>93</v>
      </c>
      <c r="N45" s="2">
        <f>N41</f>
        <v>250</v>
      </c>
      <c r="O45" t="s">
        <v>92</v>
      </c>
    </row>
    <row r="46" spans="1:15" x14ac:dyDescent="0.25">
      <c r="A46" t="s">
        <v>110</v>
      </c>
    </row>
    <row r="47" spans="1:15" x14ac:dyDescent="0.25">
      <c r="A47" s="20"/>
      <c r="B47" s="20"/>
      <c r="D47" s="20"/>
      <c r="E47" s="20" t="s">
        <v>97</v>
      </c>
      <c r="F47" s="20"/>
      <c r="H47" s="20"/>
      <c r="I47" s="20" t="s">
        <v>62</v>
      </c>
      <c r="J47" s="20"/>
      <c r="L47" s="20"/>
      <c r="M47" s="20" t="s">
        <v>98</v>
      </c>
      <c r="N47" s="20"/>
    </row>
    <row r="48" spans="1:15" x14ac:dyDescent="0.25">
      <c r="A48" s="20" t="s">
        <v>47</v>
      </c>
      <c r="B48" s="20" t="s">
        <v>99</v>
      </c>
      <c r="D48" s="20" t="s">
        <v>100</v>
      </c>
      <c r="E48" s="20" t="s">
        <v>101</v>
      </c>
      <c r="F48" s="20" t="s">
        <v>102</v>
      </c>
      <c r="H48" s="20" t="s">
        <v>100</v>
      </c>
      <c r="I48" s="20" t="s">
        <v>101</v>
      </c>
      <c r="J48" s="20" t="s">
        <v>102</v>
      </c>
      <c r="L48" s="20" t="s">
        <v>100</v>
      </c>
      <c r="M48" s="20" t="s">
        <v>101</v>
      </c>
      <c r="N48" s="20" t="s">
        <v>102</v>
      </c>
    </row>
    <row r="49" spans="1:14" x14ac:dyDescent="0.25">
      <c r="A49" s="21">
        <v>37104</v>
      </c>
      <c r="B49" s="20" t="s">
        <v>103</v>
      </c>
      <c r="D49" s="20"/>
      <c r="E49" s="20"/>
      <c r="F49" s="20"/>
      <c r="H49" s="20"/>
      <c r="I49" s="20"/>
      <c r="J49" s="20"/>
      <c r="L49" s="20">
        <v>60</v>
      </c>
      <c r="M49" s="20">
        <v>10</v>
      </c>
      <c r="N49" s="20">
        <f>L49*M49</f>
        <v>600</v>
      </c>
    </row>
    <row r="50" spans="1:14" x14ac:dyDescent="0.25">
      <c r="A50" s="20"/>
      <c r="B50" s="20"/>
      <c r="D50" s="20"/>
      <c r="E50" s="20"/>
      <c r="F50" s="20"/>
      <c r="H50" s="20"/>
      <c r="I50" s="20"/>
      <c r="J50" s="20"/>
      <c r="L50" s="20"/>
      <c r="M50" s="20"/>
      <c r="N50" s="20"/>
    </row>
    <row r="51" spans="1:14" x14ac:dyDescent="0.25">
      <c r="A51" s="20">
        <v>12</v>
      </c>
      <c r="B51" s="20"/>
      <c r="D51" s="20">
        <v>90</v>
      </c>
      <c r="E51" s="20">
        <v>12</v>
      </c>
      <c r="F51" s="20">
        <f>D51*E51</f>
        <v>1080</v>
      </c>
      <c r="H51" s="20"/>
      <c r="I51" s="20"/>
      <c r="J51" s="20"/>
      <c r="L51" s="20"/>
      <c r="M51" s="20"/>
      <c r="N51" s="20"/>
    </row>
    <row r="52" spans="1:14" x14ac:dyDescent="0.25">
      <c r="A52" s="20"/>
      <c r="B52" s="20"/>
      <c r="D52" s="20"/>
      <c r="E52" s="20"/>
      <c r="F52" s="20"/>
      <c r="H52" s="20"/>
      <c r="I52" s="20"/>
      <c r="J52" s="20"/>
      <c r="L52" s="20"/>
      <c r="M52" s="20"/>
      <c r="N52" s="20"/>
    </row>
    <row r="53" spans="1:14" x14ac:dyDescent="0.25">
      <c r="A53" s="20">
        <v>15</v>
      </c>
      <c r="B53" s="20"/>
      <c r="D53" s="20"/>
      <c r="E53" s="20"/>
      <c r="F53" s="20"/>
      <c r="H53" s="20">
        <v>80</v>
      </c>
      <c r="I53" s="20"/>
      <c r="J53" s="20"/>
      <c r="L53" s="20"/>
      <c r="M53" s="20"/>
      <c r="N53" s="20"/>
    </row>
    <row r="54" spans="1:14" x14ac:dyDescent="0.25">
      <c r="A54" s="20"/>
      <c r="B54" s="20"/>
      <c r="D54" s="20"/>
      <c r="E54" s="20"/>
      <c r="F54" s="20"/>
      <c r="H54" s="20"/>
      <c r="I54" s="20"/>
      <c r="J54" s="20"/>
      <c r="L54" s="20"/>
      <c r="M54" s="20"/>
      <c r="N54" s="20"/>
    </row>
    <row r="55" spans="1:14" x14ac:dyDescent="0.25">
      <c r="A55" s="20"/>
      <c r="B55" s="20"/>
      <c r="D55" s="20"/>
      <c r="E55" s="20"/>
      <c r="F55" s="20"/>
      <c r="H55" s="20"/>
      <c r="I55" s="20"/>
      <c r="J55" s="20"/>
      <c r="L55" s="20"/>
      <c r="M55" s="20"/>
      <c r="N55" s="20"/>
    </row>
    <row r="56" spans="1:14" x14ac:dyDescent="0.25">
      <c r="A56" s="20">
        <v>21</v>
      </c>
      <c r="B56" s="20"/>
      <c r="D56" s="20">
        <v>120</v>
      </c>
      <c r="E56" s="20">
        <v>13</v>
      </c>
      <c r="F56" s="20">
        <f>D56*E56</f>
        <v>1560</v>
      </c>
      <c r="H56" s="20"/>
      <c r="I56" s="20"/>
      <c r="J56" s="20"/>
      <c r="L56" s="20"/>
      <c r="M56" s="20"/>
      <c r="N56" s="20"/>
    </row>
    <row r="57" spans="1:14" x14ac:dyDescent="0.25">
      <c r="A57" s="20"/>
      <c r="B57" s="20"/>
      <c r="D57" s="20"/>
      <c r="E57" s="20"/>
      <c r="F57" s="20"/>
      <c r="H57" s="20"/>
      <c r="I57" s="20"/>
      <c r="J57" s="20"/>
      <c r="L57" s="20"/>
      <c r="M57" s="20"/>
      <c r="N57" s="20"/>
    </row>
    <row r="58" spans="1:14" x14ac:dyDescent="0.25">
      <c r="A58" s="20"/>
      <c r="B58" s="20"/>
      <c r="D58" s="20"/>
      <c r="E58" s="20"/>
      <c r="F58" s="20"/>
      <c r="H58" s="20"/>
      <c r="I58" s="20"/>
      <c r="J58" s="20"/>
      <c r="L58" s="20"/>
      <c r="M58" s="20"/>
      <c r="N58" s="20"/>
    </row>
    <row r="59" spans="1:14" x14ac:dyDescent="0.25">
      <c r="A59" s="20"/>
      <c r="B59" s="20"/>
      <c r="D59" s="20"/>
      <c r="E59" s="20"/>
      <c r="F59" s="20"/>
      <c r="H59" s="20"/>
      <c r="I59" s="20"/>
      <c r="J59" s="20"/>
      <c r="L59" s="20"/>
      <c r="M59" s="20"/>
      <c r="N59" s="20"/>
    </row>
    <row r="60" spans="1:14" x14ac:dyDescent="0.25">
      <c r="A60" s="20">
        <v>22</v>
      </c>
      <c r="B60" s="20"/>
      <c r="D60" s="20"/>
      <c r="E60" s="20"/>
      <c r="F60" s="20"/>
      <c r="H60" s="20">
        <v>100</v>
      </c>
      <c r="I60" s="20"/>
      <c r="J60" s="20"/>
      <c r="L60" s="20"/>
      <c r="M60" s="20"/>
      <c r="N60" s="20"/>
    </row>
    <row r="61" spans="1:14" x14ac:dyDescent="0.25">
      <c r="A61" s="20"/>
      <c r="B61" s="20"/>
      <c r="D61" s="20"/>
      <c r="E61" s="20"/>
      <c r="F61" s="20"/>
      <c r="H61" s="20"/>
      <c r="I61" s="20"/>
      <c r="J61" s="20"/>
      <c r="L61" s="20"/>
      <c r="M61" s="20"/>
      <c r="N61" s="20"/>
    </row>
    <row r="62" spans="1:14" x14ac:dyDescent="0.25">
      <c r="A62" s="20">
        <v>28</v>
      </c>
      <c r="B62" s="20"/>
      <c r="D62" s="20"/>
      <c r="E62" s="20"/>
      <c r="F62" s="20"/>
      <c r="H62" s="20">
        <v>65</v>
      </c>
      <c r="I62" s="20"/>
      <c r="J62" s="20"/>
      <c r="L62" s="20"/>
      <c r="M62" s="20"/>
      <c r="N62" s="20"/>
    </row>
    <row r="63" spans="1:14" x14ac:dyDescent="0.25">
      <c r="A63" s="20"/>
      <c r="B63" s="20"/>
      <c r="D63" s="20"/>
      <c r="E63" s="20"/>
      <c r="F63" s="20"/>
      <c r="H63" s="20"/>
      <c r="I63" s="20"/>
      <c r="J63" s="20"/>
      <c r="L63" s="20"/>
      <c r="M63" s="20"/>
      <c r="N63" s="20"/>
    </row>
    <row r="66" spans="1:14" x14ac:dyDescent="0.25">
      <c r="A66" t="s">
        <v>111</v>
      </c>
    </row>
    <row r="67" spans="1:14" x14ac:dyDescent="0.25">
      <c r="A67" s="20"/>
      <c r="B67" s="20"/>
      <c r="D67" s="20"/>
      <c r="E67" s="20" t="s">
        <v>97</v>
      </c>
      <c r="F67" s="20"/>
      <c r="H67" s="20"/>
      <c r="I67" s="20" t="s">
        <v>62</v>
      </c>
      <c r="J67" s="20"/>
      <c r="L67" s="20"/>
      <c r="M67" s="20" t="s">
        <v>98</v>
      </c>
      <c r="N67" s="20"/>
    </row>
    <row r="68" spans="1:14" x14ac:dyDescent="0.25">
      <c r="A68" s="20" t="s">
        <v>47</v>
      </c>
      <c r="B68" s="20" t="s">
        <v>99</v>
      </c>
      <c r="D68" s="20" t="s">
        <v>100</v>
      </c>
      <c r="E68" s="20" t="s">
        <v>101</v>
      </c>
      <c r="F68" s="20" t="s">
        <v>102</v>
      </c>
      <c r="H68" s="20" t="s">
        <v>100</v>
      </c>
      <c r="I68" s="20" t="s">
        <v>101</v>
      </c>
      <c r="J68" s="20" t="s">
        <v>102</v>
      </c>
      <c r="L68" s="20" t="s">
        <v>100</v>
      </c>
      <c r="M68" s="20" t="s">
        <v>101</v>
      </c>
      <c r="N68" s="20" t="s">
        <v>102</v>
      </c>
    </row>
    <row r="69" spans="1:14" x14ac:dyDescent="0.25">
      <c r="A69" s="21">
        <v>37104</v>
      </c>
      <c r="B69" s="20" t="s">
        <v>103</v>
      </c>
      <c r="D69" s="20"/>
      <c r="E69" s="20"/>
      <c r="F69" s="20"/>
      <c r="H69" s="20"/>
      <c r="I69" s="20"/>
      <c r="J69" s="20"/>
      <c r="L69" s="20">
        <v>60</v>
      </c>
      <c r="M69" s="20">
        <v>10</v>
      </c>
      <c r="N69" s="20">
        <f>L69*M69</f>
        <v>600</v>
      </c>
    </row>
    <row r="70" spans="1:14" x14ac:dyDescent="0.25">
      <c r="A70" s="20"/>
      <c r="B70" s="20"/>
      <c r="D70" s="20"/>
      <c r="E70" s="20"/>
      <c r="F70" s="20"/>
      <c r="H70" s="20"/>
      <c r="I70" s="20"/>
      <c r="J70" s="20"/>
      <c r="L70" s="20"/>
      <c r="M70" s="20"/>
      <c r="N70" s="20"/>
    </row>
    <row r="71" spans="1:14" x14ac:dyDescent="0.25">
      <c r="A71" s="20">
        <v>12</v>
      </c>
      <c r="B71" s="20"/>
      <c r="D71" s="20">
        <v>90</v>
      </c>
      <c r="E71" s="20">
        <v>12</v>
      </c>
      <c r="F71" s="20">
        <f>D71*E71</f>
        <v>1080</v>
      </c>
      <c r="H71" s="20"/>
      <c r="I71" s="20"/>
      <c r="J71" s="20"/>
      <c r="L71" s="20"/>
      <c r="M71" s="20"/>
      <c r="N71" s="20"/>
    </row>
    <row r="72" spans="1:14" x14ac:dyDescent="0.25">
      <c r="A72" s="20"/>
      <c r="B72" s="20"/>
      <c r="D72" s="20"/>
      <c r="E72" s="20"/>
      <c r="F72" s="20"/>
      <c r="H72" s="20"/>
      <c r="I72" s="20"/>
      <c r="J72" s="20"/>
      <c r="L72" s="20"/>
      <c r="M72" s="20"/>
      <c r="N72" s="20"/>
    </row>
    <row r="73" spans="1:14" x14ac:dyDescent="0.25">
      <c r="A73" s="20">
        <v>15</v>
      </c>
      <c r="B73" s="20"/>
      <c r="D73" s="20"/>
      <c r="E73" s="20"/>
      <c r="F73" s="20"/>
      <c r="H73" s="20">
        <v>80</v>
      </c>
      <c r="I73" s="20"/>
      <c r="J73" s="20"/>
      <c r="L73" s="20"/>
      <c r="M73" s="20"/>
      <c r="N73" s="20"/>
    </row>
    <row r="74" spans="1:14" x14ac:dyDescent="0.25">
      <c r="A74" s="20"/>
      <c r="B74" s="20"/>
      <c r="D74" s="20"/>
      <c r="E74" s="20"/>
      <c r="F74" s="20"/>
      <c r="H74" s="20"/>
      <c r="I74" s="20"/>
      <c r="J74" s="20"/>
      <c r="L74" s="20"/>
      <c r="M74" s="20"/>
      <c r="N74" s="20"/>
    </row>
    <row r="75" spans="1:14" x14ac:dyDescent="0.25">
      <c r="A75" s="20"/>
      <c r="B75" s="20"/>
      <c r="D75" s="20"/>
      <c r="E75" s="20"/>
      <c r="F75" s="20"/>
      <c r="H75" s="20"/>
      <c r="I75" s="20"/>
      <c r="J75" s="20"/>
      <c r="L75" s="20"/>
      <c r="M75" s="20"/>
      <c r="N75" s="20"/>
    </row>
    <row r="76" spans="1:14" x14ac:dyDescent="0.25">
      <c r="A76" s="20">
        <v>21</v>
      </c>
      <c r="B76" s="20"/>
      <c r="D76" s="20">
        <v>120</v>
      </c>
      <c r="E76" s="20">
        <v>13</v>
      </c>
      <c r="F76" s="20">
        <f>D76*E76</f>
        <v>1560</v>
      </c>
      <c r="H76" s="20"/>
      <c r="I76" s="20"/>
      <c r="J76" s="20"/>
      <c r="L76" s="20"/>
      <c r="M76" s="20"/>
      <c r="N76" s="20"/>
    </row>
    <row r="77" spans="1:14" x14ac:dyDescent="0.25">
      <c r="A77" s="20"/>
      <c r="B77" s="20"/>
      <c r="D77" s="20"/>
      <c r="E77" s="20"/>
      <c r="F77" s="20"/>
      <c r="H77" s="20"/>
      <c r="I77" s="20"/>
      <c r="J77" s="20"/>
      <c r="L77" s="20"/>
      <c r="M77" s="20"/>
      <c r="N77" s="20"/>
    </row>
    <row r="78" spans="1:14" x14ac:dyDescent="0.25">
      <c r="A78" s="20"/>
      <c r="B78" s="20"/>
      <c r="D78" s="20"/>
      <c r="E78" s="20"/>
      <c r="F78" s="20"/>
      <c r="H78" s="20"/>
      <c r="I78" s="20"/>
      <c r="J78" s="20"/>
      <c r="L78" s="20"/>
      <c r="M78" s="20"/>
      <c r="N78" s="20"/>
    </row>
    <row r="79" spans="1:14" x14ac:dyDescent="0.25">
      <c r="A79" s="20"/>
      <c r="B79" s="20"/>
      <c r="D79" s="20"/>
      <c r="E79" s="20"/>
      <c r="F79" s="20"/>
      <c r="H79" s="20"/>
      <c r="I79" s="20"/>
      <c r="J79" s="20"/>
      <c r="L79" s="20"/>
      <c r="M79" s="20"/>
      <c r="N79" s="20"/>
    </row>
    <row r="80" spans="1:14" x14ac:dyDescent="0.25">
      <c r="A80" s="20">
        <v>22</v>
      </c>
      <c r="B80" s="20"/>
      <c r="D80" s="20"/>
      <c r="E80" s="20"/>
      <c r="F80" s="20"/>
      <c r="H80" s="20">
        <v>100</v>
      </c>
      <c r="I80" s="20"/>
      <c r="J80" s="20"/>
      <c r="L80" s="20"/>
      <c r="M80" s="20"/>
      <c r="N80" s="20"/>
    </row>
    <row r="81" spans="1:14" x14ac:dyDescent="0.25">
      <c r="A81" s="20"/>
      <c r="B81" s="20"/>
      <c r="D81" s="20"/>
      <c r="E81" s="20"/>
      <c r="F81" s="20"/>
      <c r="H81" s="20"/>
      <c r="I81" s="20"/>
      <c r="J81" s="20"/>
      <c r="L81" s="20"/>
      <c r="M81" s="20"/>
      <c r="N81" s="20"/>
    </row>
    <row r="82" spans="1:14" x14ac:dyDescent="0.25">
      <c r="A82" s="20">
        <v>28</v>
      </c>
      <c r="B82" s="20"/>
      <c r="D82" s="20"/>
      <c r="E82" s="20"/>
      <c r="F82" s="20"/>
      <c r="H82" s="20">
        <v>65</v>
      </c>
      <c r="I82" s="20"/>
      <c r="J82" s="20"/>
      <c r="L82" s="20"/>
      <c r="M82" s="20"/>
      <c r="N82" s="20"/>
    </row>
    <row r="83" spans="1:14" x14ac:dyDescent="0.25">
      <c r="A83" s="20"/>
      <c r="B83" s="20"/>
      <c r="D83" s="20"/>
      <c r="E83" s="20"/>
      <c r="F83" s="20"/>
      <c r="H83" s="20"/>
      <c r="I83" s="20"/>
      <c r="J83" s="20"/>
      <c r="L83" s="20"/>
      <c r="M83" s="20"/>
      <c r="N83" s="20"/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6BF84-94ED-4890-B827-18985C71278B}">
  <dimension ref="A1:G18"/>
  <sheetViews>
    <sheetView tabSelected="1" zoomScale="175" zoomScaleNormal="175" workbookViewId="0">
      <selection activeCell="F18" sqref="F18"/>
    </sheetView>
  </sheetViews>
  <sheetFormatPr defaultColWidth="8.85546875" defaultRowHeight="15" x14ac:dyDescent="0.25"/>
  <cols>
    <col min="2" max="2" width="29.85546875" customWidth="1"/>
    <col min="6" max="6" width="35.42578125" customWidth="1"/>
  </cols>
  <sheetData>
    <row r="1" spans="1:7" x14ac:dyDescent="0.25">
      <c r="B1" t="s">
        <v>163</v>
      </c>
    </row>
    <row r="2" spans="1:7" x14ac:dyDescent="0.25">
      <c r="B2" t="s">
        <v>164</v>
      </c>
    </row>
    <row r="3" spans="1:7" ht="15.75" thickBot="1" x14ac:dyDescent="0.3">
      <c r="B3" t="s">
        <v>165</v>
      </c>
      <c r="C3" t="s">
        <v>22</v>
      </c>
      <c r="D3" t="s">
        <v>166</v>
      </c>
    </row>
    <row r="4" spans="1:7" x14ac:dyDescent="0.25">
      <c r="A4" s="1" t="s">
        <v>21</v>
      </c>
      <c r="B4" s="4" t="str">
        <f>F7</f>
        <v>Sales</v>
      </c>
      <c r="C4" s="67">
        <f>G7</f>
        <v>379400</v>
      </c>
      <c r="D4" s="5" t="s">
        <v>150</v>
      </c>
      <c r="F4" s="25" t="s">
        <v>112</v>
      </c>
      <c r="G4" s="62">
        <v>237700</v>
      </c>
    </row>
    <row r="5" spans="1:7" x14ac:dyDescent="0.25">
      <c r="A5" s="6" t="s">
        <v>149</v>
      </c>
      <c r="B5" s="29" t="str">
        <f>F8</f>
        <v>Sales returns and allowances</v>
      </c>
      <c r="C5" s="68">
        <f>G8</f>
        <v>9000</v>
      </c>
      <c r="D5" s="7" t="s">
        <v>151</v>
      </c>
      <c r="F5" s="27" t="s">
        <v>114</v>
      </c>
      <c r="G5" s="28">
        <v>28000</v>
      </c>
    </row>
    <row r="6" spans="1:7" ht="15.75" thickBot="1" x14ac:dyDescent="0.3">
      <c r="A6" s="6" t="s">
        <v>144</v>
      </c>
      <c r="B6" s="29" t="s">
        <v>148</v>
      </c>
      <c r="C6" s="69">
        <f>C4-C5</f>
        <v>370400</v>
      </c>
      <c r="D6" s="7" t="s">
        <v>152</v>
      </c>
      <c r="F6" s="29" t="s">
        <v>116</v>
      </c>
      <c r="G6" s="28">
        <v>75800</v>
      </c>
    </row>
    <row r="7" spans="1:7" x14ac:dyDescent="0.25">
      <c r="A7" s="6" t="s">
        <v>142</v>
      </c>
      <c r="B7" t="str">
        <f>F4</f>
        <v>Cost of sales</v>
      </c>
      <c r="C7" s="67">
        <f>G4</f>
        <v>237700</v>
      </c>
      <c r="D7" s="7" t="s">
        <v>153</v>
      </c>
      <c r="F7" s="29" t="s">
        <v>62</v>
      </c>
      <c r="G7" s="28">
        <v>379400</v>
      </c>
    </row>
    <row r="8" spans="1:7" ht="15.75" thickBot="1" x14ac:dyDescent="0.3">
      <c r="A8" s="6"/>
      <c r="B8" t="str">
        <f>F10</f>
        <v>Freight inwards</v>
      </c>
      <c r="C8" s="69">
        <f>G10</f>
        <v>4700</v>
      </c>
      <c r="D8" s="7" t="s">
        <v>154</v>
      </c>
      <c r="E8" s="64" t="s">
        <v>203</v>
      </c>
      <c r="F8" s="29" t="s">
        <v>119</v>
      </c>
      <c r="G8" s="28">
        <v>9000</v>
      </c>
    </row>
    <row r="9" spans="1:7" ht="15.75" thickBot="1" x14ac:dyDescent="0.3">
      <c r="A9" s="63" t="s">
        <v>144</v>
      </c>
      <c r="B9" s="64" t="s">
        <v>136</v>
      </c>
      <c r="C9">
        <f>C6-C7-C8</f>
        <v>128000</v>
      </c>
      <c r="D9" s="7" t="s">
        <v>155</v>
      </c>
      <c r="F9" s="29" t="s">
        <v>121</v>
      </c>
      <c r="G9" s="28">
        <v>24900</v>
      </c>
    </row>
    <row r="10" spans="1:7" x14ac:dyDescent="0.25">
      <c r="A10" s="6" t="s">
        <v>142</v>
      </c>
      <c r="B10" t="str">
        <f>F9</f>
        <v>Administrative expenses</v>
      </c>
      <c r="C10" s="67">
        <f>G9</f>
        <v>24900</v>
      </c>
      <c r="D10" s="7" t="s">
        <v>156</v>
      </c>
      <c r="F10" s="29" t="s">
        <v>123</v>
      </c>
      <c r="G10" s="28">
        <v>4700</v>
      </c>
    </row>
    <row r="11" spans="1:7" ht="15.75" thickBot="1" x14ac:dyDescent="0.3">
      <c r="A11" s="6" t="s">
        <v>142</v>
      </c>
      <c r="B11" t="str">
        <f>F6</f>
        <v>Selling and distribution expenses</v>
      </c>
      <c r="C11" s="69">
        <f>G6</f>
        <v>75800</v>
      </c>
      <c r="D11" s="7" t="s">
        <v>157</v>
      </c>
      <c r="F11" s="29" t="s">
        <v>125</v>
      </c>
      <c r="G11" s="28">
        <v>3100</v>
      </c>
    </row>
    <row r="12" spans="1:7" x14ac:dyDescent="0.25">
      <c r="A12" s="63" t="s">
        <v>144</v>
      </c>
      <c r="B12" s="64" t="s">
        <v>145</v>
      </c>
      <c r="C12">
        <f>C9-C10-C11</f>
        <v>27300</v>
      </c>
      <c r="D12" s="7" t="s">
        <v>158</v>
      </c>
    </row>
    <row r="13" spans="1:7" x14ac:dyDescent="0.25">
      <c r="A13" s="6" t="s">
        <v>142</v>
      </c>
      <c r="B13" t="str">
        <f>F11</f>
        <v>Finance expenses</v>
      </c>
      <c r="C13">
        <f>G11</f>
        <v>3100</v>
      </c>
      <c r="D13" s="7" t="s">
        <v>159</v>
      </c>
    </row>
    <row r="14" spans="1:7" x14ac:dyDescent="0.25">
      <c r="A14" s="63" t="s">
        <v>144</v>
      </c>
      <c r="B14" s="64" t="s">
        <v>146</v>
      </c>
      <c r="C14">
        <f>C12-C13</f>
        <v>24200</v>
      </c>
      <c r="D14" s="7" t="s">
        <v>160</v>
      </c>
    </row>
    <row r="15" spans="1:7" x14ac:dyDescent="0.25">
      <c r="A15" s="6" t="s">
        <v>142</v>
      </c>
      <c r="B15" t="s">
        <v>143</v>
      </c>
      <c r="C15">
        <v>0</v>
      </c>
      <c r="D15" s="7" t="s">
        <v>161</v>
      </c>
    </row>
    <row r="16" spans="1:7" ht="15.75" thickBot="1" x14ac:dyDescent="0.3">
      <c r="A16" s="65" t="s">
        <v>144</v>
      </c>
      <c r="B16" s="66" t="s">
        <v>147</v>
      </c>
      <c r="C16" s="12">
        <f>C14-C15</f>
        <v>24200</v>
      </c>
      <c r="D16" s="13" t="s">
        <v>162</v>
      </c>
    </row>
    <row r="18" spans="2:2" x14ac:dyDescent="0.25">
      <c r="B18" s="105" t="s">
        <v>204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97E3D-A485-42C3-B53F-3E8DDE80D453}">
  <dimension ref="A1:AA32"/>
  <sheetViews>
    <sheetView zoomScale="85" zoomScaleNormal="85" workbookViewId="0">
      <selection activeCell="A23" sqref="A23:XFD23"/>
    </sheetView>
  </sheetViews>
  <sheetFormatPr defaultColWidth="8.85546875" defaultRowHeight="15" x14ac:dyDescent="0.25"/>
  <cols>
    <col min="1" max="1" width="11.42578125" bestFit="1" customWidth="1"/>
    <col min="2" max="2" width="18.42578125" bestFit="1" customWidth="1"/>
    <col min="3" max="3" width="10.140625" bestFit="1" customWidth="1"/>
    <col min="5" max="5" width="17.140625" customWidth="1"/>
    <col min="6" max="6" width="11.42578125" customWidth="1"/>
    <col min="7" max="8" width="8.7109375" customWidth="1"/>
    <col min="9" max="9" width="17.140625" bestFit="1" customWidth="1"/>
    <col min="10" max="15" width="8.7109375" customWidth="1"/>
    <col min="16" max="16" width="17.140625" bestFit="1" customWidth="1"/>
    <col min="17" max="22" width="8.7109375" customWidth="1"/>
    <col min="23" max="23" width="17.140625" bestFit="1" customWidth="1"/>
    <col min="24" max="26" width="8.7109375" customWidth="1"/>
  </cols>
  <sheetData>
    <row r="1" spans="1:26" ht="15.75" thickBot="1" x14ac:dyDescent="0.3">
      <c r="H1" s="1"/>
      <c r="I1" s="4"/>
      <c r="J1" s="4"/>
      <c r="K1" s="4"/>
      <c r="L1" s="5"/>
      <c r="O1" s="98" t="s">
        <v>184</v>
      </c>
      <c r="P1" s="4"/>
      <c r="Q1" s="4"/>
      <c r="R1" s="4"/>
      <c r="S1" s="5"/>
      <c r="V1" s="98" t="s">
        <v>111</v>
      </c>
      <c r="W1" s="4"/>
      <c r="X1" s="4"/>
      <c r="Y1" s="4"/>
      <c r="Z1" s="5"/>
    </row>
    <row r="2" spans="1:26" ht="28.5" x14ac:dyDescent="0.25">
      <c r="A2" s="54" t="s">
        <v>47</v>
      </c>
      <c r="B2" s="55" t="s">
        <v>0</v>
      </c>
      <c r="C2" s="56" t="s">
        <v>100</v>
      </c>
      <c r="D2" s="56" t="s">
        <v>128</v>
      </c>
      <c r="E2" s="57" t="s">
        <v>46</v>
      </c>
      <c r="F2" s="59"/>
      <c r="H2" s="35" t="s">
        <v>47</v>
      </c>
      <c r="I2" s="32" t="s">
        <v>0</v>
      </c>
      <c r="J2" s="34" t="s">
        <v>100</v>
      </c>
      <c r="K2" s="34" t="s">
        <v>128</v>
      </c>
      <c r="L2" s="36" t="s">
        <v>46</v>
      </c>
      <c r="O2" s="35" t="s">
        <v>47</v>
      </c>
      <c r="P2" s="32" t="s">
        <v>0</v>
      </c>
      <c r="Q2" s="34" t="s">
        <v>100</v>
      </c>
      <c r="R2" s="34" t="s">
        <v>128</v>
      </c>
      <c r="S2" s="36" t="s">
        <v>46</v>
      </c>
      <c r="V2" s="35" t="s">
        <v>47</v>
      </c>
      <c r="W2" s="32" t="s">
        <v>0</v>
      </c>
      <c r="X2" s="34" t="s">
        <v>100</v>
      </c>
      <c r="Y2" s="34" t="s">
        <v>128</v>
      </c>
      <c r="Z2" s="36" t="s">
        <v>46</v>
      </c>
    </row>
    <row r="3" spans="1:26" x14ac:dyDescent="0.25">
      <c r="A3" s="37" t="s">
        <v>1</v>
      </c>
      <c r="B3" s="30"/>
      <c r="C3" s="30"/>
      <c r="D3" s="30"/>
      <c r="E3" s="38"/>
      <c r="F3" s="30"/>
      <c r="H3" s="37" t="s">
        <v>1</v>
      </c>
      <c r="I3" s="30"/>
      <c r="J3" s="30"/>
      <c r="K3" s="30"/>
      <c r="L3" s="38"/>
      <c r="O3" s="37" t="s">
        <v>1</v>
      </c>
      <c r="P3" s="30"/>
      <c r="Q3" s="30"/>
      <c r="R3" s="30"/>
      <c r="S3" s="38"/>
      <c r="V3" s="37" t="s">
        <v>1</v>
      </c>
      <c r="W3" s="30"/>
      <c r="X3" s="30"/>
      <c r="Y3" s="30"/>
      <c r="Z3" s="38"/>
    </row>
    <row r="4" spans="1:26" ht="30" x14ac:dyDescent="0.25">
      <c r="A4" s="39">
        <v>1</v>
      </c>
      <c r="B4" s="40" t="s">
        <v>127</v>
      </c>
      <c r="C4" s="41">
        <v>12000</v>
      </c>
      <c r="D4" s="42">
        <v>5.3</v>
      </c>
      <c r="E4" s="43">
        <f>C4*D4</f>
        <v>63600</v>
      </c>
      <c r="F4" s="41"/>
      <c r="H4" s="39">
        <v>1</v>
      </c>
      <c r="I4" s="40" t="s">
        <v>127</v>
      </c>
      <c r="J4" s="41">
        <v>12000</v>
      </c>
      <c r="K4" s="42">
        <v>5.3</v>
      </c>
      <c r="L4" s="43">
        <f>J4*K4</f>
        <v>63600</v>
      </c>
      <c r="O4" s="39">
        <v>1</v>
      </c>
      <c r="P4" s="40" t="s">
        <v>127</v>
      </c>
      <c r="Q4" s="41">
        <v>12000</v>
      </c>
      <c r="R4" s="42">
        <v>5.3</v>
      </c>
      <c r="S4" s="43">
        <f>Q4*R4</f>
        <v>63600</v>
      </c>
      <c r="V4" s="39">
        <v>1</v>
      </c>
      <c r="W4" s="40" t="s">
        <v>127</v>
      </c>
      <c r="X4" s="41">
        <v>12000</v>
      </c>
      <c r="Y4" s="42">
        <v>5.3</v>
      </c>
      <c r="Z4" s="43">
        <f>X4*Y4</f>
        <v>63600</v>
      </c>
    </row>
    <row r="5" spans="1:26" x14ac:dyDescent="0.25">
      <c r="A5" s="44">
        <v>8</v>
      </c>
      <c r="B5" s="40" t="s">
        <v>104</v>
      </c>
      <c r="C5" s="41">
        <v>7500</v>
      </c>
      <c r="D5" s="42">
        <v>5.5</v>
      </c>
      <c r="E5" s="43">
        <f t="shared" ref="E5:E7" si="0">C5*D5</f>
        <v>41250</v>
      </c>
      <c r="F5" s="41"/>
      <c r="H5" s="44">
        <v>8</v>
      </c>
      <c r="I5" s="40" t="s">
        <v>104</v>
      </c>
      <c r="J5" s="41">
        <v>7500</v>
      </c>
      <c r="K5" s="42">
        <v>5.5</v>
      </c>
      <c r="L5" s="43">
        <f t="shared" ref="L5:L7" si="1">J5*K5</f>
        <v>41250</v>
      </c>
      <c r="O5" s="44">
        <v>8</v>
      </c>
      <c r="P5" s="40" t="s">
        <v>104</v>
      </c>
      <c r="Q5" s="41">
        <v>7500</v>
      </c>
      <c r="R5" s="42">
        <v>5.5</v>
      </c>
      <c r="S5" s="43">
        <f t="shared" ref="S5:S7" si="2">Q5*R5</f>
        <v>41250</v>
      </c>
      <c r="V5" s="44">
        <v>8</v>
      </c>
      <c r="W5" s="40" t="s">
        <v>104</v>
      </c>
      <c r="X5" s="41">
        <v>7500</v>
      </c>
      <c r="Y5" s="42">
        <v>5.5</v>
      </c>
      <c r="Z5" s="43">
        <f t="shared" ref="Z5:Z7" si="3">X5*Y5</f>
        <v>41250</v>
      </c>
    </row>
    <row r="6" spans="1:26" x14ac:dyDescent="0.25">
      <c r="A6" s="44">
        <v>13</v>
      </c>
      <c r="B6" s="40" t="s">
        <v>104</v>
      </c>
      <c r="C6" s="41">
        <v>6000</v>
      </c>
      <c r="D6" s="42">
        <v>5.6</v>
      </c>
      <c r="E6" s="43">
        <f t="shared" si="0"/>
        <v>33600</v>
      </c>
      <c r="F6" s="41"/>
      <c r="H6" s="44">
        <v>13</v>
      </c>
      <c r="I6" s="40" t="s">
        <v>104</v>
      </c>
      <c r="J6" s="41">
        <v>6000</v>
      </c>
      <c r="K6" s="42">
        <v>5.6</v>
      </c>
      <c r="L6" s="43">
        <f t="shared" si="1"/>
        <v>33600</v>
      </c>
      <c r="O6" s="44">
        <v>13</v>
      </c>
      <c r="P6" s="40" t="s">
        <v>104</v>
      </c>
      <c r="Q6" s="41">
        <v>6000</v>
      </c>
      <c r="R6" s="42">
        <v>5.6</v>
      </c>
      <c r="S6" s="43">
        <f t="shared" si="2"/>
        <v>33600</v>
      </c>
      <c r="V6" s="44">
        <v>13</v>
      </c>
      <c r="W6" s="40" t="s">
        <v>104</v>
      </c>
      <c r="X6" s="41">
        <v>6000</v>
      </c>
      <c r="Y6" s="42">
        <v>5.6</v>
      </c>
      <c r="Z6" s="43">
        <f t="shared" si="3"/>
        <v>33600</v>
      </c>
    </row>
    <row r="7" spans="1:26" x14ac:dyDescent="0.25">
      <c r="A7" s="44">
        <v>25</v>
      </c>
      <c r="B7" s="40" t="s">
        <v>104</v>
      </c>
      <c r="C7" s="41">
        <v>8950</v>
      </c>
      <c r="D7" s="42">
        <v>5.8</v>
      </c>
      <c r="E7" s="43">
        <f t="shared" si="0"/>
        <v>51910</v>
      </c>
      <c r="F7" s="41"/>
      <c r="H7" s="44">
        <v>25</v>
      </c>
      <c r="I7" s="40" t="s">
        <v>104</v>
      </c>
      <c r="J7" s="41">
        <v>8950</v>
      </c>
      <c r="K7" s="42">
        <v>5.8</v>
      </c>
      <c r="L7" s="43">
        <f t="shared" si="1"/>
        <v>51910</v>
      </c>
      <c r="O7" s="44">
        <v>25</v>
      </c>
      <c r="P7" s="40" t="s">
        <v>104</v>
      </c>
      <c r="Q7" s="41">
        <v>8950</v>
      </c>
      <c r="R7" s="42">
        <v>5.8</v>
      </c>
      <c r="S7" s="43">
        <f t="shared" si="2"/>
        <v>51910</v>
      </c>
      <c r="V7" s="44">
        <v>25</v>
      </c>
      <c r="W7" s="40" t="s">
        <v>104</v>
      </c>
      <c r="X7" s="41">
        <v>8950</v>
      </c>
      <c r="Y7" s="42">
        <v>5.8</v>
      </c>
      <c r="Z7" s="43">
        <f t="shared" si="3"/>
        <v>51910</v>
      </c>
    </row>
    <row r="8" spans="1:26" x14ac:dyDescent="0.25">
      <c r="A8" s="44">
        <v>29</v>
      </c>
      <c r="B8" s="45" t="s">
        <v>104</v>
      </c>
      <c r="C8" s="46">
        <v>9200</v>
      </c>
      <c r="D8" s="42">
        <v>6.3</v>
      </c>
      <c r="E8" s="43">
        <f>C8*D8</f>
        <v>57960</v>
      </c>
      <c r="F8" s="41"/>
      <c r="H8" s="44">
        <v>29</v>
      </c>
      <c r="I8" s="45" t="s">
        <v>104</v>
      </c>
      <c r="J8" s="46">
        <v>9200</v>
      </c>
      <c r="K8" s="42">
        <v>6.3</v>
      </c>
      <c r="L8" s="43">
        <f>J8*K8</f>
        <v>57960</v>
      </c>
      <c r="O8" s="44">
        <v>29</v>
      </c>
      <c r="P8" s="45" t="s">
        <v>104</v>
      </c>
      <c r="Q8" s="46">
        <v>9200</v>
      </c>
      <c r="R8" s="42">
        <v>6.3</v>
      </c>
      <c r="S8" s="43">
        <f>Q8*R8</f>
        <v>57960</v>
      </c>
      <c r="V8" s="44">
        <v>29</v>
      </c>
      <c r="W8" s="45" t="s">
        <v>104</v>
      </c>
      <c r="X8" s="46">
        <v>9200</v>
      </c>
      <c r="Y8" s="42">
        <v>6.3</v>
      </c>
      <c r="Z8" s="43">
        <f>X8*Y8</f>
        <v>57960</v>
      </c>
    </row>
    <row r="9" spans="1:26" x14ac:dyDescent="0.25">
      <c r="A9" s="6"/>
      <c r="B9" s="45" t="s">
        <v>46</v>
      </c>
      <c r="C9" s="47">
        <f>SUM(C4:C8)</f>
        <v>43650</v>
      </c>
      <c r="D9" s="48"/>
      <c r="E9" s="49">
        <f>SUM(E4:E8)</f>
        <v>248320</v>
      </c>
      <c r="F9" s="60"/>
      <c r="H9" s="6"/>
      <c r="I9" s="45" t="s">
        <v>46</v>
      </c>
      <c r="J9" s="47">
        <f>SUM(J4:J8)</f>
        <v>43650</v>
      </c>
      <c r="K9" s="48"/>
      <c r="L9" s="49">
        <f>SUM(L4:L8)</f>
        <v>248320</v>
      </c>
      <c r="O9" s="6"/>
      <c r="P9" s="45" t="s">
        <v>46</v>
      </c>
      <c r="Q9" s="47">
        <f>SUM(Q4:Q8)</f>
        <v>43650</v>
      </c>
      <c r="R9" s="76">
        <f>S9/Q9</f>
        <v>5.6888888888888891</v>
      </c>
      <c r="S9" s="49">
        <f>SUM(S4:S8)</f>
        <v>248320</v>
      </c>
      <c r="V9" s="6"/>
      <c r="W9" s="45" t="s">
        <v>46</v>
      </c>
      <c r="X9" s="47">
        <f>SUM(X4:X8)</f>
        <v>43650</v>
      </c>
      <c r="Y9" s="48"/>
      <c r="Z9" s="49">
        <f>SUM(Z4:Z8)</f>
        <v>248320</v>
      </c>
    </row>
    <row r="10" spans="1:26" x14ac:dyDescent="0.25">
      <c r="A10" s="6"/>
      <c r="E10" s="7"/>
      <c r="H10" s="6"/>
      <c r="L10" s="7"/>
      <c r="O10" s="6"/>
      <c r="S10" s="7"/>
      <c r="V10" s="6"/>
      <c r="Z10" s="7"/>
    </row>
    <row r="11" spans="1:26" x14ac:dyDescent="0.25">
      <c r="A11" s="6"/>
      <c r="B11" t="s">
        <v>133</v>
      </c>
      <c r="C11" s="2">
        <v>35650</v>
      </c>
      <c r="E11" s="7" t="s">
        <v>186</v>
      </c>
      <c r="H11" s="6"/>
      <c r="I11" t="s">
        <v>62</v>
      </c>
      <c r="J11" s="2">
        <v>35650</v>
      </c>
      <c r="L11" s="7" t="s">
        <v>130</v>
      </c>
      <c r="O11" s="6"/>
      <c r="P11" t="s">
        <v>62</v>
      </c>
      <c r="Q11">
        <v>35650</v>
      </c>
      <c r="S11" s="7" t="s">
        <v>130</v>
      </c>
      <c r="V11" s="6"/>
      <c r="W11" t="s">
        <v>62</v>
      </c>
      <c r="X11" s="2">
        <v>35650</v>
      </c>
      <c r="Z11" s="7" t="s">
        <v>130</v>
      </c>
    </row>
    <row r="12" spans="1:26" x14ac:dyDescent="0.25">
      <c r="A12" s="6"/>
      <c r="B12" t="s">
        <v>129</v>
      </c>
      <c r="C12" s="72">
        <v>8000</v>
      </c>
      <c r="E12" s="7" t="s">
        <v>185</v>
      </c>
      <c r="H12" s="6"/>
      <c r="I12" t="s">
        <v>129</v>
      </c>
      <c r="J12" s="72">
        <v>8000</v>
      </c>
      <c r="L12" s="7" t="s">
        <v>130</v>
      </c>
      <c r="O12" s="6"/>
      <c r="P12" t="s">
        <v>129</v>
      </c>
      <c r="Q12">
        <v>8000</v>
      </c>
      <c r="S12" s="7" t="s">
        <v>130</v>
      </c>
      <c r="V12" s="6"/>
      <c r="W12" t="s">
        <v>129</v>
      </c>
      <c r="X12" s="9">
        <v>8000</v>
      </c>
      <c r="Z12" s="7" t="s">
        <v>130</v>
      </c>
    </row>
    <row r="13" spans="1:26" x14ac:dyDescent="0.25">
      <c r="A13" s="61" t="s">
        <v>137</v>
      </c>
      <c r="E13" s="7"/>
      <c r="H13" s="61" t="s">
        <v>137</v>
      </c>
      <c r="L13" s="7"/>
      <c r="O13" s="61" t="s">
        <v>137</v>
      </c>
      <c r="S13" s="7"/>
      <c r="V13" s="61" t="s">
        <v>137</v>
      </c>
      <c r="Z13" s="7"/>
    </row>
    <row r="14" spans="1:26" ht="28.5" x14ac:dyDescent="0.25">
      <c r="A14" s="58" t="s">
        <v>132</v>
      </c>
      <c r="C14" s="34" t="s">
        <v>100</v>
      </c>
      <c r="D14" s="34" t="s">
        <v>128</v>
      </c>
      <c r="E14" s="36" t="s">
        <v>46</v>
      </c>
      <c r="F14" s="59"/>
      <c r="H14" s="58" t="s">
        <v>134</v>
      </c>
      <c r="J14" s="34" t="s">
        <v>100</v>
      </c>
      <c r="K14" s="34" t="s">
        <v>128</v>
      </c>
      <c r="L14" s="36" t="s">
        <v>46</v>
      </c>
      <c r="O14" s="58" t="s">
        <v>135</v>
      </c>
      <c r="Q14" s="34" t="s">
        <v>100</v>
      </c>
      <c r="R14" s="34" t="s">
        <v>128</v>
      </c>
      <c r="S14" s="36" t="s">
        <v>46</v>
      </c>
      <c r="V14" s="58" t="s">
        <v>140</v>
      </c>
      <c r="X14" s="34" t="s">
        <v>100</v>
      </c>
      <c r="Y14" s="34" t="s">
        <v>128</v>
      </c>
      <c r="Z14" s="36" t="s">
        <v>46</v>
      </c>
    </row>
    <row r="15" spans="1:26" ht="14.45" customHeight="1" x14ac:dyDescent="0.25">
      <c r="A15" s="39">
        <v>1</v>
      </c>
      <c r="B15" s="40" t="s">
        <v>127</v>
      </c>
      <c r="C15" s="41">
        <v>12000</v>
      </c>
      <c r="D15" s="42">
        <v>5.3</v>
      </c>
      <c r="E15" s="43">
        <f>C15*D15</f>
        <v>63600</v>
      </c>
      <c r="F15" s="41"/>
      <c r="H15" s="39">
        <v>1</v>
      </c>
      <c r="I15" s="40" t="s">
        <v>127</v>
      </c>
      <c r="J15" s="41">
        <v>4000</v>
      </c>
      <c r="K15" s="42">
        <v>5.3</v>
      </c>
      <c r="L15" s="43">
        <f>J15*K15</f>
        <v>21200</v>
      </c>
      <c r="O15" s="39">
        <v>1</v>
      </c>
      <c r="P15" s="40" t="s">
        <v>127</v>
      </c>
      <c r="Q15" s="41"/>
      <c r="R15" s="42"/>
      <c r="S15" s="43"/>
      <c r="V15" s="39">
        <v>1</v>
      </c>
      <c r="W15" s="40" t="s">
        <v>127</v>
      </c>
      <c r="X15" s="41">
        <v>9500</v>
      </c>
      <c r="Y15" s="42">
        <v>5.3</v>
      </c>
      <c r="Z15" s="43">
        <f>X15*Y15</f>
        <v>50350</v>
      </c>
    </row>
    <row r="16" spans="1:26" x14ac:dyDescent="0.25">
      <c r="A16" s="44">
        <v>8</v>
      </c>
      <c r="B16" s="40" t="s">
        <v>104</v>
      </c>
      <c r="C16" s="41">
        <v>7500</v>
      </c>
      <c r="D16" s="42">
        <v>5.5</v>
      </c>
      <c r="E16" s="43">
        <f t="shared" ref="E16:E18" si="4">C16*D16</f>
        <v>41250</v>
      </c>
      <c r="F16" s="41"/>
      <c r="G16" s="30"/>
      <c r="H16" s="44">
        <v>8</v>
      </c>
      <c r="I16" s="40" t="s">
        <v>104</v>
      </c>
      <c r="J16" s="41">
        <v>7500</v>
      </c>
      <c r="K16" s="42">
        <v>5.5</v>
      </c>
      <c r="L16" s="43">
        <f t="shared" ref="L16:L18" si="5">J16*K16</f>
        <v>41250</v>
      </c>
      <c r="O16" s="44">
        <v>8</v>
      </c>
      <c r="P16" s="40" t="s">
        <v>104</v>
      </c>
      <c r="Q16" s="41"/>
      <c r="R16" s="42"/>
      <c r="S16" s="43"/>
      <c r="V16" s="44">
        <v>8</v>
      </c>
      <c r="W16" s="40" t="s">
        <v>104</v>
      </c>
      <c r="X16" s="41">
        <v>6500</v>
      </c>
      <c r="Y16" s="42">
        <v>5.5</v>
      </c>
      <c r="Z16" s="43">
        <f t="shared" ref="Z16:Z18" si="6">X16*Y16</f>
        <v>35750</v>
      </c>
    </row>
    <row r="17" spans="1:27" ht="14.45" customHeight="1" x14ac:dyDescent="0.25">
      <c r="A17" s="44">
        <v>13</v>
      </c>
      <c r="B17" s="40" t="s">
        <v>104</v>
      </c>
      <c r="C17" s="41">
        <v>6000</v>
      </c>
      <c r="D17" s="42">
        <v>5.6</v>
      </c>
      <c r="E17" s="43">
        <f t="shared" si="4"/>
        <v>33600</v>
      </c>
      <c r="F17" s="41"/>
      <c r="G17" s="31"/>
      <c r="H17" s="44">
        <v>13</v>
      </c>
      <c r="I17" s="40" t="s">
        <v>104</v>
      </c>
      <c r="J17" s="41">
        <v>6000</v>
      </c>
      <c r="K17" s="42">
        <v>5.6</v>
      </c>
      <c r="L17" s="43">
        <f t="shared" si="5"/>
        <v>33600</v>
      </c>
      <c r="O17" s="44">
        <v>13</v>
      </c>
      <c r="P17" s="40" t="s">
        <v>104</v>
      </c>
      <c r="Q17" s="41"/>
      <c r="R17" s="42"/>
      <c r="S17" s="43"/>
      <c r="V17" s="44">
        <v>13</v>
      </c>
      <c r="W17" s="40" t="s">
        <v>104</v>
      </c>
      <c r="X17" s="41">
        <v>5000</v>
      </c>
      <c r="Y17" s="42">
        <v>5.6</v>
      </c>
      <c r="Z17" s="43">
        <f t="shared" si="6"/>
        <v>28000</v>
      </c>
    </row>
    <row r="18" spans="1:27" x14ac:dyDescent="0.25">
      <c r="A18" s="44">
        <v>25</v>
      </c>
      <c r="B18" s="40" t="s">
        <v>104</v>
      </c>
      <c r="C18" s="41">
        <v>8950</v>
      </c>
      <c r="D18" s="42">
        <v>5.8</v>
      </c>
      <c r="E18" s="43">
        <f t="shared" si="4"/>
        <v>51910</v>
      </c>
      <c r="F18" s="41"/>
      <c r="G18" s="31"/>
      <c r="H18" s="44">
        <v>25</v>
      </c>
      <c r="I18" s="40" t="s">
        <v>104</v>
      </c>
      <c r="J18" s="41">
        <v>8950</v>
      </c>
      <c r="K18" s="42">
        <v>5.8</v>
      </c>
      <c r="L18" s="43">
        <f t="shared" si="5"/>
        <v>51910</v>
      </c>
      <c r="O18" s="44">
        <v>25</v>
      </c>
      <c r="P18" s="40" t="s">
        <v>104</v>
      </c>
      <c r="Q18" s="41"/>
      <c r="R18" s="42"/>
      <c r="S18" s="43"/>
      <c r="V18" s="44">
        <v>25</v>
      </c>
      <c r="W18" s="40" t="s">
        <v>104</v>
      </c>
      <c r="X18" s="41">
        <v>7400</v>
      </c>
      <c r="Y18" s="42">
        <v>5.8</v>
      </c>
      <c r="Z18" s="43">
        <f t="shared" si="6"/>
        <v>42920</v>
      </c>
    </row>
    <row r="19" spans="1:27" x14ac:dyDescent="0.25">
      <c r="A19" s="44">
        <v>29</v>
      </c>
      <c r="B19" s="45" t="s">
        <v>104</v>
      </c>
      <c r="C19" s="46">
        <v>1200</v>
      </c>
      <c r="D19" s="42">
        <v>6.3</v>
      </c>
      <c r="E19" s="43">
        <f>C19*D19</f>
        <v>7560</v>
      </c>
      <c r="F19" s="41"/>
      <c r="G19" s="31"/>
      <c r="H19" s="44">
        <v>29</v>
      </c>
      <c r="I19" s="45" t="s">
        <v>104</v>
      </c>
      <c r="J19" s="46">
        <v>9200</v>
      </c>
      <c r="K19" s="42">
        <v>6.3</v>
      </c>
      <c r="L19" s="43">
        <f>J19*K19</f>
        <v>57960</v>
      </c>
      <c r="O19" s="44">
        <v>29</v>
      </c>
      <c r="P19" s="45" t="s">
        <v>104</v>
      </c>
      <c r="Q19" s="46"/>
      <c r="R19" s="42"/>
      <c r="S19" s="43"/>
      <c r="V19" s="44">
        <v>29</v>
      </c>
      <c r="W19" s="45" t="s">
        <v>104</v>
      </c>
      <c r="X19" s="46">
        <v>7250</v>
      </c>
      <c r="Y19" s="42">
        <v>6.3</v>
      </c>
      <c r="Z19" s="43">
        <f>X19*Y19</f>
        <v>45675</v>
      </c>
    </row>
    <row r="20" spans="1:27" x14ac:dyDescent="0.25">
      <c r="A20" s="6"/>
      <c r="B20" s="45" t="s">
        <v>46</v>
      </c>
      <c r="C20" s="70">
        <f>SUM(C15:C19)</f>
        <v>35650</v>
      </c>
      <c r="D20" s="48"/>
      <c r="E20" s="49">
        <f>SUM(E15:E19)</f>
        <v>197920</v>
      </c>
      <c r="F20" s="60" t="s">
        <v>93</v>
      </c>
      <c r="G20" s="31"/>
      <c r="H20" s="6"/>
      <c r="I20" s="45" t="s">
        <v>46</v>
      </c>
      <c r="J20" s="70">
        <f>SUM(J15:J19)</f>
        <v>35650</v>
      </c>
      <c r="K20" s="48"/>
      <c r="L20" s="49">
        <f>SUM(L15:L19)</f>
        <v>205920</v>
      </c>
      <c r="M20" t="s">
        <v>93</v>
      </c>
      <c r="O20" s="6"/>
      <c r="P20" s="45" t="s">
        <v>46</v>
      </c>
      <c r="Q20" s="47">
        <f>Q11</f>
        <v>35650</v>
      </c>
      <c r="R20" s="76">
        <f>R9</f>
        <v>5.6888888888888891</v>
      </c>
      <c r="S20" s="49">
        <f>Q20*R20</f>
        <v>202808.88888888891</v>
      </c>
      <c r="T20" t="s">
        <v>93</v>
      </c>
      <c r="V20" s="6"/>
      <c r="W20" s="45" t="s">
        <v>46</v>
      </c>
      <c r="X20" s="70">
        <f>SUM(X15:X19)</f>
        <v>35650</v>
      </c>
      <c r="Y20" s="48"/>
      <c r="Z20" s="49">
        <f>SUM(Z15:Z19)</f>
        <v>202695</v>
      </c>
      <c r="AA20" t="s">
        <v>93</v>
      </c>
    </row>
    <row r="21" spans="1:27" ht="14.45" customHeight="1" x14ac:dyDescent="0.25">
      <c r="A21" s="6"/>
      <c r="E21" s="7"/>
      <c r="G21" s="33"/>
      <c r="H21" s="6"/>
      <c r="L21" s="7"/>
      <c r="O21" s="6"/>
      <c r="S21" s="7"/>
      <c r="V21" s="6"/>
      <c r="Z21" s="7"/>
    </row>
    <row r="22" spans="1:27" ht="14.45" customHeight="1" x14ac:dyDescent="0.25">
      <c r="A22" s="74" t="s">
        <v>131</v>
      </c>
      <c r="C22" s="34" t="s">
        <v>100</v>
      </c>
      <c r="D22" s="34" t="s">
        <v>128</v>
      </c>
      <c r="E22" s="36" t="s">
        <v>46</v>
      </c>
      <c r="F22" s="59"/>
      <c r="G22" s="33"/>
      <c r="H22" s="74" t="s">
        <v>131</v>
      </c>
      <c r="J22" s="34" t="s">
        <v>100</v>
      </c>
      <c r="K22" s="34" t="s">
        <v>128</v>
      </c>
      <c r="L22" s="36" t="s">
        <v>46</v>
      </c>
      <c r="O22" s="6" t="s">
        <v>131</v>
      </c>
      <c r="Q22" s="34" t="s">
        <v>100</v>
      </c>
      <c r="R22" s="34" t="s">
        <v>128</v>
      </c>
      <c r="S22" s="36" t="s">
        <v>46</v>
      </c>
      <c r="V22" s="6" t="s">
        <v>131</v>
      </c>
      <c r="X22" s="34" t="s">
        <v>100</v>
      </c>
      <c r="Y22" s="34" t="s">
        <v>128</v>
      </c>
      <c r="Z22" s="36" t="s">
        <v>46</v>
      </c>
    </row>
    <row r="23" spans="1:27" ht="30" x14ac:dyDescent="0.25">
      <c r="A23" s="39">
        <v>1</v>
      </c>
      <c r="B23" s="40" t="s">
        <v>127</v>
      </c>
      <c r="C23" s="71">
        <f>C4-C15</f>
        <v>0</v>
      </c>
      <c r="D23">
        <v>5.3</v>
      </c>
      <c r="E23" s="43">
        <f>C23*D23</f>
        <v>0</v>
      </c>
      <c r="H23" s="39">
        <v>1</v>
      </c>
      <c r="I23" s="40" t="s">
        <v>127</v>
      </c>
      <c r="J23" s="71">
        <f>J4-J15</f>
        <v>8000</v>
      </c>
      <c r="K23">
        <v>5.3</v>
      </c>
      <c r="L23" s="43">
        <f>J23*K23</f>
        <v>42400</v>
      </c>
      <c r="O23" s="39">
        <v>1</v>
      </c>
      <c r="P23" s="40" t="s">
        <v>127</v>
      </c>
      <c r="S23" s="7"/>
      <c r="V23" s="39">
        <v>1</v>
      </c>
      <c r="W23" s="40" t="s">
        <v>127</v>
      </c>
      <c r="X23" s="71">
        <f>X4-X15</f>
        <v>2500</v>
      </c>
      <c r="Y23">
        <v>5.3</v>
      </c>
      <c r="Z23" s="78">
        <f>X23*Y23</f>
        <v>13250</v>
      </c>
    </row>
    <row r="24" spans="1:27" x14ac:dyDescent="0.25">
      <c r="A24" s="44">
        <v>8</v>
      </c>
      <c r="B24" s="40" t="s">
        <v>104</v>
      </c>
      <c r="C24" s="71">
        <f t="shared" ref="C24:C27" si="7">C5-C16</f>
        <v>0</v>
      </c>
      <c r="D24">
        <v>5.5</v>
      </c>
      <c r="E24" s="43">
        <f t="shared" ref="E24:E26" si="8">C24*D24</f>
        <v>0</v>
      </c>
      <c r="H24" s="44">
        <v>8</v>
      </c>
      <c r="I24" s="40" t="s">
        <v>104</v>
      </c>
      <c r="J24" s="71">
        <f t="shared" ref="J24:J27" si="9">J5-J16</f>
        <v>0</v>
      </c>
      <c r="K24">
        <v>5.5</v>
      </c>
      <c r="L24" s="43">
        <f t="shared" ref="L24:L26" si="10">J24*K24</f>
        <v>0</v>
      </c>
      <c r="O24" s="44">
        <v>8</v>
      </c>
      <c r="P24" s="40" t="s">
        <v>104</v>
      </c>
      <c r="S24" s="7"/>
      <c r="V24" s="44">
        <v>8</v>
      </c>
      <c r="W24" s="40" t="s">
        <v>104</v>
      </c>
      <c r="X24" s="71">
        <f t="shared" ref="X24:X27" si="11">X5-X16</f>
        <v>1000</v>
      </c>
      <c r="Y24">
        <v>5.5</v>
      </c>
      <c r="Z24" s="78">
        <f t="shared" ref="Z24:Z27" si="12">X24*Y24</f>
        <v>5500</v>
      </c>
    </row>
    <row r="25" spans="1:27" x14ac:dyDescent="0.25">
      <c r="A25" s="44">
        <v>13</v>
      </c>
      <c r="B25" s="40" t="s">
        <v>104</v>
      </c>
      <c r="C25" s="71">
        <f t="shared" si="7"/>
        <v>0</v>
      </c>
      <c r="D25">
        <v>5.6</v>
      </c>
      <c r="E25" s="43">
        <f t="shared" si="8"/>
        <v>0</v>
      </c>
      <c r="H25" s="44">
        <v>13</v>
      </c>
      <c r="I25" s="40" t="s">
        <v>104</v>
      </c>
      <c r="J25" s="71">
        <f t="shared" si="9"/>
        <v>0</v>
      </c>
      <c r="K25">
        <v>5.6</v>
      </c>
      <c r="L25" s="43">
        <f t="shared" si="10"/>
        <v>0</v>
      </c>
      <c r="O25" s="44">
        <v>13</v>
      </c>
      <c r="P25" s="40" t="s">
        <v>104</v>
      </c>
      <c r="S25" s="7"/>
      <c r="V25" s="44">
        <v>13</v>
      </c>
      <c r="W25" s="40" t="s">
        <v>104</v>
      </c>
      <c r="X25" s="71">
        <f t="shared" si="11"/>
        <v>1000</v>
      </c>
      <c r="Y25">
        <v>5.6</v>
      </c>
      <c r="Z25" s="78">
        <f t="shared" si="12"/>
        <v>5600</v>
      </c>
    </row>
    <row r="26" spans="1:27" x14ac:dyDescent="0.25">
      <c r="A26" s="44">
        <v>25</v>
      </c>
      <c r="B26" s="40" t="s">
        <v>104</v>
      </c>
      <c r="C26" s="71">
        <f t="shared" si="7"/>
        <v>0</v>
      </c>
      <c r="D26">
        <v>5.8</v>
      </c>
      <c r="E26" s="43">
        <f t="shared" si="8"/>
        <v>0</v>
      </c>
      <c r="H26" s="44">
        <v>25</v>
      </c>
      <c r="I26" s="40" t="s">
        <v>104</v>
      </c>
      <c r="J26" s="71">
        <f t="shared" si="9"/>
        <v>0</v>
      </c>
      <c r="K26">
        <v>5.8</v>
      </c>
      <c r="L26" s="43">
        <f t="shared" si="10"/>
        <v>0</v>
      </c>
      <c r="O26" s="44">
        <v>25</v>
      </c>
      <c r="P26" s="40" t="s">
        <v>104</v>
      </c>
      <c r="S26" s="7"/>
      <c r="V26" s="44">
        <v>25</v>
      </c>
      <c r="W26" s="40" t="s">
        <v>104</v>
      </c>
      <c r="X26" s="71">
        <f t="shared" si="11"/>
        <v>1550</v>
      </c>
      <c r="Y26">
        <v>5.8</v>
      </c>
      <c r="Z26" s="78">
        <f t="shared" si="12"/>
        <v>8990</v>
      </c>
    </row>
    <row r="27" spans="1:27" x14ac:dyDescent="0.25">
      <c r="A27" s="44">
        <v>29</v>
      </c>
      <c r="B27" s="45" t="s">
        <v>104</v>
      </c>
      <c r="C27" s="71">
        <f t="shared" si="7"/>
        <v>8000</v>
      </c>
      <c r="D27">
        <v>6.3</v>
      </c>
      <c r="E27" s="43">
        <f>C27*D27</f>
        <v>50400</v>
      </c>
      <c r="H27" s="44">
        <v>29</v>
      </c>
      <c r="I27" s="45" t="s">
        <v>104</v>
      </c>
      <c r="J27" s="71">
        <f t="shared" si="9"/>
        <v>0</v>
      </c>
      <c r="K27">
        <v>6.3</v>
      </c>
      <c r="L27" s="43">
        <f>J27*K27</f>
        <v>0</v>
      </c>
      <c r="O27" s="44">
        <v>29</v>
      </c>
      <c r="P27" s="45" t="s">
        <v>104</v>
      </c>
      <c r="S27" s="7"/>
      <c r="V27" s="44">
        <v>29</v>
      </c>
      <c r="W27" s="45" t="s">
        <v>104</v>
      </c>
      <c r="X27" s="71">
        <f t="shared" si="11"/>
        <v>1950</v>
      </c>
      <c r="Y27">
        <v>6.3</v>
      </c>
      <c r="Z27" s="78">
        <f t="shared" si="12"/>
        <v>12285</v>
      </c>
    </row>
    <row r="28" spans="1:27" ht="15.75" thickBot="1" x14ac:dyDescent="0.3">
      <c r="A28" s="11"/>
      <c r="B28" s="50" t="s">
        <v>46</v>
      </c>
      <c r="C28" s="73">
        <f>SUM(C24:C27)</f>
        <v>8000</v>
      </c>
      <c r="D28" s="52"/>
      <c r="E28" s="49">
        <f>SUM(E23:E27)</f>
        <v>50400</v>
      </c>
      <c r="F28" s="60" t="s">
        <v>92</v>
      </c>
      <c r="H28" s="11"/>
      <c r="I28" s="50" t="s">
        <v>46</v>
      </c>
      <c r="J28" s="73">
        <f>SUM(J23:J27)</f>
        <v>8000</v>
      </c>
      <c r="K28" s="52"/>
      <c r="L28" s="49">
        <f>SUM(L23:L27)</f>
        <v>42400</v>
      </c>
      <c r="M28" s="60" t="s">
        <v>92</v>
      </c>
      <c r="O28" s="11"/>
      <c r="P28" s="50" t="s">
        <v>46</v>
      </c>
      <c r="Q28" s="51">
        <f>Q12</f>
        <v>8000</v>
      </c>
      <c r="R28" s="77">
        <f>R9</f>
        <v>5.6888888888888891</v>
      </c>
      <c r="S28" s="49">
        <f>Q28*R28</f>
        <v>45511.111111111109</v>
      </c>
      <c r="T28" t="s">
        <v>92</v>
      </c>
      <c r="V28" s="11"/>
      <c r="W28" s="50" t="s">
        <v>46</v>
      </c>
      <c r="X28" s="79">
        <f>SUM(X23:X27)</f>
        <v>8000</v>
      </c>
      <c r="Y28" s="52"/>
      <c r="Z28" s="53">
        <f>SUM(Z23:Z27)</f>
        <v>45625</v>
      </c>
      <c r="AA28" t="s">
        <v>92</v>
      </c>
    </row>
    <row r="30" spans="1:27" x14ac:dyDescent="0.25">
      <c r="B30" t="s">
        <v>62</v>
      </c>
      <c r="E30">
        <v>213900</v>
      </c>
      <c r="F30" t="s">
        <v>138</v>
      </c>
      <c r="H30" t="s">
        <v>62</v>
      </c>
      <c r="L30">
        <v>213900</v>
      </c>
      <c r="M30" t="s">
        <v>138</v>
      </c>
      <c r="O30" t="s">
        <v>62</v>
      </c>
      <c r="S30">
        <v>213900</v>
      </c>
      <c r="T30" t="s">
        <v>138</v>
      </c>
      <c r="V30" t="s">
        <v>62</v>
      </c>
      <c r="Z30">
        <v>213900</v>
      </c>
      <c r="AA30" t="s">
        <v>138</v>
      </c>
    </row>
    <row r="31" spans="1:27" x14ac:dyDescent="0.25">
      <c r="B31" t="s">
        <v>112</v>
      </c>
      <c r="E31" s="75">
        <f>E20</f>
        <v>197920</v>
      </c>
      <c r="F31" t="s">
        <v>139</v>
      </c>
      <c r="H31" t="s">
        <v>112</v>
      </c>
      <c r="L31" s="75">
        <f>L20</f>
        <v>205920</v>
      </c>
      <c r="M31" t="s">
        <v>139</v>
      </c>
      <c r="O31" t="s">
        <v>112</v>
      </c>
      <c r="S31" s="75">
        <f>S20</f>
        <v>202808.88888888891</v>
      </c>
      <c r="T31" t="s">
        <v>139</v>
      </c>
      <c r="V31" t="s">
        <v>112</v>
      </c>
      <c r="Z31" s="75">
        <f>Z20</f>
        <v>202695</v>
      </c>
      <c r="AA31" t="s">
        <v>139</v>
      </c>
    </row>
    <row r="32" spans="1:27" x14ac:dyDescent="0.25">
      <c r="B32" t="s">
        <v>136</v>
      </c>
      <c r="E32" s="75">
        <f>E30-E31</f>
        <v>15980</v>
      </c>
      <c r="H32" t="s">
        <v>136</v>
      </c>
      <c r="L32" s="75">
        <f>L30-L31</f>
        <v>7980</v>
      </c>
      <c r="O32" t="s">
        <v>136</v>
      </c>
      <c r="S32" s="75">
        <f>S30-S31</f>
        <v>11091.111111111095</v>
      </c>
      <c r="V32" t="s">
        <v>136</v>
      </c>
      <c r="Z32" s="75">
        <f>Z30-Z31</f>
        <v>11205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699A-B7D3-4895-957C-B0ACAD52C8FA}">
  <dimension ref="A1:O81"/>
  <sheetViews>
    <sheetView topLeftCell="A58" zoomScaleNormal="100" workbookViewId="0">
      <selection activeCell="M55" sqref="M55"/>
    </sheetView>
  </sheetViews>
  <sheetFormatPr defaultColWidth="8.7109375" defaultRowHeight="18.75" x14ac:dyDescent="0.4"/>
  <cols>
    <col min="1" max="1" width="9.28515625" style="81" bestFit="1" customWidth="1"/>
    <col min="2" max="2" width="12.140625" style="81" customWidth="1"/>
    <col min="3" max="3" width="4.42578125" style="81" customWidth="1"/>
    <col min="4" max="5" width="8.7109375" style="81"/>
    <col min="6" max="6" width="9.42578125" style="81" customWidth="1"/>
    <col min="7" max="7" width="4.140625" style="81" customWidth="1"/>
    <col min="8" max="8" width="8.7109375" style="81"/>
    <col min="9" max="9" width="14" style="81" customWidth="1"/>
    <col min="10" max="10" width="13.140625" style="81" customWidth="1"/>
    <col min="11" max="11" width="4.7109375" style="81" customWidth="1"/>
    <col min="12" max="12" width="8.7109375" style="81"/>
    <col min="13" max="13" width="12.7109375" style="81" customWidth="1"/>
    <col min="14" max="14" width="14" style="81" customWidth="1"/>
    <col min="15" max="16384" width="8.7109375" style="81"/>
  </cols>
  <sheetData>
    <row r="1" spans="1:14" x14ac:dyDescent="0.4">
      <c r="A1" s="80" t="s">
        <v>96</v>
      </c>
      <c r="E1" s="82" t="s">
        <v>167</v>
      </c>
      <c r="I1" s="82" t="s">
        <v>168</v>
      </c>
    </row>
    <row r="2" spans="1:14" x14ac:dyDescent="0.4">
      <c r="A2" s="83"/>
      <c r="B2" s="83"/>
      <c r="D2" s="83"/>
      <c r="E2" s="84" t="s">
        <v>97</v>
      </c>
      <c r="F2" s="83"/>
      <c r="H2" s="83"/>
      <c r="I2" s="84" t="s">
        <v>62</v>
      </c>
      <c r="J2" s="83"/>
      <c r="L2" s="83"/>
      <c r="M2" s="84" t="s">
        <v>98</v>
      </c>
      <c r="N2" s="83"/>
    </row>
    <row r="3" spans="1:14" x14ac:dyDescent="0.4">
      <c r="A3" s="83" t="s">
        <v>47</v>
      </c>
      <c r="B3" s="83" t="s">
        <v>99</v>
      </c>
      <c r="D3" s="83" t="s">
        <v>100</v>
      </c>
      <c r="E3" s="83" t="s">
        <v>101</v>
      </c>
      <c r="F3" s="83" t="s">
        <v>102</v>
      </c>
      <c r="H3" s="83" t="s">
        <v>100</v>
      </c>
      <c r="I3" s="83" t="s">
        <v>101</v>
      </c>
      <c r="J3" s="83" t="s">
        <v>102</v>
      </c>
      <c r="L3" s="83" t="s">
        <v>100</v>
      </c>
      <c r="M3" s="83" t="s">
        <v>101</v>
      </c>
      <c r="N3" s="83" t="s">
        <v>102</v>
      </c>
    </row>
    <row r="4" spans="1:14" x14ac:dyDescent="0.4">
      <c r="A4" s="85">
        <v>37104</v>
      </c>
      <c r="B4" s="83" t="s">
        <v>103</v>
      </c>
      <c r="D4" s="83"/>
      <c r="E4" s="83"/>
      <c r="F4" s="83"/>
      <c r="H4" s="83"/>
      <c r="I4" s="83"/>
      <c r="J4" s="83"/>
      <c r="L4" s="83">
        <v>60</v>
      </c>
      <c r="M4" s="83">
        <v>10</v>
      </c>
      <c r="N4" s="83">
        <f>L4*M4</f>
        <v>600</v>
      </c>
    </row>
    <row r="5" spans="1:14" x14ac:dyDescent="0.4">
      <c r="A5" s="83"/>
      <c r="B5" s="83"/>
      <c r="D5" s="83"/>
      <c r="E5" s="83"/>
      <c r="F5" s="83"/>
      <c r="H5" s="83"/>
      <c r="I5" s="83"/>
      <c r="J5" s="83"/>
      <c r="L5" s="83"/>
      <c r="M5" s="83"/>
      <c r="N5" s="83"/>
    </row>
    <row r="6" spans="1:14" x14ac:dyDescent="0.4">
      <c r="A6" s="83">
        <v>12</v>
      </c>
      <c r="B6" s="83" t="s">
        <v>104</v>
      </c>
      <c r="D6" s="83">
        <v>90</v>
      </c>
      <c r="E6" s="83">
        <v>12</v>
      </c>
      <c r="F6" s="83">
        <f>D6*E6</f>
        <v>1080</v>
      </c>
      <c r="H6" s="83"/>
      <c r="I6" s="83"/>
      <c r="J6" s="83"/>
      <c r="K6" s="81" t="s">
        <v>105</v>
      </c>
      <c r="L6" s="83">
        <f>L4</f>
        <v>60</v>
      </c>
      <c r="M6" s="83">
        <f>M4</f>
        <v>10</v>
      </c>
      <c r="N6" s="83">
        <f>N4</f>
        <v>600</v>
      </c>
    </row>
    <row r="7" spans="1:14" x14ac:dyDescent="0.4">
      <c r="A7" s="83"/>
      <c r="B7" s="83"/>
      <c r="D7" s="83"/>
      <c r="E7" s="83"/>
      <c r="F7" s="83"/>
      <c r="H7" s="83"/>
      <c r="I7" s="83"/>
      <c r="J7" s="83"/>
      <c r="K7" s="81" t="s">
        <v>106</v>
      </c>
      <c r="L7" s="83">
        <f>D6</f>
        <v>90</v>
      </c>
      <c r="M7" s="83">
        <f t="shared" ref="M7:N7" si="0">E6</f>
        <v>12</v>
      </c>
      <c r="N7" s="83">
        <f t="shared" si="0"/>
        <v>1080</v>
      </c>
    </row>
    <row r="8" spans="1:14" x14ac:dyDescent="0.4">
      <c r="A8" s="83"/>
      <c r="B8" s="83"/>
      <c r="D8" s="83"/>
      <c r="E8" s="83"/>
      <c r="F8" s="83"/>
      <c r="H8" s="83"/>
      <c r="I8" s="83"/>
      <c r="J8" s="83"/>
      <c r="L8" s="83"/>
      <c r="M8" s="83"/>
      <c r="N8" s="83"/>
    </row>
    <row r="9" spans="1:14" x14ac:dyDescent="0.4">
      <c r="A9" s="83">
        <v>15</v>
      </c>
      <c r="B9" s="83" t="s">
        <v>107</v>
      </c>
      <c r="D9" s="83"/>
      <c r="E9" s="83"/>
      <c r="F9" s="83"/>
      <c r="H9" s="83">
        <f>L6</f>
        <v>60</v>
      </c>
      <c r="I9" s="83">
        <f t="shared" ref="I9:J9" si="1">M6</f>
        <v>10</v>
      </c>
      <c r="J9" s="83">
        <f t="shared" si="1"/>
        <v>600</v>
      </c>
      <c r="L9" s="83">
        <f>L6-H9</f>
        <v>0</v>
      </c>
      <c r="M9" s="83">
        <v>10</v>
      </c>
      <c r="N9" s="83">
        <f>L9*M9</f>
        <v>0</v>
      </c>
    </row>
    <row r="10" spans="1:14" x14ac:dyDescent="0.4">
      <c r="A10" s="83"/>
      <c r="B10" s="83"/>
      <c r="D10" s="83"/>
      <c r="E10" s="83"/>
      <c r="F10" s="83"/>
      <c r="H10" s="83">
        <v>20</v>
      </c>
      <c r="I10" s="83">
        <v>12</v>
      </c>
      <c r="J10" s="83">
        <f>H10*I10</f>
        <v>240</v>
      </c>
      <c r="L10" s="83">
        <f>L7-H10</f>
        <v>70</v>
      </c>
      <c r="M10" s="83">
        <v>12</v>
      </c>
      <c r="N10" s="83">
        <f>L10*M10</f>
        <v>840</v>
      </c>
    </row>
    <row r="11" spans="1:14" x14ac:dyDescent="0.4">
      <c r="A11" s="83"/>
      <c r="B11" s="83"/>
      <c r="D11" s="83"/>
      <c r="E11" s="83"/>
      <c r="F11" s="83"/>
      <c r="H11" s="83"/>
      <c r="I11" s="83"/>
      <c r="J11" s="83"/>
      <c r="L11" s="83"/>
      <c r="M11" s="83"/>
      <c r="N11" s="83"/>
    </row>
    <row r="12" spans="1:14" x14ac:dyDescent="0.4">
      <c r="A12" s="83">
        <v>21</v>
      </c>
      <c r="B12" s="83" t="s">
        <v>104</v>
      </c>
      <c r="D12" s="83">
        <v>120</v>
      </c>
      <c r="E12" s="83">
        <v>13</v>
      </c>
      <c r="F12" s="83">
        <f>D12*E12</f>
        <v>1560</v>
      </c>
      <c r="H12" s="83"/>
      <c r="I12" s="83"/>
      <c r="J12" s="83"/>
      <c r="K12" s="81" t="s">
        <v>105</v>
      </c>
      <c r="L12" s="83">
        <f>L10</f>
        <v>70</v>
      </c>
      <c r="M12" s="83">
        <f t="shared" ref="M12:N12" si="2">M10</f>
        <v>12</v>
      </c>
      <c r="N12" s="83">
        <f t="shared" si="2"/>
        <v>840</v>
      </c>
    </row>
    <row r="13" spans="1:14" x14ac:dyDescent="0.4">
      <c r="A13" s="83"/>
      <c r="B13" s="83"/>
      <c r="D13" s="83"/>
      <c r="E13" s="83"/>
      <c r="F13" s="83"/>
      <c r="H13" s="83"/>
      <c r="I13" s="83"/>
      <c r="J13" s="83"/>
      <c r="K13" s="81" t="s">
        <v>106</v>
      </c>
      <c r="L13" s="83">
        <f>D12</f>
        <v>120</v>
      </c>
      <c r="M13" s="83">
        <f t="shared" ref="M13:N13" si="3">E12</f>
        <v>13</v>
      </c>
      <c r="N13" s="83">
        <f t="shared" si="3"/>
        <v>1560</v>
      </c>
    </row>
    <row r="14" spans="1:14" x14ac:dyDescent="0.4">
      <c r="A14" s="83"/>
      <c r="B14" s="83"/>
      <c r="D14" s="83"/>
      <c r="E14" s="83"/>
      <c r="F14" s="83"/>
      <c r="H14" s="83"/>
      <c r="I14" s="83"/>
      <c r="J14" s="83"/>
      <c r="L14" s="83"/>
      <c r="M14" s="83"/>
      <c r="N14" s="83"/>
    </row>
    <row r="15" spans="1:14" x14ac:dyDescent="0.4">
      <c r="A15" s="83">
        <v>22</v>
      </c>
      <c r="B15" s="83" t="s">
        <v>107</v>
      </c>
      <c r="D15" s="83"/>
      <c r="E15" s="83"/>
      <c r="F15" s="83"/>
      <c r="H15" s="83">
        <v>70</v>
      </c>
      <c r="I15" s="83">
        <f>M12</f>
        <v>12</v>
      </c>
      <c r="J15" s="83">
        <f>H15*I15</f>
        <v>840</v>
      </c>
      <c r="L15" s="83">
        <f>L12-H15</f>
        <v>0</v>
      </c>
      <c r="M15" s="83">
        <f>M12</f>
        <v>12</v>
      </c>
      <c r="N15" s="83">
        <f>L15*M15</f>
        <v>0</v>
      </c>
    </row>
    <row r="16" spans="1:14" x14ac:dyDescent="0.4">
      <c r="A16" s="83"/>
      <c r="B16" s="83"/>
      <c r="D16" s="83"/>
      <c r="E16" s="83"/>
      <c r="F16" s="83"/>
      <c r="H16" s="83">
        <v>30</v>
      </c>
      <c r="I16" s="83">
        <f>M13</f>
        <v>13</v>
      </c>
      <c r="J16" s="83">
        <f>H16*I16</f>
        <v>390</v>
      </c>
      <c r="L16" s="83">
        <f>L13-H16</f>
        <v>90</v>
      </c>
      <c r="M16" s="83">
        <f>M13</f>
        <v>13</v>
      </c>
      <c r="N16" s="83">
        <f>L16*M16</f>
        <v>1170</v>
      </c>
    </row>
    <row r="17" spans="1:15" x14ac:dyDescent="0.4">
      <c r="A17" s="83"/>
      <c r="B17" s="83"/>
      <c r="D17" s="83"/>
      <c r="E17" s="83"/>
      <c r="F17" s="83"/>
      <c r="H17" s="83"/>
      <c r="I17" s="83"/>
      <c r="J17" s="83"/>
      <c r="L17" s="83"/>
      <c r="M17" s="83"/>
      <c r="N17" s="83"/>
    </row>
    <row r="18" spans="1:15" x14ac:dyDescent="0.4">
      <c r="A18" s="83">
        <v>28</v>
      </c>
      <c r="B18" s="83" t="s">
        <v>107</v>
      </c>
      <c r="D18" s="83"/>
      <c r="E18" s="83"/>
      <c r="F18" s="83"/>
      <c r="H18" s="83">
        <v>65</v>
      </c>
      <c r="I18" s="83">
        <v>13</v>
      </c>
      <c r="J18" s="83">
        <f>H18*I18</f>
        <v>845</v>
      </c>
      <c r="L18" s="83">
        <f>L16-H18</f>
        <v>25</v>
      </c>
      <c r="M18" s="83">
        <f>M16</f>
        <v>13</v>
      </c>
      <c r="N18" s="86">
        <f>L18*M18</f>
        <v>325</v>
      </c>
    </row>
    <row r="19" spans="1:15" x14ac:dyDescent="0.4">
      <c r="A19" s="83"/>
      <c r="B19" s="83"/>
      <c r="D19" s="83"/>
      <c r="E19" s="83"/>
      <c r="F19" s="83"/>
      <c r="H19" s="83"/>
      <c r="I19" s="83"/>
      <c r="L19" s="83"/>
      <c r="M19" s="83"/>
      <c r="N19" s="83"/>
    </row>
    <row r="20" spans="1:15" x14ac:dyDescent="0.4">
      <c r="J20" s="86">
        <f>SUM(J9:J18)</f>
        <v>2915</v>
      </c>
      <c r="K20" s="80" t="s">
        <v>93</v>
      </c>
      <c r="N20" s="80">
        <f>N18</f>
        <v>325</v>
      </c>
      <c r="O20" s="80" t="s">
        <v>92</v>
      </c>
    </row>
    <row r="22" spans="1:15" x14ac:dyDescent="0.4">
      <c r="A22" s="80" t="s">
        <v>108</v>
      </c>
    </row>
    <row r="23" spans="1:15" x14ac:dyDescent="0.4">
      <c r="A23" s="83"/>
      <c r="B23" s="83"/>
      <c r="D23" s="83"/>
      <c r="E23" s="83" t="s">
        <v>97</v>
      </c>
      <c r="F23" s="83"/>
      <c r="H23" s="83"/>
      <c r="I23" s="83" t="s">
        <v>62</v>
      </c>
      <c r="J23" s="83"/>
      <c r="L23" s="83"/>
      <c r="M23" s="83" t="s">
        <v>98</v>
      </c>
      <c r="N23" s="83"/>
    </row>
    <row r="24" spans="1:15" x14ac:dyDescent="0.4">
      <c r="A24" s="83" t="s">
        <v>47</v>
      </c>
      <c r="B24" s="83" t="s">
        <v>99</v>
      </c>
      <c r="D24" s="83" t="s">
        <v>100</v>
      </c>
      <c r="E24" s="83" t="s">
        <v>101</v>
      </c>
      <c r="F24" s="83" t="s">
        <v>102</v>
      </c>
      <c r="H24" s="83" t="s">
        <v>100</v>
      </c>
      <c r="I24" s="83" t="s">
        <v>101</v>
      </c>
      <c r="J24" s="83" t="s">
        <v>102</v>
      </c>
      <c r="L24" s="83" t="s">
        <v>100</v>
      </c>
      <c r="M24" s="83" t="s">
        <v>101</v>
      </c>
      <c r="N24" s="83" t="s">
        <v>102</v>
      </c>
    </row>
    <row r="25" spans="1:15" x14ac:dyDescent="0.4">
      <c r="A25" s="85">
        <v>37104</v>
      </c>
      <c r="B25" s="83" t="s">
        <v>103</v>
      </c>
      <c r="D25" s="83"/>
      <c r="E25" s="83"/>
      <c r="F25" s="83"/>
      <c r="H25" s="83"/>
      <c r="I25" s="83"/>
      <c r="J25" s="83"/>
      <c r="L25" s="83">
        <v>60</v>
      </c>
      <c r="M25" s="83">
        <v>10</v>
      </c>
      <c r="N25" s="83">
        <f>L25*M25</f>
        <v>600</v>
      </c>
    </row>
    <row r="26" spans="1:15" x14ac:dyDescent="0.4">
      <c r="A26" s="83"/>
      <c r="B26" s="83"/>
      <c r="D26" s="83"/>
      <c r="E26" s="83"/>
      <c r="F26" s="83"/>
      <c r="H26" s="83"/>
      <c r="I26" s="83"/>
      <c r="J26" s="83"/>
      <c r="L26" s="83"/>
      <c r="M26" s="83"/>
      <c r="N26" s="83"/>
    </row>
    <row r="27" spans="1:15" x14ac:dyDescent="0.4">
      <c r="A27" s="83">
        <v>12</v>
      </c>
      <c r="B27" s="83" t="s">
        <v>104</v>
      </c>
      <c r="D27" s="83">
        <v>90</v>
      </c>
      <c r="E27" s="83">
        <v>12</v>
      </c>
      <c r="F27" s="83">
        <f>D27*E27</f>
        <v>1080</v>
      </c>
      <c r="H27" s="83"/>
      <c r="I27" s="83"/>
      <c r="J27" s="83"/>
      <c r="K27" s="81" t="s">
        <v>106</v>
      </c>
      <c r="L27" s="83">
        <f>L25</f>
        <v>60</v>
      </c>
      <c r="M27" s="83">
        <f>M25</f>
        <v>10</v>
      </c>
      <c r="N27" s="83">
        <f>N25</f>
        <v>600</v>
      </c>
    </row>
    <row r="28" spans="1:15" x14ac:dyDescent="0.4">
      <c r="A28" s="83"/>
      <c r="B28" s="83"/>
      <c r="D28" s="83"/>
      <c r="E28" s="83"/>
      <c r="F28" s="83"/>
      <c r="H28" s="83"/>
      <c r="I28" s="83"/>
      <c r="J28" s="83"/>
      <c r="K28" s="81" t="s">
        <v>105</v>
      </c>
      <c r="L28" s="83">
        <f>D27</f>
        <v>90</v>
      </c>
      <c r="M28" s="83">
        <f t="shared" ref="M28:N28" si="4">E27</f>
        <v>12</v>
      </c>
      <c r="N28" s="83">
        <f t="shared" si="4"/>
        <v>1080</v>
      </c>
    </row>
    <row r="29" spans="1:15" x14ac:dyDescent="0.4">
      <c r="A29" s="83"/>
      <c r="B29" s="83"/>
      <c r="D29" s="83"/>
      <c r="E29" s="83"/>
      <c r="F29" s="83"/>
      <c r="H29" s="83"/>
      <c r="I29" s="83"/>
      <c r="J29" s="83"/>
      <c r="L29" s="83"/>
      <c r="M29" s="83"/>
      <c r="N29" s="83"/>
    </row>
    <row r="30" spans="1:15" x14ac:dyDescent="0.4">
      <c r="A30" s="83">
        <v>15</v>
      </c>
      <c r="B30" s="83" t="s">
        <v>107</v>
      </c>
      <c r="D30" s="83"/>
      <c r="E30" s="83"/>
      <c r="F30" s="83"/>
      <c r="G30" s="81" t="s">
        <v>106</v>
      </c>
      <c r="H30" s="83">
        <v>0</v>
      </c>
      <c r="I30" s="83">
        <v>10</v>
      </c>
      <c r="J30" s="83">
        <f>H30*I30</f>
        <v>0</v>
      </c>
      <c r="L30" s="87">
        <f>L27-H30</f>
        <v>60</v>
      </c>
      <c r="M30" s="87">
        <v>10</v>
      </c>
      <c r="N30" s="87">
        <f>L30*M30</f>
        <v>600</v>
      </c>
    </row>
    <row r="31" spans="1:15" x14ac:dyDescent="0.4">
      <c r="A31" s="83"/>
      <c r="B31" s="83"/>
      <c r="D31" s="83"/>
      <c r="E31" s="83"/>
      <c r="F31" s="83"/>
      <c r="G31" s="81" t="s">
        <v>105</v>
      </c>
      <c r="H31" s="83">
        <v>80</v>
      </c>
      <c r="I31" s="83">
        <v>12</v>
      </c>
      <c r="J31" s="83">
        <f>H31*I31</f>
        <v>960</v>
      </c>
      <c r="L31" s="87">
        <f>L28-H31</f>
        <v>10</v>
      </c>
      <c r="M31" s="87">
        <v>12</v>
      </c>
      <c r="N31" s="87">
        <f>L31*M31</f>
        <v>120</v>
      </c>
    </row>
    <row r="32" spans="1:15" x14ac:dyDescent="0.4">
      <c r="A32" s="83"/>
      <c r="B32" s="83"/>
      <c r="D32" s="83"/>
      <c r="E32" s="83"/>
      <c r="F32" s="83"/>
      <c r="H32" s="83"/>
      <c r="I32" s="83"/>
      <c r="J32" s="83"/>
      <c r="L32" s="88"/>
      <c r="M32" s="88"/>
      <c r="N32" s="88"/>
    </row>
    <row r="33" spans="1:15" x14ac:dyDescent="0.4">
      <c r="A33" s="83">
        <v>21</v>
      </c>
      <c r="B33" s="83" t="s">
        <v>104</v>
      </c>
      <c r="D33" s="83">
        <v>120</v>
      </c>
      <c r="E33" s="83">
        <v>13</v>
      </c>
      <c r="F33" s="83">
        <f>D33*E33</f>
        <v>1560</v>
      </c>
      <c r="H33" s="83"/>
      <c r="I33" s="83"/>
      <c r="J33" s="83"/>
      <c r="K33" s="81" t="s">
        <v>109</v>
      </c>
      <c r="L33" s="87">
        <f>L30</f>
        <v>60</v>
      </c>
      <c r="M33" s="87">
        <f t="shared" ref="M33:N34" si="5">M30</f>
        <v>10</v>
      </c>
      <c r="N33" s="87">
        <f t="shared" si="5"/>
        <v>600</v>
      </c>
    </row>
    <row r="34" spans="1:15" x14ac:dyDescent="0.4">
      <c r="A34" s="83"/>
      <c r="B34" s="83"/>
      <c r="D34" s="83"/>
      <c r="E34" s="83"/>
      <c r="F34" s="83"/>
      <c r="H34" s="83"/>
      <c r="I34" s="83"/>
      <c r="J34" s="83"/>
      <c r="K34" s="81" t="s">
        <v>106</v>
      </c>
      <c r="L34" s="87">
        <f>L31</f>
        <v>10</v>
      </c>
      <c r="M34" s="87">
        <f t="shared" si="5"/>
        <v>12</v>
      </c>
      <c r="N34" s="87">
        <f t="shared" si="5"/>
        <v>120</v>
      </c>
    </row>
    <row r="35" spans="1:15" x14ac:dyDescent="0.4">
      <c r="A35" s="83"/>
      <c r="B35" s="83"/>
      <c r="D35" s="83"/>
      <c r="E35" s="83"/>
      <c r="F35" s="83"/>
      <c r="H35" s="83"/>
      <c r="I35" s="83"/>
      <c r="J35" s="83"/>
      <c r="K35" s="81" t="s">
        <v>105</v>
      </c>
      <c r="L35" s="87">
        <f>D33</f>
        <v>120</v>
      </c>
      <c r="M35" s="87">
        <f t="shared" ref="M35:N35" si="6">E33</f>
        <v>13</v>
      </c>
      <c r="N35" s="87">
        <f t="shared" si="6"/>
        <v>1560</v>
      </c>
    </row>
    <row r="36" spans="1:15" x14ac:dyDescent="0.4">
      <c r="A36" s="83"/>
      <c r="B36" s="83"/>
      <c r="D36" s="83"/>
      <c r="E36" s="83"/>
      <c r="F36" s="83"/>
      <c r="H36" s="83"/>
      <c r="I36" s="83"/>
      <c r="J36" s="83"/>
      <c r="L36" s="87"/>
      <c r="M36" s="87"/>
      <c r="N36" s="87"/>
    </row>
    <row r="37" spans="1:15" x14ac:dyDescent="0.4">
      <c r="A37" s="83">
        <v>22</v>
      </c>
      <c r="B37" s="83" t="s">
        <v>107</v>
      </c>
      <c r="D37" s="83"/>
      <c r="E37" s="83"/>
      <c r="F37" s="83"/>
      <c r="G37" s="81" t="s">
        <v>109</v>
      </c>
      <c r="H37" s="83">
        <v>0</v>
      </c>
      <c r="I37" s="83">
        <v>10</v>
      </c>
      <c r="J37" s="83">
        <f>H37*I37</f>
        <v>0</v>
      </c>
      <c r="K37" s="81" t="s">
        <v>109</v>
      </c>
      <c r="L37" s="87">
        <f>L33-H37</f>
        <v>60</v>
      </c>
      <c r="M37" s="87">
        <f>M33</f>
        <v>10</v>
      </c>
      <c r="N37" s="87">
        <f>L37*M37</f>
        <v>600</v>
      </c>
    </row>
    <row r="38" spans="1:15" x14ac:dyDescent="0.4">
      <c r="A38" s="83"/>
      <c r="B38" s="83"/>
      <c r="D38" s="83"/>
      <c r="E38" s="83"/>
      <c r="F38" s="83"/>
      <c r="G38" s="81" t="s">
        <v>106</v>
      </c>
      <c r="H38" s="83">
        <v>0</v>
      </c>
      <c r="I38" s="83">
        <v>12</v>
      </c>
      <c r="J38" s="83">
        <f>H38*I38</f>
        <v>0</v>
      </c>
      <c r="K38" s="81" t="s">
        <v>106</v>
      </c>
      <c r="L38" s="87">
        <f>L34-H38</f>
        <v>10</v>
      </c>
      <c r="M38" s="87">
        <f>M34</f>
        <v>12</v>
      </c>
      <c r="N38" s="87">
        <f>L38*M38</f>
        <v>120</v>
      </c>
    </row>
    <row r="39" spans="1:15" x14ac:dyDescent="0.4">
      <c r="A39" s="83"/>
      <c r="B39" s="83"/>
      <c r="D39" s="83"/>
      <c r="E39" s="83"/>
      <c r="F39" s="83"/>
      <c r="G39" s="81" t="s">
        <v>105</v>
      </c>
      <c r="H39" s="83">
        <v>100</v>
      </c>
      <c r="I39" s="83">
        <v>13</v>
      </c>
      <c r="J39" s="83">
        <f>H39*I39</f>
        <v>1300</v>
      </c>
      <c r="K39" s="81" t="s">
        <v>105</v>
      </c>
      <c r="L39" s="87">
        <f>L35-H39</f>
        <v>20</v>
      </c>
      <c r="M39" s="87">
        <f>M35</f>
        <v>13</v>
      </c>
      <c r="N39" s="87">
        <f>L39*M39</f>
        <v>260</v>
      </c>
    </row>
    <row r="40" spans="1:15" x14ac:dyDescent="0.4">
      <c r="A40" s="83"/>
      <c r="B40" s="83"/>
      <c r="D40" s="83"/>
      <c r="E40" s="83"/>
      <c r="F40" s="83"/>
      <c r="H40" s="83"/>
      <c r="I40" s="83"/>
      <c r="J40" s="83"/>
      <c r="L40" s="87"/>
      <c r="M40" s="87"/>
      <c r="N40" s="87"/>
    </row>
    <row r="41" spans="1:15" x14ac:dyDescent="0.4">
      <c r="A41" s="83">
        <v>28</v>
      </c>
      <c r="B41" s="83" t="s">
        <v>107</v>
      </c>
      <c r="D41" s="83"/>
      <c r="E41" s="83"/>
      <c r="F41" s="83"/>
      <c r="G41" s="81" t="s">
        <v>109</v>
      </c>
      <c r="H41" s="83">
        <v>35</v>
      </c>
      <c r="I41" s="83">
        <v>10</v>
      </c>
      <c r="J41" s="83">
        <f>H41*I41</f>
        <v>350</v>
      </c>
      <c r="L41" s="87">
        <f>L37-H41</f>
        <v>25</v>
      </c>
      <c r="M41" s="87">
        <f>M37</f>
        <v>10</v>
      </c>
      <c r="N41" s="87">
        <f>L41*M41</f>
        <v>250</v>
      </c>
    </row>
    <row r="42" spans="1:15" x14ac:dyDescent="0.4">
      <c r="A42" s="83"/>
      <c r="B42" s="83"/>
      <c r="D42" s="83"/>
      <c r="E42" s="83"/>
      <c r="F42" s="83"/>
      <c r="G42" s="81" t="s">
        <v>106</v>
      </c>
      <c r="H42" s="83">
        <v>10</v>
      </c>
      <c r="I42" s="83">
        <v>12</v>
      </c>
      <c r="J42" s="83">
        <f>H42*I42</f>
        <v>120</v>
      </c>
      <c r="L42" s="87">
        <f>L38-H42</f>
        <v>0</v>
      </c>
      <c r="M42" s="87">
        <f>M38</f>
        <v>12</v>
      </c>
      <c r="N42" s="87">
        <f>L42*M42</f>
        <v>0</v>
      </c>
    </row>
    <row r="43" spans="1:15" x14ac:dyDescent="0.4">
      <c r="G43" s="81" t="s">
        <v>105</v>
      </c>
      <c r="H43" s="83">
        <v>20</v>
      </c>
      <c r="I43" s="83">
        <v>13</v>
      </c>
      <c r="J43" s="83">
        <f>H43*I43</f>
        <v>260</v>
      </c>
      <c r="L43" s="87">
        <f>L39-H43</f>
        <v>0</v>
      </c>
      <c r="M43" s="87">
        <f>M39</f>
        <v>13</v>
      </c>
      <c r="N43" s="87">
        <f>L43*M43</f>
        <v>0</v>
      </c>
    </row>
    <row r="45" spans="1:15" x14ac:dyDescent="0.4">
      <c r="J45" s="80">
        <f>SUM(J30:J43)</f>
        <v>2990</v>
      </c>
      <c r="K45" s="81" t="s">
        <v>93</v>
      </c>
      <c r="N45" s="80">
        <f>N41</f>
        <v>250</v>
      </c>
      <c r="O45" s="81" t="s">
        <v>92</v>
      </c>
    </row>
    <row r="46" spans="1:15" x14ac:dyDescent="0.4">
      <c r="A46" s="81" t="s">
        <v>110</v>
      </c>
    </row>
    <row r="47" spans="1:15" x14ac:dyDescent="0.4">
      <c r="A47" s="83"/>
      <c r="B47" s="83"/>
      <c r="D47" s="83"/>
      <c r="E47" s="83" t="s">
        <v>97</v>
      </c>
      <c r="F47" s="83"/>
      <c r="H47" s="83"/>
      <c r="I47" s="83" t="s">
        <v>62</v>
      </c>
      <c r="J47" s="83"/>
      <c r="L47" s="83"/>
      <c r="M47" s="83" t="s">
        <v>98</v>
      </c>
      <c r="N47" s="83"/>
    </row>
    <row r="48" spans="1:15" x14ac:dyDescent="0.4">
      <c r="A48" s="83" t="s">
        <v>47</v>
      </c>
      <c r="B48" s="83" t="s">
        <v>99</v>
      </c>
      <c r="D48" s="83" t="s">
        <v>100</v>
      </c>
      <c r="E48" s="83" t="s">
        <v>101</v>
      </c>
      <c r="F48" s="83" t="s">
        <v>102</v>
      </c>
      <c r="H48" s="83" t="s">
        <v>100</v>
      </c>
      <c r="I48" s="83" t="s">
        <v>101</v>
      </c>
      <c r="J48" s="83" t="s">
        <v>102</v>
      </c>
      <c r="L48" s="83" t="s">
        <v>100</v>
      </c>
      <c r="M48" s="83" t="s">
        <v>101</v>
      </c>
      <c r="N48" s="83" t="s">
        <v>102</v>
      </c>
    </row>
    <row r="49" spans="1:14" x14ac:dyDescent="0.4">
      <c r="A49" s="85">
        <v>37104</v>
      </c>
      <c r="B49" s="83" t="s">
        <v>103</v>
      </c>
      <c r="D49" s="83"/>
      <c r="E49" s="83"/>
      <c r="F49" s="83"/>
      <c r="H49" s="83"/>
      <c r="I49" s="83"/>
      <c r="J49" s="83"/>
      <c r="L49" s="83">
        <v>60</v>
      </c>
      <c r="M49" s="83">
        <v>10</v>
      </c>
      <c r="N49" s="83">
        <f>L49*M49</f>
        <v>600</v>
      </c>
    </row>
    <row r="50" spans="1:14" x14ac:dyDescent="0.4">
      <c r="A50" s="83"/>
      <c r="B50" s="83"/>
      <c r="D50" s="83"/>
      <c r="E50" s="83"/>
      <c r="F50" s="83"/>
      <c r="H50" s="83"/>
      <c r="I50" s="83"/>
      <c r="J50" s="83"/>
      <c r="L50" s="83"/>
      <c r="M50" s="83"/>
      <c r="N50" s="83"/>
    </row>
    <row r="51" spans="1:14" x14ac:dyDescent="0.4">
      <c r="A51" s="83">
        <v>12</v>
      </c>
      <c r="B51" s="83"/>
      <c r="D51" s="83">
        <v>90</v>
      </c>
      <c r="E51" s="83">
        <v>12</v>
      </c>
      <c r="F51" s="83">
        <f>D51*E51</f>
        <v>1080</v>
      </c>
      <c r="H51" s="83"/>
      <c r="I51" s="83"/>
      <c r="J51" s="83"/>
      <c r="L51" s="83">
        <f>L49+D51</f>
        <v>150</v>
      </c>
      <c r="M51" s="83">
        <f>N51/L51</f>
        <v>11.2</v>
      </c>
      <c r="N51" s="83">
        <f>N49+F51</f>
        <v>1680</v>
      </c>
    </row>
    <row r="52" spans="1:14" x14ac:dyDescent="0.4">
      <c r="A52" s="83"/>
      <c r="B52" s="83"/>
      <c r="D52" s="83"/>
      <c r="E52" s="83"/>
      <c r="F52" s="83"/>
      <c r="H52" s="83"/>
      <c r="I52" s="83"/>
      <c r="J52" s="83"/>
      <c r="L52" s="83"/>
      <c r="M52" s="83" t="s">
        <v>169</v>
      </c>
      <c r="N52" s="83"/>
    </row>
    <row r="53" spans="1:14" x14ac:dyDescent="0.4">
      <c r="A53" s="83">
        <v>15</v>
      </c>
      <c r="B53" s="83"/>
      <c r="D53" s="83"/>
      <c r="E53" s="83"/>
      <c r="F53" s="83"/>
      <c r="H53" s="83">
        <v>80</v>
      </c>
      <c r="I53" s="83" t="s">
        <v>169</v>
      </c>
      <c r="J53" s="83">
        <f>H53*M51</f>
        <v>896</v>
      </c>
      <c r="L53" s="83">
        <f>L51-H53</f>
        <v>70</v>
      </c>
      <c r="M53" s="83" t="s">
        <v>170</v>
      </c>
      <c r="N53" s="83">
        <f>N51-J53</f>
        <v>784</v>
      </c>
    </row>
    <row r="54" spans="1:14" x14ac:dyDescent="0.4">
      <c r="A54" s="83"/>
      <c r="B54" s="83"/>
      <c r="D54" s="83"/>
      <c r="E54" s="83"/>
      <c r="F54" s="83"/>
      <c r="H54" s="83"/>
      <c r="I54" s="83"/>
      <c r="J54" s="83"/>
      <c r="L54" s="83"/>
      <c r="M54" s="83"/>
      <c r="N54" s="83"/>
    </row>
    <row r="55" spans="1:14" x14ac:dyDescent="0.4">
      <c r="A55" s="83">
        <v>21</v>
      </c>
      <c r="B55" s="83"/>
      <c r="D55" s="83">
        <v>120</v>
      </c>
      <c r="E55" s="83">
        <v>13</v>
      </c>
      <c r="F55" s="83">
        <f>D55*E55</f>
        <v>1560</v>
      </c>
      <c r="H55" s="83"/>
      <c r="I55" s="83"/>
      <c r="J55" s="83"/>
      <c r="L55" s="83">
        <f>L53+D55</f>
        <v>190</v>
      </c>
      <c r="M55" s="83" t="s">
        <v>171</v>
      </c>
      <c r="N55" s="83">
        <f>N53+F55</f>
        <v>2344</v>
      </c>
    </row>
    <row r="56" spans="1:14" x14ac:dyDescent="0.4">
      <c r="A56" s="83"/>
      <c r="B56" s="83"/>
      <c r="D56" s="83"/>
      <c r="E56" s="83"/>
      <c r="F56" s="83"/>
      <c r="H56" s="83"/>
      <c r="I56" s="83"/>
      <c r="J56" s="83"/>
      <c r="L56" s="83"/>
      <c r="M56" s="83"/>
      <c r="N56" s="83"/>
    </row>
    <row r="57" spans="1:14" x14ac:dyDescent="0.4">
      <c r="A57" s="83">
        <v>22</v>
      </c>
      <c r="B57" s="83"/>
      <c r="D57" s="83"/>
      <c r="E57" s="83"/>
      <c r="F57" s="83"/>
      <c r="H57" s="83">
        <v>100</v>
      </c>
      <c r="I57" s="83" t="str">
        <f>M55</f>
        <v>2344/190</v>
      </c>
      <c r="J57" s="89">
        <f>H57*2344/190</f>
        <v>1233.6842105263158</v>
      </c>
      <c r="L57" s="83">
        <f>L55-H57</f>
        <v>90</v>
      </c>
      <c r="M57" s="83" t="s">
        <v>172</v>
      </c>
      <c r="N57" s="89">
        <f>N55-J57</f>
        <v>1110.3157894736842</v>
      </c>
    </row>
    <row r="58" spans="1:14" x14ac:dyDescent="0.4">
      <c r="A58" s="83"/>
      <c r="B58" s="83"/>
      <c r="D58" s="83"/>
      <c r="E58" s="83"/>
      <c r="F58" s="83"/>
      <c r="H58" s="83"/>
      <c r="I58" s="83"/>
      <c r="J58" s="83"/>
      <c r="L58" s="83"/>
      <c r="M58" s="83"/>
      <c r="N58" s="83"/>
    </row>
    <row r="59" spans="1:14" x14ac:dyDescent="0.4">
      <c r="A59" s="83">
        <v>28</v>
      </c>
      <c r="B59" s="83"/>
      <c r="D59" s="83"/>
      <c r="E59" s="83"/>
      <c r="F59" s="83"/>
      <c r="H59" s="83">
        <v>65</v>
      </c>
      <c r="I59" s="83" t="str">
        <f>M57</f>
        <v>1110.32/90</v>
      </c>
      <c r="J59" s="83">
        <f>H59*1110.32/90</f>
        <v>801.89777777777783</v>
      </c>
      <c r="L59" s="83">
        <f>L57-H59</f>
        <v>25</v>
      </c>
      <c r="M59" s="83" t="s">
        <v>173</v>
      </c>
      <c r="N59" s="89">
        <f>N57-J59</f>
        <v>308.41801169590633</v>
      </c>
    </row>
    <row r="60" spans="1:14" x14ac:dyDescent="0.4">
      <c r="A60" s="83"/>
      <c r="B60" s="83"/>
      <c r="D60" s="83"/>
      <c r="E60" s="83"/>
      <c r="F60" s="83"/>
      <c r="H60" s="83"/>
      <c r="I60" s="83"/>
      <c r="J60" s="83"/>
      <c r="L60" s="83"/>
      <c r="M60" s="83"/>
      <c r="N60" s="83"/>
    </row>
    <row r="63" spans="1:14" x14ac:dyDescent="0.4">
      <c r="A63" s="81" t="s">
        <v>111</v>
      </c>
    </row>
    <row r="64" spans="1:14" x14ac:dyDescent="0.4">
      <c r="A64" s="83"/>
      <c r="B64" s="83"/>
      <c r="D64" s="83"/>
      <c r="E64" s="83" t="s">
        <v>97</v>
      </c>
      <c r="F64" s="83"/>
      <c r="H64" s="83"/>
      <c r="I64" s="83" t="s">
        <v>62</v>
      </c>
      <c r="J64" s="83"/>
      <c r="L64" s="83"/>
      <c r="M64" s="83" t="s">
        <v>98</v>
      </c>
      <c r="N64" s="83"/>
    </row>
    <row r="65" spans="1:14" x14ac:dyDescent="0.4">
      <c r="A65" s="83" t="s">
        <v>47</v>
      </c>
      <c r="B65" s="83" t="s">
        <v>99</v>
      </c>
      <c r="D65" s="83" t="s">
        <v>100</v>
      </c>
      <c r="E65" s="83" t="s">
        <v>101</v>
      </c>
      <c r="F65" s="83" t="s">
        <v>102</v>
      </c>
      <c r="H65" s="83" t="s">
        <v>100</v>
      </c>
      <c r="I65" s="83" t="s">
        <v>101</v>
      </c>
      <c r="J65" s="83" t="s">
        <v>102</v>
      </c>
      <c r="L65" s="83" t="s">
        <v>100</v>
      </c>
      <c r="M65" s="83" t="s">
        <v>101</v>
      </c>
      <c r="N65" s="83" t="s">
        <v>102</v>
      </c>
    </row>
    <row r="66" spans="1:14" x14ac:dyDescent="0.4">
      <c r="A66" s="85">
        <v>37104</v>
      </c>
      <c r="B66" s="83" t="s">
        <v>103</v>
      </c>
      <c r="D66" s="83"/>
      <c r="E66" s="83"/>
      <c r="F66" s="83"/>
      <c r="H66" s="83"/>
      <c r="I66" s="83"/>
      <c r="J66" s="83"/>
      <c r="L66" s="83">
        <v>60</v>
      </c>
      <c r="M66" s="83">
        <v>10</v>
      </c>
      <c r="N66" s="83">
        <f>L66*M66</f>
        <v>600</v>
      </c>
    </row>
    <row r="67" spans="1:14" x14ac:dyDescent="0.4">
      <c r="A67" s="83"/>
      <c r="B67" s="83"/>
      <c r="D67" s="83"/>
      <c r="E67" s="83"/>
      <c r="F67" s="83"/>
      <c r="H67" s="83"/>
      <c r="I67" s="83"/>
      <c r="J67" s="83"/>
      <c r="L67" s="83"/>
      <c r="M67" s="83"/>
      <c r="N67" s="83"/>
    </row>
    <row r="68" spans="1:14" x14ac:dyDescent="0.4">
      <c r="A68" s="83">
        <v>12</v>
      </c>
      <c r="B68" s="83"/>
      <c r="D68" s="83">
        <v>90</v>
      </c>
      <c r="E68" s="83">
        <v>12</v>
      </c>
      <c r="F68" s="83">
        <f>D68*E68</f>
        <v>1080</v>
      </c>
      <c r="H68" s="83"/>
      <c r="I68" s="83"/>
      <c r="J68" s="83"/>
      <c r="L68" s="83">
        <f>L66</f>
        <v>60</v>
      </c>
      <c r="M68" s="83">
        <f>M66</f>
        <v>10</v>
      </c>
      <c r="N68" s="83">
        <f>L68*M68</f>
        <v>600</v>
      </c>
    </row>
    <row r="69" spans="1:14" x14ac:dyDescent="0.4">
      <c r="A69" s="83"/>
      <c r="B69" s="83"/>
      <c r="D69" s="83"/>
      <c r="E69" s="83"/>
      <c r="F69" s="83"/>
      <c r="H69" s="83"/>
      <c r="I69" s="83"/>
      <c r="J69" s="83"/>
      <c r="L69" s="83">
        <v>90</v>
      </c>
      <c r="M69" s="83">
        <v>12</v>
      </c>
      <c r="N69" s="83">
        <f>L69*M69</f>
        <v>1080</v>
      </c>
    </row>
    <row r="70" spans="1:14" x14ac:dyDescent="0.4">
      <c r="A70" s="83">
        <v>15</v>
      </c>
      <c r="B70" s="83"/>
      <c r="D70" s="83"/>
      <c r="E70" s="83"/>
      <c r="F70" s="83"/>
      <c r="H70" s="83">
        <v>80</v>
      </c>
      <c r="I70" s="83"/>
      <c r="J70" s="83"/>
      <c r="L70" s="83"/>
      <c r="M70" s="83"/>
      <c r="N70" s="83"/>
    </row>
    <row r="71" spans="1:14" x14ac:dyDescent="0.4">
      <c r="A71" s="83"/>
      <c r="B71" s="83"/>
      <c r="D71" s="83"/>
      <c r="E71" s="83"/>
      <c r="F71" s="83"/>
      <c r="H71" s="83"/>
      <c r="I71" s="83"/>
      <c r="J71" s="83"/>
      <c r="L71" s="83"/>
      <c r="M71" s="83"/>
      <c r="N71" s="83"/>
    </row>
    <row r="72" spans="1:14" x14ac:dyDescent="0.4">
      <c r="A72" s="83"/>
      <c r="B72" s="83"/>
      <c r="D72" s="83"/>
      <c r="E72" s="83"/>
      <c r="F72" s="83"/>
      <c r="H72" s="83"/>
      <c r="I72" s="83"/>
      <c r="J72" s="83"/>
      <c r="L72" s="83"/>
      <c r="M72" s="83"/>
      <c r="N72" s="83"/>
    </row>
    <row r="73" spans="1:14" x14ac:dyDescent="0.4">
      <c r="A73" s="83">
        <v>21</v>
      </c>
      <c r="B73" s="83"/>
      <c r="D73" s="83">
        <v>120</v>
      </c>
      <c r="E73" s="83">
        <v>13</v>
      </c>
      <c r="F73" s="83">
        <f>D73*E73</f>
        <v>1560</v>
      </c>
      <c r="H73" s="83"/>
      <c r="I73" s="83"/>
      <c r="J73" s="83"/>
      <c r="L73" s="83"/>
      <c r="M73" s="83"/>
      <c r="N73" s="83"/>
    </row>
    <row r="74" spans="1:14" x14ac:dyDescent="0.4">
      <c r="A74" s="83"/>
      <c r="B74" s="83"/>
      <c r="D74" s="83"/>
      <c r="E74" s="83"/>
      <c r="F74" s="83"/>
      <c r="H74" s="83"/>
      <c r="I74" s="83"/>
      <c r="J74" s="83"/>
      <c r="L74" s="83"/>
      <c r="M74" s="83"/>
      <c r="N74" s="83"/>
    </row>
    <row r="75" spans="1:14" x14ac:dyDescent="0.4">
      <c r="A75" s="83"/>
      <c r="B75" s="83"/>
      <c r="D75" s="83"/>
      <c r="E75" s="83"/>
      <c r="F75" s="83"/>
      <c r="H75" s="83"/>
      <c r="I75" s="83"/>
      <c r="J75" s="83"/>
      <c r="L75" s="83"/>
      <c r="M75" s="83"/>
      <c r="N75" s="83"/>
    </row>
    <row r="76" spans="1:14" x14ac:dyDescent="0.4">
      <c r="A76" s="83">
        <v>22</v>
      </c>
      <c r="B76" s="83"/>
      <c r="D76" s="83"/>
      <c r="E76" s="83"/>
      <c r="F76" s="83"/>
      <c r="H76" s="83">
        <v>100</v>
      </c>
      <c r="I76" s="83"/>
      <c r="J76" s="83"/>
      <c r="L76" s="83"/>
      <c r="M76" s="83"/>
      <c r="N76" s="83"/>
    </row>
    <row r="77" spans="1:14" x14ac:dyDescent="0.4">
      <c r="A77" s="83">
        <v>28</v>
      </c>
      <c r="B77" s="83"/>
      <c r="D77" s="83"/>
      <c r="E77" s="83"/>
      <c r="F77" s="83"/>
      <c r="H77" s="83">
        <v>65</v>
      </c>
      <c r="I77" s="83"/>
      <c r="J77" s="83"/>
      <c r="L77" s="83"/>
      <c r="M77" s="83"/>
      <c r="N77" s="83"/>
    </row>
    <row r="78" spans="1:14" x14ac:dyDescent="0.4">
      <c r="I78" s="83"/>
      <c r="J78" s="83"/>
      <c r="L78" s="83">
        <v>5</v>
      </c>
      <c r="M78" s="83">
        <v>10</v>
      </c>
      <c r="N78" s="83">
        <f>L78*M78</f>
        <v>50</v>
      </c>
    </row>
    <row r="79" spans="1:14" x14ac:dyDescent="0.4">
      <c r="B79" s="83"/>
      <c r="D79" s="83"/>
      <c r="E79" s="83"/>
      <c r="F79" s="83"/>
      <c r="I79" s="83"/>
      <c r="J79" s="83"/>
      <c r="L79" s="83">
        <v>12</v>
      </c>
      <c r="M79" s="83">
        <v>12</v>
      </c>
      <c r="N79" s="83">
        <f t="shared" ref="N79:N80" si="7">L79*M79</f>
        <v>144</v>
      </c>
    </row>
    <row r="80" spans="1:14" x14ac:dyDescent="0.4">
      <c r="A80" s="83"/>
      <c r="B80" s="83"/>
      <c r="D80" s="83"/>
      <c r="E80" s="83"/>
      <c r="F80" s="83"/>
      <c r="H80" s="83"/>
      <c r="I80" s="83"/>
      <c r="J80" s="83"/>
      <c r="L80" s="83">
        <v>8</v>
      </c>
      <c r="M80" s="83">
        <v>13</v>
      </c>
      <c r="N80" s="83">
        <f t="shared" si="7"/>
        <v>104</v>
      </c>
    </row>
    <row r="81" spans="4:14" x14ac:dyDescent="0.4">
      <c r="D81" s="81">
        <f>SUM(D66:D79)</f>
        <v>210</v>
      </c>
      <c r="F81" s="81">
        <f>SUM(F68:F80)</f>
        <v>2640</v>
      </c>
      <c r="H81" s="81">
        <f>SUM(H66:H79)</f>
        <v>245</v>
      </c>
      <c r="J81" s="81">
        <f>N66+F68+F73-N81</f>
        <v>2942</v>
      </c>
      <c r="L81" s="81">
        <f>L66+D81-H81</f>
        <v>25</v>
      </c>
      <c r="N81" s="81">
        <f>SUM(N78:N80)</f>
        <v>298</v>
      </c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68DD-EF48-46C0-9B73-3B7507204614}">
  <dimension ref="B20:E52"/>
  <sheetViews>
    <sheetView zoomScale="145" zoomScaleNormal="145" workbookViewId="0">
      <selection activeCell="O19" sqref="O19"/>
    </sheetView>
  </sheetViews>
  <sheetFormatPr defaultRowHeight="15" x14ac:dyDescent="0.25"/>
  <cols>
    <col min="4" max="4" width="10.85546875" customWidth="1"/>
  </cols>
  <sheetData>
    <row r="20" spans="2:5" x14ac:dyDescent="0.25">
      <c r="B20" s="102" t="s">
        <v>187</v>
      </c>
    </row>
    <row r="21" spans="2:5" x14ac:dyDescent="0.25">
      <c r="B21" t="s">
        <v>188</v>
      </c>
    </row>
    <row r="22" spans="2:5" x14ac:dyDescent="0.25">
      <c r="B22" s="102" t="s">
        <v>189</v>
      </c>
    </row>
    <row r="24" spans="2:5" x14ac:dyDescent="0.25">
      <c r="B24" t="s">
        <v>190</v>
      </c>
    </row>
    <row r="25" spans="2:5" x14ac:dyDescent="0.25">
      <c r="B25" t="s">
        <v>100</v>
      </c>
      <c r="C25" t="s">
        <v>191</v>
      </c>
      <c r="D25" t="s">
        <v>46</v>
      </c>
    </row>
    <row r="26" spans="2:5" x14ac:dyDescent="0.25">
      <c r="B26">
        <v>19500</v>
      </c>
      <c r="C26" s="100">
        <v>31</v>
      </c>
      <c r="D26" s="100">
        <v>604500</v>
      </c>
    </row>
    <row r="27" spans="2:5" x14ac:dyDescent="0.25">
      <c r="B27">
        <v>7500</v>
      </c>
      <c r="C27" s="100">
        <v>30</v>
      </c>
      <c r="D27" s="100">
        <v>225000</v>
      </c>
    </row>
    <row r="28" spans="2:5" ht="15.75" thickBot="1" x14ac:dyDescent="0.3">
      <c r="B28" s="99">
        <v>27000</v>
      </c>
      <c r="D28" s="101">
        <v>829500</v>
      </c>
      <c r="E28" s="64" t="s">
        <v>192</v>
      </c>
    </row>
    <row r="30" spans="2:5" x14ac:dyDescent="0.25">
      <c r="B30" s="64" t="s">
        <v>193</v>
      </c>
    </row>
    <row r="32" spans="2:5" x14ac:dyDescent="0.25">
      <c r="B32" s="102" t="s">
        <v>194</v>
      </c>
    </row>
    <row r="33" spans="2:5" x14ac:dyDescent="0.25">
      <c r="B33" t="s">
        <v>188</v>
      </c>
    </row>
    <row r="34" spans="2:5" x14ac:dyDescent="0.25">
      <c r="B34" s="102" t="s">
        <v>195</v>
      </c>
    </row>
    <row r="36" spans="2:5" x14ac:dyDescent="0.25">
      <c r="B36" t="s">
        <v>190</v>
      </c>
    </row>
    <row r="37" spans="2:5" x14ac:dyDescent="0.25">
      <c r="B37" t="s">
        <v>100</v>
      </c>
      <c r="C37" t="s">
        <v>191</v>
      </c>
      <c r="D37" t="s">
        <v>46</v>
      </c>
    </row>
    <row r="38" spans="2:5" x14ac:dyDescent="0.25">
      <c r="B38">
        <v>13500</v>
      </c>
      <c r="C38" s="100">
        <v>27</v>
      </c>
      <c r="D38" s="100">
        <v>364500</v>
      </c>
    </row>
    <row r="39" spans="2:5" x14ac:dyDescent="0.25">
      <c r="B39">
        <v>12750</v>
      </c>
      <c r="C39" s="100">
        <v>28</v>
      </c>
      <c r="D39" s="100">
        <v>357000</v>
      </c>
    </row>
    <row r="40" spans="2:5" x14ac:dyDescent="0.25">
      <c r="B40">
        <v>750</v>
      </c>
      <c r="C40" s="100">
        <v>30</v>
      </c>
      <c r="D40" s="100">
        <v>22500</v>
      </c>
    </row>
    <row r="41" spans="2:5" ht="15.75" thickBot="1" x14ac:dyDescent="0.3">
      <c r="B41" s="99">
        <v>27000</v>
      </c>
      <c r="D41" s="101">
        <v>744000</v>
      </c>
      <c r="E41" s="64" t="s">
        <v>192</v>
      </c>
    </row>
    <row r="43" spans="2:5" x14ac:dyDescent="0.25">
      <c r="B43" s="64" t="s">
        <v>196</v>
      </c>
    </row>
    <row r="45" spans="2:5" x14ac:dyDescent="0.25">
      <c r="B45" s="102" t="s">
        <v>197</v>
      </c>
    </row>
    <row r="47" spans="2:5" x14ac:dyDescent="0.25">
      <c r="B47" t="s">
        <v>198</v>
      </c>
    </row>
    <row r="48" spans="2:5" x14ac:dyDescent="0.25">
      <c r="B48" t="s">
        <v>199</v>
      </c>
    </row>
    <row r="49" spans="2:2" x14ac:dyDescent="0.25">
      <c r="B49" t="s">
        <v>200</v>
      </c>
    </row>
    <row r="51" spans="2:2" x14ac:dyDescent="0.25">
      <c r="B51" s="64" t="s">
        <v>201</v>
      </c>
    </row>
    <row r="52" spans="2:2" x14ac:dyDescent="0.25">
      <c r="B52" s="64" t="s">
        <v>202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System</vt:lpstr>
      <vt:lpstr>System (2)</vt:lpstr>
      <vt:lpstr>Key Concepts</vt:lpstr>
      <vt:lpstr>Ex 6.7</vt:lpstr>
      <vt:lpstr>Ex 6.8</vt:lpstr>
      <vt:lpstr>Ex 13.5Q</vt:lpstr>
      <vt:lpstr>P 13.16</vt:lpstr>
      <vt:lpstr>P 7.21</vt:lpstr>
      <vt:lpstr>ANSWERS</vt:lpstr>
      <vt:lpstr>Ex 13.5A</vt:lpstr>
      <vt:lpstr>Ex 6.8 (A)</vt:lpstr>
      <vt:lpstr>P 13.16 (A)</vt:lpstr>
      <vt:lpstr>Ex 13.5(A)</vt:lpstr>
      <vt:lpstr>Ex 13.2 (A)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Manek Mukesh</dc:creator>
  <cp:lastModifiedBy>Joseph Koh</cp:lastModifiedBy>
  <dcterms:created xsi:type="dcterms:W3CDTF">2025-04-16T00:58:25Z</dcterms:created>
  <dcterms:modified xsi:type="dcterms:W3CDTF">2026-05-13T06:14:07Z</dcterms:modified>
</cp:coreProperties>
</file>