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lym\Desktop\Manek\Notes\SIM\UOW\2025 UOW\Learning Material\2025 Tutorials\"/>
    </mc:Choice>
  </mc:AlternateContent>
  <xr:revisionPtr revIDLastSave="0" documentId="13_ncr:1_{1BE7909F-A0F3-4ECF-97F4-5F7A97B5C3AC}" xr6:coauthVersionLast="47" xr6:coauthVersionMax="47" xr10:uidLastSave="{00000000-0000-0000-0000-000000000000}"/>
  <bookViews>
    <workbookView xWindow="-110" yWindow="-110" windowWidth="38620" windowHeight="21100" tabRatio="802" firstSheet="1" activeTab="5" xr2:uid="{98A3E0AE-1528-4E92-82CE-4DA2D69F6A7C}"/>
  </bookViews>
  <sheets>
    <sheet name="System" sheetId="4" r:id="rId1"/>
    <sheet name="System (2)" sheetId="5" r:id="rId2"/>
    <sheet name="Ex 3.5" sheetId="1" r:id="rId3"/>
    <sheet name="Ex 3.13" sheetId="2" r:id="rId4"/>
    <sheet name="P3.16" sheetId="3" r:id="rId5"/>
    <sheet name="P3.17" sheetId="6" r:id="rId6"/>
    <sheet name="ANSWERS" sheetId="7" r:id="rId7"/>
    <sheet name="Ex 3.5 (2)" sheetId="8" r:id="rId8"/>
    <sheet name="Ex 3.13 (2)" sheetId="9" r:id="rId9"/>
    <sheet name="P3.17 (2)" sheetId="10" r:id="rId10"/>
    <sheet name="P3.17 (3)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6" l="1"/>
  <c r="D22" i="6"/>
  <c r="C20" i="6"/>
  <c r="D20" i="6"/>
  <c r="F20" i="6"/>
  <c r="G20" i="6"/>
  <c r="H20" i="6"/>
  <c r="I20" i="6"/>
  <c r="J20" i="6"/>
  <c r="B20" i="6"/>
  <c r="C23" i="9"/>
  <c r="B23" i="9"/>
  <c r="G22" i="9"/>
  <c r="G21" i="9"/>
  <c r="G20" i="9"/>
  <c r="H19" i="9"/>
  <c r="G18" i="9"/>
  <c r="H17" i="9"/>
  <c r="H16" i="9"/>
  <c r="H15" i="9"/>
  <c r="H14" i="9"/>
  <c r="H23" i="9" s="1"/>
  <c r="G13" i="9"/>
  <c r="G12" i="9"/>
  <c r="G11" i="9"/>
  <c r="G9" i="9"/>
  <c r="G23" i="9" s="1"/>
  <c r="J19" i="3"/>
  <c r="C19" i="3"/>
  <c r="D19" i="3"/>
  <c r="E19" i="3"/>
  <c r="G19" i="3"/>
  <c r="I19" i="3"/>
  <c r="B19" i="3"/>
  <c r="B20" i="3" l="1"/>
  <c r="G20" i="3"/>
  <c r="C23" i="2"/>
  <c r="B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tc={907CCE33-C81E-4E2C-AF0C-A5F95EBF5872}</author>
    <author>tc={C2BAD37C-FFA5-4D87-8272-E6E6E1D166CE}</author>
  </authors>
  <commentList>
    <comment ref="G4" authorId="0" shapeId="0" xr:uid="{907CCE33-C81E-4E2C-AF0C-A5F95EBF5872}">
      <text>
        <t>[Threaded comment]
Your version of Excel allows you to read this threaded comment; however, any edits to it will get removed if the file is opened in a newer version of Excel. Learn more: https://go.microsoft.com/fwlink/?linkid=870924
Comment:
    BDA = Balanced Day Adjustments 
Accrual, prepayment, depreciation, bad debt exp etc.</t>
      </text>
    </comment>
    <comment ref="H4" authorId="1" shapeId="0" xr:uid="{C2BAD37C-FFA5-4D87-8272-E6E6E1D16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At end of accounting year; Close books for current year and prepare for next year.</t>
      </text>
    </comment>
  </commentList>
</comments>
</file>

<file path=xl/sharedStrings.xml><?xml version="1.0" encoding="utf-8"?>
<sst xmlns="http://schemas.openxmlformats.org/spreadsheetml/2006/main" count="283" uniqueCount="102">
  <si>
    <t>ASSETS</t>
  </si>
  <si>
    <t>LIABILITY</t>
  </si>
  <si>
    <t>EQUITY</t>
  </si>
  <si>
    <t>BANK</t>
  </si>
  <si>
    <t>AR</t>
  </si>
  <si>
    <t>EQUIP</t>
  </si>
  <si>
    <t>AP</t>
  </si>
  <si>
    <t>CAPITAL</t>
  </si>
  <si>
    <t>PROFIT</t>
  </si>
  <si>
    <t>Rev (Exp)</t>
  </si>
  <si>
    <t>Details</t>
  </si>
  <si>
    <t>June</t>
  </si>
  <si>
    <t>Bal</t>
  </si>
  <si>
    <t xml:space="preserve"> =</t>
  </si>
  <si>
    <t>Promotional exp</t>
  </si>
  <si>
    <t>Salaries exp</t>
  </si>
  <si>
    <t>Service Fees</t>
  </si>
  <si>
    <t xml:space="preserve"> + Debit</t>
  </si>
  <si>
    <t xml:space="preserve"> - Credit</t>
  </si>
  <si>
    <t xml:space="preserve"> + Credit</t>
  </si>
  <si>
    <t xml:space="preserve"> - Debit</t>
  </si>
  <si>
    <t>Account</t>
  </si>
  <si>
    <t>Debit</t>
  </si>
  <si>
    <t>Equipment</t>
  </si>
  <si>
    <t>Service revenue</t>
  </si>
  <si>
    <t>Rent expense</t>
  </si>
  <si>
    <t>Other expense</t>
  </si>
  <si>
    <r>
      <t>Cre</t>
    </r>
    <r>
      <rPr>
        <sz val="10"/>
        <color indexed="62"/>
        <rFont val="Aptos Black"/>
        <family val="2"/>
      </rPr>
      <t>di</t>
    </r>
    <r>
      <rPr>
        <sz val="10"/>
        <color indexed="63"/>
        <rFont val="Aptos Black"/>
        <family val="2"/>
      </rPr>
      <t>t</t>
    </r>
  </si>
  <si>
    <r>
      <t>Cash at ban</t>
    </r>
    <r>
      <rPr>
        <sz val="10"/>
        <color indexed="56"/>
        <rFont val="Aptos Black"/>
        <family val="2"/>
      </rPr>
      <t>k</t>
    </r>
  </si>
  <si>
    <r>
      <t>Accounts payab</t>
    </r>
    <r>
      <rPr>
        <sz val="10"/>
        <color indexed="56"/>
        <rFont val="Aptos Black"/>
        <family val="2"/>
      </rPr>
      <t>l</t>
    </r>
    <r>
      <rPr>
        <sz val="10"/>
        <color indexed="63"/>
        <rFont val="Aptos Black"/>
        <family val="2"/>
      </rPr>
      <t>e</t>
    </r>
  </si>
  <si>
    <r>
      <t>Sa</t>
    </r>
    <r>
      <rPr>
        <sz val="10"/>
        <color indexed="56"/>
        <rFont val="Aptos Black"/>
        <family val="2"/>
      </rPr>
      <t>l</t>
    </r>
    <r>
      <rPr>
        <sz val="10"/>
        <color indexed="63"/>
        <rFont val="Aptos Black"/>
        <family val="2"/>
      </rPr>
      <t>aries payable</t>
    </r>
  </si>
  <si>
    <r>
      <t xml:space="preserve">Mortgage </t>
    </r>
    <r>
      <rPr>
        <sz val="10"/>
        <color indexed="62"/>
        <rFont val="Aptos Black"/>
        <family val="2"/>
      </rPr>
      <t>payable</t>
    </r>
  </si>
  <si>
    <r>
      <t>Sa</t>
    </r>
    <r>
      <rPr>
        <sz val="10"/>
        <color indexed="56"/>
        <rFont val="Aptos Black"/>
        <family val="2"/>
      </rPr>
      <t>l</t>
    </r>
    <r>
      <rPr>
        <sz val="10"/>
        <color indexed="63"/>
        <rFont val="Aptos Black"/>
        <family val="2"/>
      </rPr>
      <t>aries expense</t>
    </r>
  </si>
  <si>
    <r>
      <t>Accounts rece</t>
    </r>
    <r>
      <rPr>
        <sz val="10"/>
        <color indexed="8"/>
        <rFont val="Aptos Black"/>
        <family val="2"/>
      </rPr>
      <t>i</t>
    </r>
    <r>
      <rPr>
        <sz val="10"/>
        <color indexed="63"/>
        <rFont val="Aptos Black"/>
        <family val="2"/>
      </rPr>
      <t>vab</t>
    </r>
    <r>
      <rPr>
        <sz val="10"/>
        <color indexed="8"/>
        <rFont val="Aptos Black"/>
        <family val="2"/>
      </rPr>
      <t>l</t>
    </r>
    <r>
      <rPr>
        <sz val="10"/>
        <color indexed="63"/>
        <rFont val="Aptos Black"/>
        <family val="2"/>
      </rPr>
      <t>e</t>
    </r>
  </si>
  <si>
    <r>
      <t>Supp</t>
    </r>
    <r>
      <rPr>
        <sz val="10"/>
        <color indexed="56"/>
        <rFont val="Aptos Black"/>
        <family val="2"/>
      </rPr>
      <t>l</t>
    </r>
    <r>
      <rPr>
        <sz val="10"/>
        <color indexed="8"/>
        <rFont val="Aptos Black"/>
        <family val="2"/>
      </rPr>
      <t>i</t>
    </r>
    <r>
      <rPr>
        <sz val="10"/>
        <color indexed="63"/>
        <rFont val="Aptos Black"/>
        <family val="2"/>
      </rPr>
      <t>es</t>
    </r>
  </si>
  <si>
    <r>
      <t>Nige</t>
    </r>
    <r>
      <rPr>
        <sz val="10"/>
        <color indexed="8"/>
        <rFont val="Aptos Black"/>
        <family val="2"/>
      </rPr>
      <t xml:space="preserve">l </t>
    </r>
    <r>
      <rPr>
        <sz val="10"/>
        <color indexed="63"/>
        <rFont val="Aptos Black"/>
        <family val="2"/>
      </rPr>
      <t>Mowe</t>
    </r>
    <r>
      <rPr>
        <sz val="10"/>
        <color indexed="62"/>
        <rFont val="Aptos Black"/>
        <family val="2"/>
      </rPr>
      <t>r</t>
    </r>
    <r>
      <rPr>
        <sz val="10"/>
        <color indexed="54"/>
        <rFont val="Aptos Black"/>
        <family val="2"/>
      </rPr>
      <t xml:space="preserve">, </t>
    </r>
    <r>
      <rPr>
        <sz val="10"/>
        <color indexed="63"/>
        <rFont val="Aptos Black"/>
        <family val="2"/>
      </rPr>
      <t>capital</t>
    </r>
  </si>
  <si>
    <r>
      <t>Nige</t>
    </r>
    <r>
      <rPr>
        <sz val="10"/>
        <color indexed="8"/>
        <rFont val="Aptos Black"/>
        <family val="2"/>
      </rPr>
      <t xml:space="preserve">l </t>
    </r>
    <r>
      <rPr>
        <sz val="10"/>
        <color indexed="63"/>
        <rFont val="Aptos Black"/>
        <family val="2"/>
      </rPr>
      <t>Mowe</t>
    </r>
    <r>
      <rPr>
        <sz val="10"/>
        <color indexed="62"/>
        <rFont val="Aptos Black"/>
        <family val="2"/>
      </rPr>
      <t>r</t>
    </r>
    <r>
      <rPr>
        <sz val="10"/>
        <color indexed="54"/>
        <rFont val="Aptos Black"/>
        <family val="2"/>
      </rPr>
      <t xml:space="preserve">, </t>
    </r>
    <r>
      <rPr>
        <sz val="10"/>
        <color indexed="63"/>
        <rFont val="Aptos Black"/>
        <family val="2"/>
      </rPr>
      <t>drawings</t>
    </r>
  </si>
  <si>
    <r>
      <t>NIGEL</t>
    </r>
    <r>
      <rPr>
        <b/>
        <sz val="10"/>
        <color indexed="63"/>
        <rFont val="Arial"/>
        <family val="1"/>
        <charset val="204"/>
      </rPr>
      <t>'</t>
    </r>
    <r>
      <rPr>
        <b/>
        <sz val="10"/>
        <color indexed="8"/>
        <rFont val="Arial"/>
        <family val="1"/>
        <charset val="204"/>
      </rPr>
      <t xml:space="preserve">S GARDENING SERVICES
</t>
    </r>
    <r>
      <rPr>
        <sz val="10"/>
        <color indexed="63"/>
        <rFont val="Arial"/>
        <family val="1"/>
        <charset val="204"/>
      </rPr>
      <t xml:space="preserve">as at 30 </t>
    </r>
    <r>
      <rPr>
        <b/>
        <sz val="10"/>
        <color indexed="63"/>
        <rFont val="Arial"/>
        <family val="1"/>
        <charset val="204"/>
      </rPr>
      <t>J</t>
    </r>
    <r>
      <rPr>
        <b/>
        <sz val="10"/>
        <color indexed="56"/>
        <rFont val="Arial"/>
        <family val="1"/>
        <charset val="204"/>
      </rPr>
      <t>u</t>
    </r>
    <r>
      <rPr>
        <b/>
        <sz val="10"/>
        <color indexed="63"/>
        <rFont val="Arial"/>
        <family val="1"/>
        <charset val="204"/>
      </rPr>
      <t>ne 2</t>
    </r>
    <r>
      <rPr>
        <sz val="10"/>
        <color indexed="63"/>
        <rFont val="Arial"/>
        <family val="1"/>
        <charset val="204"/>
      </rPr>
      <t>025</t>
    </r>
  </si>
  <si>
    <t>CORRECTED TRIAL BALANCE</t>
  </si>
  <si>
    <t>O EQUITY</t>
  </si>
  <si>
    <t>Supplies</t>
  </si>
  <si>
    <t>Loan</t>
  </si>
  <si>
    <t>Capital</t>
  </si>
  <si>
    <t>Profit</t>
  </si>
  <si>
    <t>P 3.16</t>
  </si>
  <si>
    <t>July</t>
  </si>
  <si>
    <t>Balanced Day Adjustments</t>
  </si>
  <si>
    <t>Chapter 5</t>
  </si>
  <si>
    <t>Frequency</t>
  </si>
  <si>
    <t>Chapter 4</t>
  </si>
  <si>
    <t>Objective</t>
  </si>
  <si>
    <t>CLOSING ENTRIES</t>
  </si>
  <si>
    <t>INPUT</t>
  </si>
  <si>
    <t>Transactions</t>
  </si>
  <si>
    <t>Daily</t>
  </si>
  <si>
    <t>BDA</t>
  </si>
  <si>
    <t>Closing Entries</t>
  </si>
  <si>
    <t>↓</t>
  </si>
  <si>
    <t>$ Debit</t>
  </si>
  <si>
    <t>Credit $</t>
  </si>
  <si>
    <t>PROCESS</t>
  </si>
  <si>
    <t>JOURNAL</t>
  </si>
  <si>
    <t>1,2,3,4</t>
  </si>
  <si>
    <t>Reset revenue to 0</t>
  </si>
  <si>
    <t>Revenue</t>
  </si>
  <si>
    <t>$</t>
  </si>
  <si>
    <t>Income Summary</t>
  </si>
  <si>
    <t>LEDGER</t>
  </si>
  <si>
    <t>To reset revenue to 0</t>
  </si>
  <si>
    <t>TRIAL BALANCE</t>
  </si>
  <si>
    <t>Month end</t>
  </si>
  <si>
    <t>Year end</t>
  </si>
  <si>
    <t>Reset expense to 0</t>
  </si>
  <si>
    <t>Unadjusted</t>
  </si>
  <si>
    <t>Adjusted</t>
  </si>
  <si>
    <t>Post closing</t>
  </si>
  <si>
    <t xml:space="preserve">Expense </t>
  </si>
  <si>
    <t>Transition to</t>
  </si>
  <si>
    <t>To reset expense to 0</t>
  </si>
  <si>
    <t>OUTPUT</t>
  </si>
  <si>
    <t>Financial Statements</t>
  </si>
  <si>
    <t>Open accounts for next year</t>
  </si>
  <si>
    <t>BS, IS</t>
  </si>
  <si>
    <t>Transfer Profit to retained earning or capital</t>
  </si>
  <si>
    <t>Capital / Retained Earning</t>
  </si>
  <si>
    <t>(Transfer profit)</t>
  </si>
  <si>
    <t>Transfer drawings to capital</t>
  </si>
  <si>
    <t>Drawings</t>
  </si>
  <si>
    <t>To reset drawing to 0</t>
  </si>
  <si>
    <t>Rent exp</t>
  </si>
  <si>
    <t>Advert exp</t>
  </si>
  <si>
    <t>Insurace exp</t>
  </si>
  <si>
    <t>(Drawings)</t>
  </si>
  <si>
    <t>Telephone exp</t>
  </si>
  <si>
    <t xml:space="preserve"> +</t>
  </si>
  <si>
    <t>Ex 3.5</t>
  </si>
  <si>
    <t>Ex 3.13</t>
  </si>
  <si>
    <t>P3.17</t>
  </si>
  <si>
    <t>CASH</t>
  </si>
  <si>
    <t>TRACTOR</t>
  </si>
  <si>
    <t>August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</si>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</sst>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0"/>
    <numFmt numFmtId="165" formatCode="&quot;$&quot;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rial Black"/>
      <family val="2"/>
    </font>
    <font>
      <b/>
      <sz val="7"/>
      <color indexed="8"/>
      <name val="Arial"/>
      <family val="1"/>
      <charset val="204"/>
    </font>
    <font>
      <sz val="10"/>
      <name val="Aptos Black"/>
      <family val="2"/>
    </font>
    <font>
      <b/>
      <sz val="10"/>
      <color indexed="8"/>
      <name val="Arial"/>
      <family val="1"/>
      <charset val="204"/>
    </font>
    <font>
      <b/>
      <sz val="10"/>
      <color indexed="63"/>
      <name val="Arial"/>
      <family val="1"/>
      <charset val="204"/>
    </font>
    <font>
      <sz val="10"/>
      <color indexed="63"/>
      <name val="Arial"/>
      <family val="1"/>
      <charset val="204"/>
    </font>
    <font>
      <b/>
      <sz val="10"/>
      <color indexed="56"/>
      <name val="Arial"/>
      <family val="1"/>
      <charset val="204"/>
    </font>
    <font>
      <sz val="10"/>
      <color indexed="63"/>
      <name val="Aptos Black"/>
      <family val="2"/>
    </font>
    <font>
      <sz val="10"/>
      <color indexed="62"/>
      <name val="Aptos Black"/>
      <family val="2"/>
    </font>
    <font>
      <sz val="10"/>
      <color indexed="56"/>
      <name val="Aptos Black"/>
      <family val="2"/>
    </font>
    <font>
      <sz val="10"/>
      <color indexed="8"/>
      <name val="Aptos Black"/>
      <family val="2"/>
    </font>
    <font>
      <sz val="10"/>
      <color indexed="54"/>
      <name val="Aptos Black"/>
      <family val="2"/>
    </font>
    <font>
      <u/>
      <sz val="10"/>
      <color indexed="63"/>
      <name val="Aptos Black"/>
      <family val="2"/>
    </font>
    <font>
      <sz val="10"/>
      <name val="Arial Black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4" fillId="0" borderId="0" xfId="0" applyFont="1"/>
    <xf numFmtId="0" fontId="8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 indent="2"/>
    </xf>
    <xf numFmtId="164" fontId="1" fillId="0" borderId="1" xfId="0" applyNumberFormat="1" applyFont="1" applyBorder="1"/>
    <xf numFmtId="0" fontId="1" fillId="0" borderId="1" xfId="0" applyFont="1" applyBorder="1"/>
    <xf numFmtId="0" fontId="8" fillId="0" borderId="2" xfId="0" applyFont="1" applyBorder="1" applyAlignment="1">
      <alignment horizontal="left" vertical="top" wrapText="1" indent="1"/>
    </xf>
    <xf numFmtId="0" fontId="8" fillId="0" borderId="3" xfId="0" applyFont="1" applyBorder="1" applyAlignment="1">
      <alignment horizontal="left" vertical="top" wrapText="1" indent="1"/>
    </xf>
    <xf numFmtId="0" fontId="8" fillId="0" borderId="0" xfId="0" applyFont="1" applyAlignment="1">
      <alignment horizontal="left" vertical="top" wrapText="1" indent="1"/>
    </xf>
    <xf numFmtId="0" fontId="3" fillId="0" borderId="4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right" vertical="top" shrinkToFit="1"/>
    </xf>
    <xf numFmtId="1" fontId="8" fillId="0" borderId="1" xfId="0" applyNumberFormat="1" applyFont="1" applyBorder="1" applyAlignment="1">
      <alignment horizontal="right" vertical="top" shrinkToFit="1"/>
    </xf>
    <xf numFmtId="0" fontId="3" fillId="0" borderId="1" xfId="0" applyFont="1" applyBorder="1" applyAlignment="1">
      <alignment horizontal="left" wrapText="1"/>
    </xf>
    <xf numFmtId="1" fontId="9" fillId="0" borderId="1" xfId="0" applyNumberFormat="1" applyFont="1" applyBorder="1" applyAlignment="1">
      <alignment horizontal="right" vertical="top" shrinkToFit="1"/>
    </xf>
    <xf numFmtId="165" fontId="13" fillId="0" borderId="1" xfId="0" applyNumberFormat="1" applyFont="1" applyBorder="1" applyAlignment="1">
      <alignment horizontal="right" vertical="top" shrinkToFit="1"/>
    </xf>
    <xf numFmtId="0" fontId="8" fillId="0" borderId="5" xfId="0" applyFont="1" applyBorder="1" applyAlignment="1">
      <alignment horizontal="left" vertical="top" wrapText="1" indent="2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wrapText="1"/>
    </xf>
    <xf numFmtId="164" fontId="9" fillId="0" borderId="5" xfId="0" applyNumberFormat="1" applyFont="1" applyBorder="1" applyAlignment="1">
      <alignment horizontal="right" vertical="top" shrinkToFit="1"/>
    </xf>
    <xf numFmtId="1" fontId="9" fillId="0" borderId="5" xfId="0" applyNumberFormat="1" applyFont="1" applyBorder="1" applyAlignment="1">
      <alignment horizontal="right" vertical="top" shrinkToFit="1"/>
    </xf>
    <xf numFmtId="1" fontId="10" fillId="0" borderId="5" xfId="0" applyNumberFormat="1" applyFont="1" applyBorder="1" applyAlignment="1">
      <alignment horizontal="right" vertical="top" shrinkToFit="1"/>
    </xf>
    <xf numFmtId="165" fontId="13" fillId="0" borderId="5" xfId="0" applyNumberFormat="1" applyFont="1" applyBorder="1" applyAlignment="1">
      <alignment horizontal="right" vertical="top" shrinkToFit="1"/>
    </xf>
    <xf numFmtId="0" fontId="8" fillId="0" borderId="6" xfId="0" applyFont="1" applyBorder="1" applyAlignment="1">
      <alignment horizontal="center" vertical="top" wrapText="1"/>
    </xf>
    <xf numFmtId="164" fontId="1" fillId="0" borderId="6" xfId="0" applyNumberFormat="1" applyFont="1" applyBorder="1"/>
    <xf numFmtId="0" fontId="1" fillId="0" borderId="6" xfId="0" applyFont="1" applyBorder="1"/>
    <xf numFmtId="1" fontId="1" fillId="0" borderId="6" xfId="0" applyNumberFormat="1" applyFont="1" applyBorder="1"/>
    <xf numFmtId="0" fontId="0" fillId="0" borderId="7" xfId="0" applyBorder="1"/>
    <xf numFmtId="0" fontId="8" fillId="0" borderId="8" xfId="0" applyFont="1" applyBorder="1" applyAlignment="1">
      <alignment horizontal="center" vertical="top" wrapText="1"/>
    </xf>
    <xf numFmtId="0" fontId="8" fillId="0" borderId="9" xfId="0" applyFont="1" applyBorder="1" applyAlignment="1">
      <alignment horizontal="left" vertical="top" wrapText="1" indent="2"/>
    </xf>
    <xf numFmtId="0" fontId="14" fillId="0" borderId="10" xfId="0" applyFont="1" applyBorder="1" applyAlignment="1">
      <alignment horizontal="left" vertical="center" wrapText="1"/>
    </xf>
    <xf numFmtId="0" fontId="1" fillId="0" borderId="11" xfId="0" applyFont="1" applyBorder="1"/>
    <xf numFmtId="0" fontId="14" fillId="0" borderId="10" xfId="0" applyFont="1" applyBorder="1" applyAlignment="1">
      <alignment horizontal="left" wrapText="1"/>
    </xf>
    <xf numFmtId="0" fontId="14" fillId="0" borderId="11" xfId="0" applyFont="1" applyBorder="1" applyAlignment="1">
      <alignment horizontal="left" wrapText="1"/>
    </xf>
    <xf numFmtId="0" fontId="14" fillId="0" borderId="12" xfId="0" applyFont="1" applyBorder="1" applyAlignment="1">
      <alignment horizontal="left" vertical="center" wrapText="1"/>
    </xf>
    <xf numFmtId="0" fontId="1" fillId="0" borderId="13" xfId="0" applyFont="1" applyBorder="1"/>
    <xf numFmtId="0" fontId="1" fillId="0" borderId="14" xfId="0" applyFont="1" applyBorder="1"/>
    <xf numFmtId="0" fontId="0" fillId="2" borderId="0" xfId="0" applyFill="1"/>
    <xf numFmtId="0" fontId="15" fillId="2" borderId="0" xfId="0" applyFont="1" applyFill="1"/>
    <xf numFmtId="0" fontId="0" fillId="0" borderId="15" xfId="0" applyBorder="1"/>
    <xf numFmtId="0" fontId="0" fillId="0" borderId="16" xfId="0" applyBorder="1"/>
    <xf numFmtId="0" fontId="0" fillId="0" borderId="10" xfId="0" applyBorder="1"/>
    <xf numFmtId="0" fontId="0" fillId="0" borderId="11" xfId="0" applyBorder="1"/>
    <xf numFmtId="0" fontId="0" fillId="4" borderId="17" xfId="0" applyFill="1" applyBorder="1"/>
    <xf numFmtId="0" fontId="0" fillId="5" borderId="0" xfId="0" applyFill="1"/>
    <xf numFmtId="0" fontId="0" fillId="6" borderId="0" xfId="0" applyFill="1"/>
    <xf numFmtId="0" fontId="15" fillId="0" borderId="0" xfId="0" applyFon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4" fillId="0" borderId="0" xfId="0" applyFont="1" applyAlignment="1"/>
    <xf numFmtId="0" fontId="1" fillId="0" borderId="0" xfId="0" applyFont="1" applyFill="1"/>
    <xf numFmtId="0" fontId="0" fillId="0" borderId="0" xfId="0" applyFill="1"/>
    <xf numFmtId="17" fontId="1" fillId="0" borderId="0" xfId="0" applyNumberFormat="1" applyFont="1" applyFill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1" xfId="0" applyBorder="1"/>
  </cellXfs>
  <cellStyles count="1">
    <cellStyle name="Normal" xfId="0" builtinId="0"/>
  </cellStyles>
  <dxfs count="8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416298</xdr:colOff>
      <xdr:row>3</xdr:row>
      <xdr:rowOff>85194</xdr:rowOff>
    </xdr:from>
    <xdr:to>
      <xdr:col>10</xdr:col>
      <xdr:colOff>313283</xdr:colOff>
      <xdr:row>34</xdr:row>
      <xdr:rowOff>64098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6A14BAF-5304-4329-9F3B-00D5E6F08070}"/>
            </a:ext>
          </a:extLst>
        </xdr:cNvPr>
        <xdr:cNvGrpSpPr/>
      </xdr:nvGrpSpPr>
      <xdr:grpSpPr bwMode="auto">
        <a:xfrm>
          <a:off x="1025058" y="636227"/>
          <a:ext cx="5375828" cy="5672912"/>
          <a:chOff x="0" y="78429"/>
          <a:chExt cx="6059328" cy="3928254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2821BFB4-9028-0711-717C-EE1E7750F164}"/>
              </a:ext>
            </a:extLst>
          </xdr:cNvPr>
          <xdr:cNvCxnSpPr>
            <a:cxnSpLocks/>
          </xdr:cNvCxnSpPr>
        </xdr:nvCxnSpPr>
        <xdr:spPr bwMode="auto">
          <a:xfrm flipH="1">
            <a:off x="0" y="417106"/>
            <a:ext cx="5477" cy="2779586"/>
          </a:xfrm>
          <a:prstGeom prst="straightConnector1">
            <a:avLst/>
          </a:prstGeom>
          <a:noFill/>
          <a:ln w="6350" algn="ctr">
            <a:solidFill>
              <a:srgbClr val="4472C4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BBDA1DD2-6023-D73F-7E79-089D7305053A}"/>
              </a:ext>
            </a:extLst>
          </xdr:cNvPr>
          <xdr:cNvGrpSpPr>
            <a:grpSpLocks/>
          </xdr:cNvGrpSpPr>
        </xdr:nvGrpSpPr>
        <xdr:grpSpPr bwMode="auto">
          <a:xfrm>
            <a:off x="7778" y="78429"/>
            <a:ext cx="6051550" cy="3928254"/>
            <a:chOff x="7778" y="78429"/>
            <a:chExt cx="6051550" cy="3928254"/>
          </a:xfrm>
        </xdr:grpSpPr>
        <xdr:sp macro="" textlink="">
          <xdr:nvSpPr>
            <xdr:cNvPr id="5" name="Flowchart: Alternate Process 4">
              <a:extLst>
                <a:ext uri="{FF2B5EF4-FFF2-40B4-BE49-F238E27FC236}">
                  <a16:creationId xmlns:a16="http://schemas.microsoft.com/office/drawing/2014/main" id="{351990A7-9A14-C888-058B-E7407E7072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2989" y="78429"/>
              <a:ext cx="6045200" cy="641350"/>
            </a:xfrm>
            <a:prstGeom prst="flowChartAlternateProcess">
              <a:avLst/>
            </a:prstGeom>
            <a:solidFill>
              <a:srgbClr val="FFFFFF"/>
            </a:solidFill>
            <a:ln w="12700">
              <a:solidFill>
                <a:srgbClr val="70AD47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Transactions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6" name="Flowchart: Alternate Process 5">
              <a:extLst>
                <a:ext uri="{FF2B5EF4-FFF2-40B4-BE49-F238E27FC236}">
                  <a16:creationId xmlns:a16="http://schemas.microsoft.com/office/drawing/2014/main" id="{781F4FCF-2280-0D26-1960-9B02219160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3119542"/>
              <a:ext cx="6048374" cy="887141"/>
            </a:xfrm>
            <a:prstGeom prst="flowChartAlternate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8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Financial Statements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Balance Sheet (Asset = Liability + Owners Equity)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Income Statement (Revenue – Expenses = Profit)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Cashflows ($ Receipts and $ Payments)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  <a:p>
              <a:pPr algn="ctr" eaLnBrk="0" fontAlgn="base" hangingPunct="0"/>
              <a:r>
                <a:rPr lang="en-GB" sz="1000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Statement of Changes in Owners Equity (OE at start + changes = OE at end) – sometimes viewed as a note.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7" name="Flowchart: Predefined Process 6">
              <a:extLst>
                <a:ext uri="{FF2B5EF4-FFF2-40B4-BE49-F238E27FC236}">
                  <a16:creationId xmlns:a16="http://schemas.microsoft.com/office/drawing/2014/main" id="{561E9ED8-9D46-6139-668C-158A389B796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778" y="1550757"/>
              <a:ext cx="6051550" cy="736600"/>
            </a:xfrm>
            <a:prstGeom prst="flowChartPredefinedProcess">
              <a:avLst/>
            </a:prstGeom>
            <a:solidFill>
              <a:srgbClr val="FFFFFF"/>
            </a:solidFill>
            <a:ln w="25400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pPr algn="ctr" eaLnBrk="0" fontAlgn="base" hangingPunct="0"/>
              <a:r>
                <a:rPr lang="en-GB" sz="1400" b="1" kern="1200">
                  <a:solidFill>
                    <a:srgbClr val="000000"/>
                  </a:solidFill>
                  <a:effectLst/>
                  <a:latin typeface="Times New Roman" panose="02020603050405020304" pitchFamily="18" charset="0"/>
                  <a:ea typeface="Times New Roman" panose="02020603050405020304" pitchFamily="18" charset="0"/>
                </a:rPr>
                <a:t>Asset = Liability + Owners Equity</a:t>
              </a:r>
              <a:endParaRPr lang="en-SG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  <xdr:sp macro="" textlink="">
          <xdr:nvSpPr>
            <xdr:cNvPr id="8" name="Arrow: Down 7">
              <a:extLst>
                <a:ext uri="{FF2B5EF4-FFF2-40B4-BE49-F238E27FC236}">
                  <a16:creationId xmlns:a16="http://schemas.microsoft.com/office/drawing/2014/main" id="{54969C71-180A-07C6-72ED-592D1D46E0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2382941"/>
              <a:ext cx="201045" cy="736601"/>
            </a:xfrm>
            <a:prstGeom prst="downArrow">
              <a:avLst>
                <a:gd name="adj1" fmla="val 50000"/>
                <a:gd name="adj2" fmla="val 50005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  <xdr:sp macro="" textlink="">
          <xdr:nvSpPr>
            <xdr:cNvPr id="9" name="Arrow: Down 8">
              <a:extLst>
                <a:ext uri="{FF2B5EF4-FFF2-40B4-BE49-F238E27FC236}">
                  <a16:creationId xmlns:a16="http://schemas.microsoft.com/office/drawing/2014/main" id="{DDEC4D26-632F-CD68-538D-534FC4B4CC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930292" y="729956"/>
              <a:ext cx="206522" cy="736600"/>
            </a:xfrm>
            <a:prstGeom prst="downArrow">
              <a:avLst>
                <a:gd name="adj1" fmla="val 50000"/>
                <a:gd name="adj2" fmla="val 50000"/>
              </a:avLst>
            </a:prstGeom>
            <a:solidFill>
              <a:srgbClr val="FFFFFF"/>
            </a:solidFill>
            <a:ln w="25400" algn="ctr">
              <a:solidFill>
                <a:srgbClr val="F79646"/>
              </a:solidFill>
              <a:miter lim="800000"/>
              <a:headEnd/>
              <a:tailEnd/>
            </a:ln>
          </xdr:spPr>
          <xdr:txBody>
            <a:bodyPr wrap="square" anchor="ctr"/>
            <a:lstStyle/>
            <a:p>
              <a:endParaRPr lang="en-SG"/>
            </a:p>
          </xdr:txBody>
        </xdr:sp>
      </xdr:grpSp>
    </xdr:grpSp>
    <xdr:clientData/>
  </xdr:twoCellAnchor>
  <xdr:twoCellAnchor editAs="oneCell">
    <xdr:from>
      <xdr:col>10</xdr:col>
      <xdr:colOff>603658</xdr:colOff>
      <xdr:row>2</xdr:row>
      <xdr:rowOff>38661</xdr:rowOff>
    </xdr:from>
    <xdr:to>
      <xdr:col>25</xdr:col>
      <xdr:colOff>101853</xdr:colOff>
      <xdr:row>34</xdr:row>
      <xdr:rowOff>19611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0E153D-9C2D-4089-86B6-083E90F71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658" y="406961"/>
          <a:ext cx="8642195" cy="587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290486</xdr:colOff>
      <xdr:row>17</xdr:row>
      <xdr:rowOff>142943</xdr:rowOff>
    </xdr:from>
    <xdr:to>
      <xdr:col>6</xdr:col>
      <xdr:colOff>135223</xdr:colOff>
      <xdr:row>37</xdr:row>
      <xdr:rowOff>6026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1BD991-8692-464D-B03C-1CF4BFFE3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086" y="3292543"/>
          <a:ext cx="3718237" cy="3552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324453</xdr:colOff>
      <xdr:row>3</xdr:row>
      <xdr:rowOff>20025</xdr:rowOff>
    </xdr:from>
    <xdr:to>
      <xdr:col>22</xdr:col>
      <xdr:colOff>194289</xdr:colOff>
      <xdr:row>18</xdr:row>
      <xdr:rowOff>40590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A19688-FD82-0A16-893A-22D223F48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5073" y="673565"/>
          <a:ext cx="7211735" cy="322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361950</xdr:colOff>
      <xdr:row>4</xdr:row>
      <xdr:rowOff>431800</xdr:rowOff>
    </xdr:from>
    <xdr:to>
      <xdr:col>21</xdr:col>
      <xdr:colOff>425450</xdr:colOff>
      <xdr:row>12</xdr:row>
      <xdr:rowOff>3013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F9BBA8A-5359-278E-878C-8E8A51EAD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3050" y="1168400"/>
          <a:ext cx="7378700" cy="142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422895</xdr:colOff>
      <xdr:row>9</xdr:row>
      <xdr:rowOff>172719</xdr:rowOff>
    </xdr:from>
    <xdr:to>
      <xdr:col>25</xdr:col>
      <xdr:colOff>35094</xdr:colOff>
      <xdr:row>21</xdr:row>
      <xdr:rowOff>36894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419426-4A98-139B-DCF7-28E7BEC39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9395" y="1908386"/>
          <a:ext cx="6306158" cy="2467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324453</xdr:colOff>
      <xdr:row>3</xdr:row>
      <xdr:rowOff>20025</xdr:rowOff>
    </xdr:from>
    <xdr:to>
      <xdr:col>22</xdr:col>
      <xdr:colOff>194289</xdr:colOff>
      <xdr:row>18</xdr:row>
      <xdr:rowOff>40590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AE58FE-18B5-4DBB-AC86-DC0391A3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903" y="667725"/>
          <a:ext cx="7185036" cy="31955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361950</xdr:colOff>
      <xdr:row>4</xdr:row>
      <xdr:rowOff>431800</xdr:rowOff>
    </xdr:from>
    <xdr:to>
      <xdr:col>21</xdr:col>
      <xdr:colOff>425450</xdr:colOff>
      <xdr:row>12</xdr:row>
      <xdr:rowOff>3013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E2F1B6-4220-4E93-A1F5-49867D97C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3050" y="920750"/>
          <a:ext cx="7378700" cy="1425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nek Mukesh" id="{C2C51364-1ABA-4FBD-BD4A-41A7CE48DD18}" userId="7baad15b6bef991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2-04-27T08:01:01.46" personId="{C2C51364-1ABA-4FBD-BD4A-41A7CE48DD18}" id="{907CCE33-C81E-4E2C-AF0C-A5F95EBF5872}">
    <text>BDA = Balanced Day Adjustments 
Accrual, prepayment, depreciation, bad debt exp etc.</text>
  </threadedComment>
  <threadedComment ref="H4" dT="2022-04-27T08:03:56.12" personId="{C2C51364-1ABA-4FBD-BD4A-41A7CE48DD18}" id="{C2BAD37C-FFA5-4D87-8272-E6E6E1D166CE}">
    <text>At end of accounting year; Close books for current year and prepare for next year.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1468-06B7-4EAE-81E5-FB432EF125CF}">
  <dimension ref="A1"/>
  <sheetViews>
    <sheetView zoomScale="121" zoomScaleNormal="85" workbookViewId="0">
      <selection activeCell="T36" sqref="T3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0C2FA-7F47-4646-A4FB-C656FFCA9DC7}">
  <dimension ref="B1:O20"/>
  <sheetViews>
    <sheetView topLeftCell="I1" zoomScale="222" zoomScaleNormal="130" workbookViewId="0">
      <selection activeCell="K24" sqref="K24"/>
    </sheetView>
  </sheetViews>
  <sheetFormatPr defaultRowHeight="14.5" x14ac:dyDescent="0.35"/>
  <cols>
    <col min="5" max="5" width="18.81640625" bestFit="1" customWidth="1"/>
    <col min="6" max="6" width="10.453125" customWidth="1"/>
    <col min="7" max="7" width="10.453125" bestFit="1" customWidth="1"/>
    <col min="11" max="11" width="2.08984375" bestFit="1" customWidth="1"/>
    <col min="12" max="12" width="37.453125" bestFit="1" customWidth="1"/>
    <col min="13" max="13" width="22.6328125" bestFit="1" customWidth="1"/>
  </cols>
  <sheetData>
    <row r="1" spans="2:15" x14ac:dyDescent="0.35">
      <c r="G1" t="s">
        <v>46</v>
      </c>
    </row>
    <row r="2" spans="2:15" x14ac:dyDescent="0.35">
      <c r="B2" s="41" t="s">
        <v>47</v>
      </c>
    </row>
    <row r="3" spans="2:15" x14ac:dyDescent="0.35">
      <c r="F3" t="s">
        <v>48</v>
      </c>
      <c r="G3" t="s">
        <v>49</v>
      </c>
      <c r="H3" t="s">
        <v>47</v>
      </c>
      <c r="L3" t="s">
        <v>50</v>
      </c>
      <c r="M3" t="s">
        <v>51</v>
      </c>
    </row>
    <row r="4" spans="2:15" ht="15" thickBot="1" x14ac:dyDescent="0.4">
      <c r="C4" s="41" t="s">
        <v>52</v>
      </c>
      <c r="D4" s="41"/>
      <c r="E4" s="41" t="s">
        <v>53</v>
      </c>
      <c r="F4" t="s">
        <v>54</v>
      </c>
      <c r="G4" t="s">
        <v>55</v>
      </c>
      <c r="H4" t="s">
        <v>56</v>
      </c>
    </row>
    <row r="5" spans="2:15" x14ac:dyDescent="0.35">
      <c r="C5" s="41"/>
      <c r="D5" s="41"/>
      <c r="E5" s="42" t="s">
        <v>57</v>
      </c>
      <c r="M5" s="31"/>
      <c r="N5" s="43" t="s">
        <v>58</v>
      </c>
      <c r="O5" s="44" t="s">
        <v>59</v>
      </c>
    </row>
    <row r="6" spans="2:15" x14ac:dyDescent="0.35">
      <c r="C6" s="54" t="s">
        <v>60</v>
      </c>
      <c r="D6" s="41"/>
      <c r="E6" s="41" t="s">
        <v>61</v>
      </c>
      <c r="F6" t="s">
        <v>54</v>
      </c>
      <c r="H6" s="41" t="s">
        <v>62</v>
      </c>
      <c r="K6">
        <v>1</v>
      </c>
      <c r="L6" t="s">
        <v>63</v>
      </c>
      <c r="M6" s="45" t="s">
        <v>64</v>
      </c>
      <c r="N6" t="s">
        <v>65</v>
      </c>
      <c r="O6" s="46"/>
    </row>
    <row r="7" spans="2:15" x14ac:dyDescent="0.35">
      <c r="C7" s="54"/>
      <c r="D7" s="41"/>
      <c r="E7" s="42" t="s">
        <v>57</v>
      </c>
      <c r="M7" s="45" t="s">
        <v>66</v>
      </c>
      <c r="O7" s="46" t="s">
        <v>65</v>
      </c>
    </row>
    <row r="8" spans="2:15" x14ac:dyDescent="0.35">
      <c r="C8" s="54"/>
      <c r="D8" s="41"/>
      <c r="E8" s="41" t="s">
        <v>67</v>
      </c>
      <c r="F8" t="s">
        <v>54</v>
      </c>
      <c r="M8" s="45" t="s">
        <v>68</v>
      </c>
      <c r="O8" s="46"/>
    </row>
    <row r="9" spans="2:15" x14ac:dyDescent="0.35">
      <c r="C9" s="54"/>
      <c r="D9" s="41"/>
      <c r="E9" s="42" t="s">
        <v>57</v>
      </c>
      <c r="M9" s="45"/>
      <c r="O9" s="46"/>
    </row>
    <row r="10" spans="2:15" x14ac:dyDescent="0.35">
      <c r="C10" s="54"/>
      <c r="D10" s="41"/>
      <c r="E10" s="41" t="s">
        <v>69</v>
      </c>
      <c r="F10" t="s">
        <v>54</v>
      </c>
      <c r="G10" t="s">
        <v>70</v>
      </c>
      <c r="H10" t="s">
        <v>71</v>
      </c>
      <c r="K10">
        <v>2</v>
      </c>
      <c r="L10" t="s">
        <v>72</v>
      </c>
      <c r="M10" s="45" t="s">
        <v>66</v>
      </c>
      <c r="N10" t="s">
        <v>65</v>
      </c>
      <c r="O10" s="46"/>
    </row>
    <row r="11" spans="2:15" ht="15" thickBot="1" x14ac:dyDescent="0.4">
      <c r="C11" s="41"/>
      <c r="D11" s="41"/>
      <c r="E11" s="41"/>
      <c r="F11" s="47" t="s">
        <v>73</v>
      </c>
      <c r="G11" s="48" t="s">
        <v>74</v>
      </c>
      <c r="H11" s="49" t="s">
        <v>75</v>
      </c>
      <c r="M11" s="45" t="s">
        <v>76</v>
      </c>
      <c r="O11" s="46" t="s">
        <v>65</v>
      </c>
    </row>
    <row r="12" spans="2:15" ht="15" thickTop="1" x14ac:dyDescent="0.35">
      <c r="C12" s="41"/>
      <c r="D12" s="41"/>
      <c r="E12" s="42" t="s">
        <v>57</v>
      </c>
      <c r="G12" s="50" t="s">
        <v>57</v>
      </c>
      <c r="H12" t="s">
        <v>77</v>
      </c>
      <c r="M12" s="45" t="s">
        <v>78</v>
      </c>
      <c r="O12" s="46"/>
    </row>
    <row r="13" spans="2:15" x14ac:dyDescent="0.35">
      <c r="C13" s="41" t="s">
        <v>79</v>
      </c>
      <c r="D13" s="41"/>
      <c r="E13" s="41" t="s">
        <v>80</v>
      </c>
      <c r="F13" t="s">
        <v>80</v>
      </c>
      <c r="H13" t="s">
        <v>81</v>
      </c>
      <c r="M13" s="45"/>
      <c r="O13" s="46"/>
    </row>
    <row r="14" spans="2:15" x14ac:dyDescent="0.35">
      <c r="F14" t="s">
        <v>82</v>
      </c>
      <c r="K14">
        <v>3</v>
      </c>
      <c r="L14" t="s">
        <v>83</v>
      </c>
      <c r="M14" s="45" t="s">
        <v>66</v>
      </c>
      <c r="N14" t="s">
        <v>65</v>
      </c>
      <c r="O14" s="46"/>
    </row>
    <row r="15" spans="2:15" x14ac:dyDescent="0.35">
      <c r="M15" s="45" t="s">
        <v>84</v>
      </c>
      <c r="O15" s="46" t="s">
        <v>65</v>
      </c>
    </row>
    <row r="16" spans="2:15" x14ac:dyDescent="0.35">
      <c r="M16" s="45" t="s">
        <v>85</v>
      </c>
      <c r="O16" s="46"/>
    </row>
    <row r="17" spans="11:15" x14ac:dyDescent="0.35">
      <c r="M17" s="45"/>
      <c r="O17" s="46"/>
    </row>
    <row r="18" spans="11:15" x14ac:dyDescent="0.35">
      <c r="K18">
        <v>4</v>
      </c>
      <c r="L18" t="s">
        <v>86</v>
      </c>
      <c r="M18" s="45" t="s">
        <v>42</v>
      </c>
      <c r="N18" t="s">
        <v>65</v>
      </c>
      <c r="O18" s="46"/>
    </row>
    <row r="19" spans="11:15" x14ac:dyDescent="0.35">
      <c r="M19" s="45" t="s">
        <v>87</v>
      </c>
      <c r="O19" s="46" t="s">
        <v>65</v>
      </c>
    </row>
    <row r="20" spans="11:15" ht="15" thickBot="1" x14ac:dyDescent="0.4">
      <c r="M20" s="51" t="s">
        <v>88</v>
      </c>
      <c r="N20" s="52"/>
      <c r="O20" s="53"/>
    </row>
  </sheetData>
  <mergeCells count="1">
    <mergeCell ref="C6:C10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0AB4-1E2F-415D-B46B-0954882CC2D5}">
  <dimension ref="A1:I16"/>
  <sheetViews>
    <sheetView zoomScale="268" workbookViewId="0">
      <selection activeCell="C10" sqref="C10:C11"/>
    </sheetView>
  </sheetViews>
  <sheetFormatPr defaultRowHeight="14.5" x14ac:dyDescent="0.35"/>
  <cols>
    <col min="1" max="1" width="8.7265625" style="58"/>
    <col min="2" max="2" width="9.81640625" style="58" bestFit="1" customWidth="1"/>
    <col min="3" max="3" width="9.6328125" style="58" bestFit="1" customWidth="1"/>
    <col min="4" max="4" width="8.7265625" style="58"/>
    <col min="5" max="5" width="4.81640625" style="58" customWidth="1"/>
    <col min="6" max="6" width="12.26953125" style="58" bestFit="1" customWidth="1"/>
    <col min="7" max="7" width="10.7265625" style="58" bestFit="1" customWidth="1"/>
    <col min="8" max="8" width="11.54296875" style="58" bestFit="1" customWidth="1"/>
    <col min="9" max="9" width="21.08984375" style="58" customWidth="1"/>
    <col min="10" max="16384" width="8.7265625" style="58"/>
  </cols>
  <sheetData>
    <row r="1" spans="1:9" ht="17" x14ac:dyDescent="0.5">
      <c r="A1" s="57" t="s">
        <v>95</v>
      </c>
      <c r="B1" s="57" t="s">
        <v>17</v>
      </c>
      <c r="C1" s="57" t="s">
        <v>18</v>
      </c>
      <c r="D1" s="57"/>
      <c r="E1" s="57"/>
      <c r="F1" s="57" t="s">
        <v>19</v>
      </c>
      <c r="G1" s="57" t="s">
        <v>20</v>
      </c>
      <c r="H1" s="57"/>
      <c r="I1" s="57"/>
    </row>
    <row r="2" spans="1:9" ht="17" x14ac:dyDescent="0.5">
      <c r="A2" s="57"/>
      <c r="B2" s="57" t="s">
        <v>0</v>
      </c>
      <c r="C2" s="57"/>
      <c r="D2" s="57"/>
      <c r="E2" s="57" t="s">
        <v>13</v>
      </c>
      <c r="F2" s="57" t="s">
        <v>1</v>
      </c>
      <c r="G2" s="57" t="s">
        <v>2</v>
      </c>
      <c r="H2" s="57"/>
      <c r="I2" s="57"/>
    </row>
    <row r="3" spans="1:9" ht="17" x14ac:dyDescent="0.5">
      <c r="A3" s="57" t="s">
        <v>11</v>
      </c>
      <c r="B3" s="57" t="s">
        <v>3</v>
      </c>
      <c r="C3" s="57" t="s">
        <v>4</v>
      </c>
      <c r="D3" s="57" t="s">
        <v>5</v>
      </c>
      <c r="E3" s="57" t="s">
        <v>13</v>
      </c>
      <c r="F3" s="57" t="s">
        <v>6</v>
      </c>
      <c r="G3" s="57" t="s">
        <v>7</v>
      </c>
      <c r="H3" s="57" t="s">
        <v>8</v>
      </c>
      <c r="I3" s="57"/>
    </row>
    <row r="4" spans="1:9" ht="17" x14ac:dyDescent="0.5">
      <c r="A4" s="57"/>
      <c r="B4" s="57"/>
      <c r="C4" s="57"/>
      <c r="D4" s="57"/>
      <c r="E4" s="57" t="s">
        <v>13</v>
      </c>
      <c r="F4" s="57"/>
      <c r="G4" s="57"/>
      <c r="H4" s="57" t="s">
        <v>9</v>
      </c>
      <c r="I4" s="57" t="s">
        <v>10</v>
      </c>
    </row>
    <row r="5" spans="1:9" ht="17" x14ac:dyDescent="0.5">
      <c r="A5" s="57" t="s">
        <v>12</v>
      </c>
      <c r="B5" s="57"/>
      <c r="C5" s="57"/>
      <c r="D5" s="57"/>
      <c r="E5" s="57" t="s">
        <v>13</v>
      </c>
      <c r="F5" s="57"/>
      <c r="G5" s="57"/>
      <c r="H5" s="57"/>
      <c r="I5" s="57"/>
    </row>
    <row r="6" spans="1:9" ht="17" x14ac:dyDescent="0.5">
      <c r="A6" s="59">
        <v>37043</v>
      </c>
      <c r="B6" s="57"/>
      <c r="C6" s="57"/>
      <c r="D6" s="57"/>
      <c r="E6" s="57"/>
      <c r="F6" s="57"/>
      <c r="G6" s="57"/>
      <c r="H6" s="57"/>
      <c r="I6" s="57"/>
    </row>
    <row r="7" spans="1:9" ht="17" x14ac:dyDescent="0.5">
      <c r="A7" s="59">
        <v>38504</v>
      </c>
      <c r="B7" s="57"/>
      <c r="C7" s="57"/>
      <c r="D7" s="57"/>
      <c r="E7" s="57"/>
      <c r="F7" s="57"/>
      <c r="G7" s="57"/>
      <c r="H7" s="57"/>
      <c r="I7" s="57"/>
    </row>
    <row r="8" spans="1:9" ht="17" x14ac:dyDescent="0.5">
      <c r="A8" s="59">
        <v>39965</v>
      </c>
      <c r="B8" s="57"/>
      <c r="C8" s="57"/>
      <c r="D8" s="57"/>
      <c r="E8" s="57"/>
      <c r="F8" s="57"/>
      <c r="G8" s="57"/>
      <c r="H8" s="57"/>
      <c r="I8" s="57" t="s">
        <v>14</v>
      </c>
    </row>
    <row r="9" spans="1:9" ht="17" x14ac:dyDescent="0.5">
      <c r="A9" s="59">
        <v>41791</v>
      </c>
      <c r="B9" s="57"/>
      <c r="C9" s="57"/>
      <c r="D9" s="57"/>
      <c r="E9" s="57"/>
      <c r="F9" s="57"/>
      <c r="G9" s="57"/>
      <c r="H9" s="57"/>
      <c r="I9" s="57"/>
    </row>
    <row r="10" spans="1:9" ht="17" x14ac:dyDescent="0.5">
      <c r="A10" s="59">
        <v>43252</v>
      </c>
      <c r="B10" s="57"/>
      <c r="C10" s="57"/>
      <c r="D10" s="57"/>
      <c r="E10" s="57"/>
      <c r="F10" s="57"/>
      <c r="G10" s="57"/>
      <c r="H10" s="57"/>
      <c r="I10" s="57" t="s">
        <v>15</v>
      </c>
    </row>
    <row r="11" spans="1:9" ht="17" x14ac:dyDescent="0.5">
      <c r="A11" s="59">
        <v>44713</v>
      </c>
      <c r="B11" s="57"/>
      <c r="C11" s="57"/>
      <c r="D11" s="57"/>
      <c r="E11" s="57"/>
      <c r="F11" s="57"/>
      <c r="G11" s="57"/>
      <c r="H11" s="57"/>
      <c r="I11" s="57"/>
    </row>
    <row r="12" spans="1:9" ht="17" x14ac:dyDescent="0.5">
      <c r="A12" s="59">
        <v>11110</v>
      </c>
      <c r="B12" s="57"/>
      <c r="C12" s="57"/>
      <c r="D12" s="57"/>
      <c r="E12" s="57"/>
      <c r="F12" s="57"/>
      <c r="G12" s="57"/>
      <c r="H12" s="57"/>
      <c r="I12" s="57" t="s">
        <v>16</v>
      </c>
    </row>
    <row r="13" spans="1:9" ht="17" x14ac:dyDescent="0.5">
      <c r="A13" s="57"/>
      <c r="B13" s="57"/>
      <c r="C13" s="57"/>
      <c r="D13" s="57"/>
      <c r="E13" s="57"/>
      <c r="F13" s="57"/>
      <c r="G13" s="57"/>
      <c r="H13" s="57"/>
      <c r="I13" s="57"/>
    </row>
    <row r="14" spans="1:9" ht="17" x14ac:dyDescent="0.5">
      <c r="A14" s="57"/>
      <c r="B14" s="57"/>
      <c r="C14" s="57"/>
      <c r="D14" s="57"/>
      <c r="E14" s="57"/>
      <c r="F14" s="57"/>
      <c r="G14" s="57"/>
      <c r="H14" s="57"/>
      <c r="I14" s="57"/>
    </row>
    <row r="15" spans="1:9" ht="17" x14ac:dyDescent="0.5">
      <c r="A15" s="57"/>
      <c r="B15" s="57"/>
      <c r="C15" s="57"/>
      <c r="D15" s="57"/>
      <c r="E15" s="57"/>
      <c r="F15" s="57"/>
      <c r="G15" s="57"/>
      <c r="H15" s="57"/>
      <c r="I15" s="57"/>
    </row>
    <row r="16" spans="1:9" ht="17" x14ac:dyDescent="0.5">
      <c r="A16" s="57"/>
      <c r="B16" s="57"/>
      <c r="C16" s="57"/>
      <c r="D16" s="57"/>
      <c r="E16" s="57"/>
      <c r="F16" s="57"/>
      <c r="G16" s="57"/>
      <c r="H16" s="57"/>
      <c r="I16" s="5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7818-E825-4EA5-9082-388CE9393917}">
  <dimension ref="A5:H23"/>
  <sheetViews>
    <sheetView topLeftCell="A5" zoomScale="177" workbookViewId="0">
      <selection activeCell="F17" sqref="F17"/>
    </sheetView>
  </sheetViews>
  <sheetFormatPr defaultRowHeight="14.5" x14ac:dyDescent="0.35"/>
  <cols>
    <col min="1" max="1" width="22.7265625" customWidth="1"/>
    <col min="4" max="4" width="3.453125" customWidth="1"/>
    <col min="7" max="8" width="9.90625" bestFit="1" customWidth="1"/>
  </cols>
  <sheetData>
    <row r="5" spans="1:8" x14ac:dyDescent="0.35">
      <c r="A5" t="s">
        <v>96</v>
      </c>
    </row>
    <row r="6" spans="1:8" x14ac:dyDescent="0.35">
      <c r="A6" s="56" t="s">
        <v>37</v>
      </c>
    </row>
    <row r="7" spans="1:8" ht="15" thickBot="1" x14ac:dyDescent="0.4">
      <c r="B7" s="6"/>
      <c r="C7" s="6"/>
      <c r="D7" s="5"/>
      <c r="G7" t="s">
        <v>38</v>
      </c>
    </row>
    <row r="8" spans="1:8" x14ac:dyDescent="0.35">
      <c r="A8" s="11" t="s">
        <v>21</v>
      </c>
      <c r="B8" s="7" t="s">
        <v>22</v>
      </c>
      <c r="C8" s="20" t="s">
        <v>27</v>
      </c>
      <c r="D8" s="31"/>
      <c r="E8" s="32" t="s">
        <v>22</v>
      </c>
      <c r="F8" s="33" t="s">
        <v>27</v>
      </c>
      <c r="G8" s="27" t="s">
        <v>22</v>
      </c>
      <c r="H8" s="8" t="s">
        <v>27</v>
      </c>
    </row>
    <row r="9" spans="1:8" ht="17" x14ac:dyDescent="0.5">
      <c r="A9" s="12" t="s">
        <v>28</v>
      </c>
      <c r="B9" s="15">
        <v>2400</v>
      </c>
      <c r="C9" s="21"/>
      <c r="D9" s="34">
        <v>2</v>
      </c>
      <c r="E9" s="1"/>
      <c r="F9" s="35"/>
      <c r="G9" s="28"/>
      <c r="H9" s="10"/>
    </row>
    <row r="10" spans="1:8" ht="17" x14ac:dyDescent="0.5">
      <c r="A10" s="13"/>
      <c r="B10" s="15"/>
      <c r="C10" s="21"/>
      <c r="D10" s="34">
        <v>4</v>
      </c>
      <c r="E10" s="1"/>
      <c r="F10" s="35"/>
      <c r="G10" s="29"/>
      <c r="H10" s="10"/>
    </row>
    <row r="11" spans="1:8" ht="17" x14ac:dyDescent="0.5">
      <c r="A11" s="13" t="s">
        <v>33</v>
      </c>
      <c r="B11" s="16">
        <v>530</v>
      </c>
      <c r="C11" s="22"/>
      <c r="D11" s="36">
        <v>3</v>
      </c>
      <c r="E11" s="1"/>
      <c r="F11" s="35"/>
      <c r="G11" s="30"/>
      <c r="H11" s="10"/>
    </row>
    <row r="12" spans="1:8" ht="17" x14ac:dyDescent="0.5">
      <c r="A12" s="13" t="s">
        <v>34</v>
      </c>
      <c r="B12" s="18">
        <v>8200</v>
      </c>
      <c r="C12" s="22"/>
      <c r="D12" s="36"/>
      <c r="E12" s="1"/>
      <c r="F12" s="35"/>
      <c r="G12" s="30"/>
      <c r="H12" s="10"/>
    </row>
    <row r="13" spans="1:8" ht="17" x14ac:dyDescent="0.5">
      <c r="A13" s="13" t="s">
        <v>23</v>
      </c>
      <c r="B13" s="18">
        <v>420</v>
      </c>
      <c r="C13" s="22"/>
      <c r="D13" s="36"/>
      <c r="E13" s="1"/>
      <c r="F13" s="35"/>
      <c r="G13" s="30"/>
      <c r="H13" s="10"/>
    </row>
    <row r="14" spans="1:8" ht="17" x14ac:dyDescent="0.5">
      <c r="A14" s="13" t="s">
        <v>29</v>
      </c>
      <c r="B14" s="17"/>
      <c r="C14" s="23">
        <v>2160</v>
      </c>
      <c r="D14" s="36">
        <v>2</v>
      </c>
      <c r="E14" s="1"/>
      <c r="F14" s="35"/>
      <c r="G14" s="29"/>
      <c r="H14" s="9"/>
    </row>
    <row r="15" spans="1:8" ht="17" x14ac:dyDescent="0.5">
      <c r="A15" s="13" t="s">
        <v>30</v>
      </c>
      <c r="B15" s="17"/>
      <c r="C15" s="24">
        <v>2980</v>
      </c>
      <c r="D15" s="36"/>
      <c r="E15" s="1"/>
      <c r="F15" s="35"/>
      <c r="G15" s="29"/>
      <c r="H15" s="9"/>
    </row>
    <row r="16" spans="1:8" ht="17" x14ac:dyDescent="0.5">
      <c r="A16" s="13" t="s">
        <v>31</v>
      </c>
      <c r="B16" s="17"/>
      <c r="C16" s="24">
        <v>4500</v>
      </c>
      <c r="D16" s="34">
        <v>1</v>
      </c>
      <c r="E16" s="1"/>
      <c r="F16" s="37"/>
      <c r="G16" s="29"/>
      <c r="H16" s="9"/>
    </row>
    <row r="17" spans="1:8" ht="17" x14ac:dyDescent="0.5">
      <c r="A17" s="13" t="s">
        <v>35</v>
      </c>
      <c r="B17" s="17"/>
      <c r="C17" s="24">
        <v>6400</v>
      </c>
      <c r="D17" s="36"/>
      <c r="E17" s="1"/>
      <c r="F17" s="35"/>
      <c r="G17" s="29"/>
      <c r="H17" s="9"/>
    </row>
    <row r="18" spans="1:8" ht="17" x14ac:dyDescent="0.5">
      <c r="A18" s="13" t="s">
        <v>36</v>
      </c>
      <c r="B18" s="16">
        <v>6220</v>
      </c>
      <c r="C18" s="22"/>
      <c r="D18" s="36">
        <v>5</v>
      </c>
      <c r="E18" s="1"/>
      <c r="F18" s="35"/>
      <c r="G18" s="30"/>
      <c r="H18" s="10"/>
    </row>
    <row r="19" spans="1:8" ht="17" x14ac:dyDescent="0.5">
      <c r="A19" s="13" t="s">
        <v>24</v>
      </c>
      <c r="B19" s="17"/>
      <c r="C19" s="25">
        <v>13800</v>
      </c>
      <c r="D19" s="36"/>
      <c r="E19" s="1"/>
      <c r="F19" s="35"/>
      <c r="G19" s="29"/>
      <c r="H19" s="9"/>
    </row>
    <row r="20" spans="1:8" ht="17" x14ac:dyDescent="0.5">
      <c r="A20" s="13" t="s">
        <v>32</v>
      </c>
      <c r="B20" s="16">
        <v>5100</v>
      </c>
      <c r="C20" s="22"/>
      <c r="D20" s="36"/>
      <c r="E20" s="1"/>
      <c r="F20" s="35"/>
      <c r="G20" s="30"/>
      <c r="H20" s="10"/>
    </row>
    <row r="21" spans="1:8" ht="17" x14ac:dyDescent="0.5">
      <c r="A21" s="13" t="s">
        <v>25</v>
      </c>
      <c r="B21" s="18">
        <v>3200</v>
      </c>
      <c r="C21" s="22"/>
      <c r="D21" s="36"/>
      <c r="E21" s="1"/>
      <c r="F21" s="35"/>
      <c r="G21" s="30"/>
      <c r="H21" s="10"/>
    </row>
    <row r="22" spans="1:8" ht="17" x14ac:dyDescent="0.5">
      <c r="A22" s="13" t="s">
        <v>26</v>
      </c>
      <c r="B22" s="16">
        <v>2950</v>
      </c>
      <c r="C22" s="22"/>
      <c r="D22" s="36"/>
      <c r="E22" s="1"/>
      <c r="F22" s="35"/>
      <c r="G22" s="30"/>
      <c r="H22" s="10"/>
    </row>
    <row r="23" spans="1:8" ht="17.5" thickBot="1" x14ac:dyDescent="0.55000000000000004">
      <c r="A23" s="14"/>
      <c r="B23" s="19">
        <f>SUM(B9:B22)</f>
        <v>29020</v>
      </c>
      <c r="C23" s="26">
        <f>SUM(C9:C22)</f>
        <v>29840</v>
      </c>
      <c r="D23" s="38"/>
      <c r="E23" s="39"/>
      <c r="F23" s="40"/>
      <c r="G23" s="28"/>
      <c r="H23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417B-E426-4079-AF68-C1412C0A3C5C}">
  <dimension ref="A1:O34"/>
  <sheetViews>
    <sheetView topLeftCell="A3" zoomScale="192" workbookViewId="0">
      <pane ySplit="4" topLeftCell="A7" activePane="bottomLeft" state="frozen"/>
      <selection activeCell="A3" sqref="A3"/>
      <selection pane="bottomLeft" activeCell="F14" sqref="F14"/>
    </sheetView>
  </sheetViews>
  <sheetFormatPr defaultRowHeight="14.5" x14ac:dyDescent="0.35"/>
  <cols>
    <col min="2" max="2" width="9.1796875" bestFit="1" customWidth="1"/>
    <col min="3" max="3" width="9.81640625" bestFit="1" customWidth="1"/>
    <col min="4" max="4" width="10.453125" bestFit="1" customWidth="1"/>
    <col min="5" max="5" width="12.90625" bestFit="1" customWidth="1"/>
    <col min="6" max="6" width="3" bestFit="1" customWidth="1"/>
    <col min="7" max="7" width="12.36328125" bestFit="1" customWidth="1"/>
    <col min="8" max="8" width="3" bestFit="1" customWidth="1"/>
    <col min="9" max="9" width="12.90625" bestFit="1" customWidth="1"/>
    <col min="10" max="10" width="11.6328125" bestFit="1" customWidth="1"/>
    <col min="11" max="11" width="23.81640625" customWidth="1"/>
  </cols>
  <sheetData>
    <row r="1" spans="1:15" ht="17" x14ac:dyDescent="0.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" x14ac:dyDescent="0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" x14ac:dyDescent="0.5">
      <c r="A3" s="1"/>
      <c r="B3" s="3" t="s">
        <v>17</v>
      </c>
      <c r="C3" s="4" t="s">
        <v>18</v>
      </c>
      <c r="D3" s="1"/>
      <c r="E3" s="1"/>
      <c r="F3" s="1"/>
      <c r="G3" s="4" t="s">
        <v>19</v>
      </c>
      <c r="I3" s="3" t="s">
        <v>20</v>
      </c>
      <c r="J3" s="1"/>
      <c r="K3" s="1"/>
      <c r="L3" s="1"/>
      <c r="M3" s="1"/>
      <c r="N3" s="1"/>
      <c r="O3" s="1"/>
    </row>
    <row r="4" spans="1:15" ht="17" x14ac:dyDescent="0.5">
      <c r="A4" s="1"/>
      <c r="B4" s="1"/>
      <c r="C4" s="1" t="s">
        <v>0</v>
      </c>
      <c r="D4" s="1"/>
      <c r="E4" s="1"/>
      <c r="F4" s="1"/>
      <c r="G4" s="1" t="s">
        <v>1</v>
      </c>
      <c r="H4" s="1"/>
      <c r="I4" s="1" t="s">
        <v>39</v>
      </c>
      <c r="J4" s="1"/>
      <c r="K4" s="1"/>
      <c r="L4" s="1"/>
      <c r="M4" s="1"/>
      <c r="N4" s="1"/>
      <c r="O4" s="1"/>
    </row>
    <row r="5" spans="1:15" ht="17" x14ac:dyDescent="0.5">
      <c r="A5" s="1" t="s">
        <v>45</v>
      </c>
      <c r="B5" s="1" t="s">
        <v>3</v>
      </c>
      <c r="C5" s="1" t="s">
        <v>4</v>
      </c>
      <c r="D5" s="1" t="s">
        <v>40</v>
      </c>
      <c r="E5" s="1" t="s">
        <v>23</v>
      </c>
      <c r="F5" s="1" t="s">
        <v>13</v>
      </c>
      <c r="G5" s="1" t="s">
        <v>41</v>
      </c>
      <c r="H5" s="1" t="s">
        <v>94</v>
      </c>
      <c r="I5" s="1" t="s">
        <v>42</v>
      </c>
      <c r="J5" s="1" t="s">
        <v>43</v>
      </c>
      <c r="K5" s="1"/>
      <c r="L5" s="1"/>
      <c r="M5" s="1"/>
      <c r="N5" s="1"/>
      <c r="O5" s="1"/>
    </row>
    <row r="6" spans="1:15" ht="17" x14ac:dyDescent="0.5">
      <c r="B6" s="1"/>
      <c r="C6" s="1"/>
      <c r="D6" s="1"/>
      <c r="E6" s="1"/>
      <c r="F6" s="1" t="s">
        <v>13</v>
      </c>
      <c r="G6" s="1"/>
      <c r="H6" s="1"/>
      <c r="I6" s="1" t="s">
        <v>92</v>
      </c>
      <c r="J6" s="1" t="s">
        <v>9</v>
      </c>
      <c r="K6" s="1" t="s">
        <v>10</v>
      </c>
      <c r="L6" s="1"/>
      <c r="M6" s="1"/>
      <c r="N6" s="1"/>
      <c r="O6" s="1"/>
    </row>
    <row r="7" spans="1:15" ht="17" x14ac:dyDescent="0.5">
      <c r="A7" s="1">
        <v>2</v>
      </c>
      <c r="B7" s="57"/>
      <c r="C7" s="57"/>
      <c r="D7" s="57"/>
      <c r="E7" s="57"/>
      <c r="F7" s="57"/>
      <c r="G7" s="57"/>
      <c r="H7" s="57"/>
      <c r="I7" s="57"/>
      <c r="J7" s="57"/>
      <c r="K7" s="1"/>
      <c r="L7" s="1"/>
      <c r="M7" s="1"/>
      <c r="N7" s="1"/>
      <c r="O7" s="1"/>
    </row>
    <row r="8" spans="1:15" ht="17" x14ac:dyDescent="0.5">
      <c r="A8" s="1">
        <v>2</v>
      </c>
      <c r="B8" s="57"/>
      <c r="C8" s="57"/>
      <c r="D8" s="57"/>
      <c r="E8" s="57"/>
      <c r="F8" s="57"/>
      <c r="G8" s="57"/>
      <c r="H8" s="57"/>
      <c r="I8" s="57"/>
      <c r="J8" s="57"/>
      <c r="K8" s="1" t="s">
        <v>89</v>
      </c>
      <c r="L8" s="1"/>
      <c r="M8" s="1"/>
      <c r="N8" s="1"/>
      <c r="O8" s="1"/>
    </row>
    <row r="9" spans="1:15" ht="17" x14ac:dyDescent="0.5">
      <c r="A9" s="1">
        <v>3</v>
      </c>
      <c r="B9" s="57"/>
      <c r="C9" s="57"/>
      <c r="D9" s="57"/>
      <c r="E9" s="57"/>
      <c r="F9" s="57"/>
      <c r="G9" s="57"/>
      <c r="H9" s="57"/>
      <c r="I9" s="57"/>
      <c r="J9" s="57"/>
      <c r="K9" s="1"/>
      <c r="L9" s="1"/>
      <c r="M9" s="1"/>
      <c r="N9" s="1"/>
      <c r="O9" s="1"/>
    </row>
    <row r="10" spans="1:15" ht="17" x14ac:dyDescent="0.5">
      <c r="A10" s="1">
        <v>4</v>
      </c>
      <c r="B10" s="57"/>
      <c r="C10" s="57"/>
      <c r="D10" s="57"/>
      <c r="E10" s="57"/>
      <c r="F10" s="57"/>
      <c r="G10" s="57"/>
      <c r="H10" s="57"/>
      <c r="I10" s="57"/>
      <c r="J10" s="57"/>
      <c r="K10" s="1"/>
      <c r="L10" s="1"/>
      <c r="M10" s="1"/>
      <c r="N10" s="1"/>
      <c r="O10" s="1"/>
    </row>
    <row r="11" spans="1:15" ht="17" x14ac:dyDescent="0.5">
      <c r="A11" s="1">
        <v>6</v>
      </c>
      <c r="B11" s="57"/>
      <c r="C11" s="57"/>
      <c r="D11" s="57"/>
      <c r="E11" s="57"/>
      <c r="F11" s="57"/>
      <c r="G11" s="57"/>
      <c r="H11" s="57"/>
      <c r="I11" s="57"/>
      <c r="J11" s="57"/>
      <c r="K11" s="1" t="s">
        <v>90</v>
      </c>
      <c r="L11" s="1"/>
      <c r="M11" s="1"/>
      <c r="N11" s="1"/>
      <c r="O11" s="1"/>
    </row>
    <row r="12" spans="1:15" ht="17" x14ac:dyDescent="0.5">
      <c r="A12" s="1">
        <v>16</v>
      </c>
      <c r="B12" s="57"/>
      <c r="C12" s="57"/>
      <c r="D12" s="57"/>
      <c r="E12" s="57"/>
      <c r="F12" s="57"/>
      <c r="G12" s="57"/>
      <c r="H12" s="57"/>
      <c r="I12" s="57"/>
      <c r="J12" s="57"/>
      <c r="K12" s="1" t="s">
        <v>64</v>
      </c>
      <c r="L12" s="1"/>
      <c r="M12" s="1"/>
      <c r="N12" s="1"/>
      <c r="O12" s="1"/>
    </row>
    <row r="13" spans="1:15" ht="17" x14ac:dyDescent="0.5">
      <c r="A13" s="1">
        <v>20</v>
      </c>
      <c r="B13" s="57"/>
      <c r="C13" s="57"/>
      <c r="D13" s="57"/>
      <c r="E13" s="57"/>
      <c r="F13" s="57"/>
      <c r="G13" s="57"/>
      <c r="H13" s="57"/>
      <c r="I13" s="57"/>
      <c r="J13" s="57"/>
      <c r="K13" s="1" t="s">
        <v>91</v>
      </c>
      <c r="L13" s="1"/>
      <c r="M13" s="1"/>
      <c r="N13" s="1"/>
      <c r="O13" s="1"/>
    </row>
    <row r="14" spans="1:15" ht="17" x14ac:dyDescent="0.5">
      <c r="A14" s="1">
        <v>23</v>
      </c>
      <c r="B14" s="57"/>
      <c r="C14" s="57"/>
      <c r="D14" s="57"/>
      <c r="E14" s="57"/>
      <c r="F14" s="57"/>
      <c r="G14" s="57"/>
      <c r="H14" s="57"/>
      <c r="I14" s="57"/>
      <c r="J14" s="57"/>
      <c r="K14" s="1"/>
      <c r="L14" s="1"/>
      <c r="M14" s="1"/>
      <c r="N14" s="1"/>
      <c r="O14" s="1"/>
    </row>
    <row r="15" spans="1:15" ht="17" x14ac:dyDescent="0.5">
      <c r="A15" s="1">
        <v>28</v>
      </c>
      <c r="B15" s="57"/>
      <c r="C15" s="57"/>
      <c r="D15" s="57"/>
      <c r="E15" s="57"/>
      <c r="F15" s="57"/>
      <c r="G15" s="57"/>
      <c r="H15" s="57"/>
      <c r="I15" s="57"/>
      <c r="J15" s="57"/>
      <c r="K15" s="1"/>
      <c r="L15" s="1"/>
      <c r="M15" s="1"/>
      <c r="N15" s="1"/>
      <c r="O15" s="1"/>
    </row>
    <row r="16" spans="1:15" ht="17" x14ac:dyDescent="0.5">
      <c r="A16" s="1">
        <v>31</v>
      </c>
      <c r="B16" s="57"/>
      <c r="C16" s="57"/>
      <c r="D16" s="57"/>
      <c r="E16" s="57"/>
      <c r="F16" s="57"/>
      <c r="G16" s="57"/>
      <c r="H16" s="57"/>
      <c r="I16" s="57"/>
      <c r="J16" s="57"/>
      <c r="K16" s="1" t="s">
        <v>64</v>
      </c>
      <c r="L16" s="1"/>
      <c r="M16" s="1"/>
      <c r="N16" s="1"/>
      <c r="O16" s="1"/>
    </row>
    <row r="17" spans="1:15" ht="17" x14ac:dyDescent="0.5">
      <c r="A17" s="1">
        <v>31</v>
      </c>
      <c r="B17" s="57"/>
      <c r="C17" s="57"/>
      <c r="D17" s="57"/>
      <c r="E17" s="57"/>
      <c r="F17" s="57"/>
      <c r="G17" s="57"/>
      <c r="H17" s="57"/>
      <c r="I17" s="57"/>
      <c r="J17" s="57"/>
      <c r="K17" s="1" t="s">
        <v>93</v>
      </c>
      <c r="L17" s="1"/>
      <c r="M17" s="1"/>
      <c r="N17" s="1"/>
      <c r="O17" s="1"/>
    </row>
    <row r="18" spans="1:15" ht="17" x14ac:dyDescent="0.5">
      <c r="A18" s="1"/>
      <c r="B18" s="57"/>
      <c r="C18" s="57"/>
      <c r="D18" s="57"/>
      <c r="E18" s="57"/>
      <c r="F18" s="57"/>
      <c r="G18" s="57"/>
      <c r="H18" s="57"/>
      <c r="I18" s="57"/>
      <c r="J18" s="57"/>
      <c r="K18" s="1"/>
      <c r="L18" s="1"/>
      <c r="M18" s="1"/>
      <c r="N18" s="1"/>
      <c r="O18" s="1"/>
    </row>
    <row r="19" spans="1:15" ht="17" x14ac:dyDescent="0.5">
      <c r="A19" s="1" t="s">
        <v>12</v>
      </c>
      <c r="B19" s="1">
        <f>SUM(B7:B18)</f>
        <v>0</v>
      </c>
      <c r="C19" s="1">
        <f>SUM(C7:C18)</f>
        <v>0</v>
      </c>
      <c r="D19" s="1">
        <f>SUM(D7:D18)</f>
        <v>0</v>
      </c>
      <c r="E19" s="1">
        <f>SUM(E7:E18)</f>
        <v>0</v>
      </c>
      <c r="F19" s="1" t="s">
        <v>13</v>
      </c>
      <c r="G19" s="1">
        <f>SUM(G7:G18)</f>
        <v>0</v>
      </c>
      <c r="H19" s="1" t="s">
        <v>94</v>
      </c>
      <c r="I19" s="1">
        <f>SUM(I7:I18)</f>
        <v>0</v>
      </c>
      <c r="J19" s="1">
        <f>SUM(J7:J18)</f>
        <v>0</v>
      </c>
      <c r="K19" s="1"/>
      <c r="L19" s="1"/>
      <c r="M19" s="1"/>
      <c r="N19" s="1"/>
      <c r="O19" s="1"/>
    </row>
    <row r="20" spans="1:15" ht="17" x14ac:dyDescent="0.5">
      <c r="A20" s="1"/>
      <c r="B20" s="55">
        <f>SUM(B19:E19)</f>
        <v>0</v>
      </c>
      <c r="C20" s="55"/>
      <c r="D20" s="55"/>
      <c r="E20" s="55"/>
      <c r="F20" s="1" t="s">
        <v>13</v>
      </c>
      <c r="G20" s="55">
        <f>SUM(G19:J19)</f>
        <v>0</v>
      </c>
      <c r="H20" s="55"/>
      <c r="I20" s="55"/>
      <c r="J20" s="55"/>
      <c r="K20" s="1"/>
      <c r="L20" s="1"/>
      <c r="M20" s="1"/>
      <c r="N20" s="1"/>
      <c r="O20" s="1"/>
    </row>
    <row r="21" spans="1:15" ht="17" x14ac:dyDescent="0.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7" x14ac:dyDescent="0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17" x14ac:dyDescent="0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7" x14ac:dyDescent="0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17" x14ac:dyDescent="0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17" x14ac:dyDescent="0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17" x14ac:dyDescent="0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17" x14ac:dyDescent="0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17" x14ac:dyDescent="0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17" x14ac:dyDescent="0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7" x14ac:dyDescent="0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17" x14ac:dyDescent="0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7" x14ac:dyDescent="0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7" x14ac:dyDescent="0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mergeCells count="2">
    <mergeCell ref="B20:E20"/>
    <mergeCell ref="G20:J20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4DF0-6919-4FB3-9F02-3A7703812720}">
  <dimension ref="A1:K22"/>
  <sheetViews>
    <sheetView tabSelected="1" zoomScale="160" zoomScaleNormal="160" workbookViewId="0">
      <selection activeCell="I20" sqref="I20"/>
    </sheetView>
  </sheetViews>
  <sheetFormatPr defaultRowHeight="14.5" x14ac:dyDescent="0.35"/>
  <cols>
    <col min="1" max="1" width="11.90625" customWidth="1"/>
    <col min="2" max="2" width="10.7265625" customWidth="1"/>
    <col min="3" max="3" width="11.7265625" bestFit="1" customWidth="1"/>
    <col min="5" max="5" width="5.26953125" customWidth="1"/>
    <col min="9" max="9" width="12.90625" bestFit="1" customWidth="1"/>
    <col min="10" max="10" width="11.54296875" bestFit="1" customWidth="1"/>
    <col min="11" max="11" width="23.6328125" customWidth="1"/>
  </cols>
  <sheetData>
    <row r="1" spans="1:11" ht="17" x14ac:dyDescent="0.5">
      <c r="A1" s="10" t="s">
        <v>97</v>
      </c>
      <c r="B1" s="60" t="s">
        <v>17</v>
      </c>
      <c r="C1" s="61" t="s">
        <v>18</v>
      </c>
      <c r="D1" s="10"/>
      <c r="E1" s="10"/>
      <c r="F1" s="10"/>
      <c r="G1" s="61" t="s">
        <v>19</v>
      </c>
      <c r="H1" s="62"/>
      <c r="I1" s="60" t="s">
        <v>20</v>
      </c>
      <c r="J1" s="10"/>
      <c r="K1" s="10"/>
    </row>
    <row r="2" spans="1:11" ht="17" x14ac:dyDescent="0.5">
      <c r="A2" s="10"/>
      <c r="B2" s="10" t="s">
        <v>0</v>
      </c>
      <c r="C2" s="62"/>
      <c r="D2" s="10"/>
      <c r="E2" s="10"/>
      <c r="F2" s="10" t="s">
        <v>1</v>
      </c>
      <c r="G2" s="62"/>
      <c r="H2" s="10"/>
      <c r="I2" s="10" t="s">
        <v>39</v>
      </c>
      <c r="J2" s="10"/>
      <c r="K2" s="10"/>
    </row>
    <row r="3" spans="1:11" ht="17" x14ac:dyDescent="0.5">
      <c r="A3" s="10" t="s">
        <v>100</v>
      </c>
      <c r="B3" s="10" t="s">
        <v>3</v>
      </c>
      <c r="C3" s="10" t="s">
        <v>99</v>
      </c>
      <c r="D3" s="10" t="s">
        <v>4</v>
      </c>
      <c r="E3" s="10" t="s">
        <v>13</v>
      </c>
      <c r="F3" s="10" t="s">
        <v>6</v>
      </c>
      <c r="G3" s="10" t="s">
        <v>41</v>
      </c>
      <c r="H3" s="10" t="s">
        <v>94</v>
      </c>
      <c r="I3" s="10" t="s">
        <v>42</v>
      </c>
      <c r="J3" s="10" t="s">
        <v>43</v>
      </c>
      <c r="K3" s="10"/>
    </row>
    <row r="4" spans="1:11" ht="17" x14ac:dyDescent="0.5">
      <c r="A4" s="62"/>
      <c r="B4" s="10" t="s">
        <v>98</v>
      </c>
      <c r="C4" s="10"/>
      <c r="D4" s="10"/>
      <c r="E4" s="10" t="s">
        <v>13</v>
      </c>
      <c r="F4" s="10"/>
      <c r="G4" s="10"/>
      <c r="H4" s="10"/>
      <c r="I4" s="10" t="s">
        <v>92</v>
      </c>
      <c r="J4" s="10" t="s">
        <v>9</v>
      </c>
      <c r="K4" s="10" t="s">
        <v>10</v>
      </c>
    </row>
    <row r="5" spans="1:11" ht="17" x14ac:dyDescent="0.5">
      <c r="A5" s="62"/>
      <c r="B5" s="62"/>
      <c r="C5" s="62"/>
      <c r="D5" s="62"/>
      <c r="E5" s="10" t="s">
        <v>13</v>
      </c>
      <c r="F5" s="62"/>
      <c r="G5" s="62"/>
      <c r="H5" s="62"/>
      <c r="I5" s="62"/>
      <c r="J5" s="62"/>
      <c r="K5" s="62"/>
    </row>
    <row r="6" spans="1:11" ht="17" x14ac:dyDescent="0.5">
      <c r="A6" s="62"/>
      <c r="B6" s="62"/>
      <c r="C6" s="62"/>
      <c r="D6" s="62"/>
      <c r="E6" s="10" t="s">
        <v>13</v>
      </c>
      <c r="F6" s="62"/>
      <c r="G6" s="62"/>
      <c r="H6" s="62"/>
      <c r="I6" s="62"/>
      <c r="J6" s="62"/>
      <c r="K6" s="62"/>
    </row>
    <row r="7" spans="1:11" ht="17" x14ac:dyDescent="0.5">
      <c r="A7" s="62"/>
      <c r="B7" s="62"/>
      <c r="C7" s="62"/>
      <c r="D7" s="62"/>
      <c r="E7" s="10" t="s">
        <v>13</v>
      </c>
      <c r="F7" s="62"/>
      <c r="G7" s="62"/>
      <c r="H7" s="62"/>
      <c r="I7" s="62"/>
      <c r="J7" s="62"/>
      <c r="K7" s="62"/>
    </row>
    <row r="8" spans="1:11" ht="17" x14ac:dyDescent="0.5">
      <c r="A8" s="62"/>
      <c r="B8" s="62"/>
      <c r="C8" s="62"/>
      <c r="D8" s="62"/>
      <c r="E8" s="10" t="s">
        <v>13</v>
      </c>
      <c r="F8" s="62"/>
      <c r="G8" s="62"/>
      <c r="H8" s="62"/>
      <c r="I8" s="62"/>
      <c r="J8" s="62"/>
      <c r="K8" s="62"/>
    </row>
    <row r="9" spans="1:11" ht="17" x14ac:dyDescent="0.5">
      <c r="A9" s="62"/>
      <c r="B9" s="62"/>
      <c r="C9" s="62"/>
      <c r="D9" s="62"/>
      <c r="E9" s="10" t="s">
        <v>13</v>
      </c>
      <c r="F9" s="62"/>
      <c r="G9" s="62"/>
      <c r="H9" s="62"/>
      <c r="I9" s="62"/>
      <c r="J9" s="62"/>
      <c r="K9" s="62"/>
    </row>
    <row r="10" spans="1:11" ht="17" x14ac:dyDescent="0.5">
      <c r="A10" s="62"/>
      <c r="B10" s="62"/>
      <c r="C10" s="62"/>
      <c r="D10" s="62"/>
      <c r="E10" s="10" t="s">
        <v>13</v>
      </c>
      <c r="F10" s="62"/>
      <c r="G10" s="62"/>
      <c r="H10" s="62"/>
      <c r="I10" s="62"/>
      <c r="J10" s="62"/>
      <c r="K10" s="62"/>
    </row>
    <row r="11" spans="1:11" ht="17" x14ac:dyDescent="0.5">
      <c r="A11" s="62"/>
      <c r="B11" s="62"/>
      <c r="C11" s="62"/>
      <c r="D11" s="62"/>
      <c r="E11" s="10" t="s">
        <v>13</v>
      </c>
      <c r="F11" s="62"/>
      <c r="G11" s="62"/>
      <c r="H11" s="62"/>
      <c r="I11" s="62"/>
      <c r="J11" s="62"/>
      <c r="K11" s="62"/>
    </row>
    <row r="12" spans="1:11" ht="17" x14ac:dyDescent="0.5">
      <c r="A12" s="62"/>
      <c r="B12" s="62"/>
      <c r="C12" s="62"/>
      <c r="D12" s="62"/>
      <c r="E12" s="10" t="s">
        <v>13</v>
      </c>
      <c r="F12" s="62"/>
      <c r="G12" s="62"/>
      <c r="H12" s="62"/>
      <c r="I12" s="62"/>
      <c r="J12" s="62"/>
      <c r="K12" s="62"/>
    </row>
    <row r="13" spans="1:11" ht="17" x14ac:dyDescent="0.5">
      <c r="A13" s="62"/>
      <c r="B13" s="62"/>
      <c r="C13" s="62"/>
      <c r="D13" s="62"/>
      <c r="E13" s="10" t="s">
        <v>13</v>
      </c>
      <c r="F13" s="62"/>
      <c r="G13" s="62"/>
      <c r="H13" s="62"/>
      <c r="I13" s="62"/>
      <c r="J13" s="62"/>
      <c r="K13" s="62"/>
    </row>
    <row r="14" spans="1:11" ht="17" x14ac:dyDescent="0.5">
      <c r="A14" s="62"/>
      <c r="B14" s="62"/>
      <c r="C14" s="62"/>
      <c r="D14" s="62"/>
      <c r="E14" s="10" t="s">
        <v>13</v>
      </c>
      <c r="F14" s="62"/>
      <c r="G14" s="62"/>
      <c r="H14" s="62"/>
      <c r="I14" s="62"/>
      <c r="J14" s="62"/>
      <c r="K14" s="62"/>
    </row>
    <row r="15" spans="1:11" ht="17" x14ac:dyDescent="0.5">
      <c r="A15" s="62"/>
      <c r="B15" s="62"/>
      <c r="C15" s="62"/>
      <c r="D15" s="62"/>
      <c r="E15" s="10" t="s">
        <v>13</v>
      </c>
      <c r="F15" s="62"/>
      <c r="G15" s="62"/>
      <c r="H15" s="62"/>
      <c r="I15" s="62"/>
      <c r="J15" s="62"/>
      <c r="K15" s="62"/>
    </row>
    <row r="16" spans="1:11" ht="17" x14ac:dyDescent="0.5">
      <c r="A16" s="62"/>
      <c r="B16" s="62"/>
      <c r="C16" s="62"/>
      <c r="D16" s="62"/>
      <c r="E16" s="10" t="s">
        <v>13</v>
      </c>
      <c r="F16" s="62"/>
      <c r="G16" s="62"/>
      <c r="H16" s="62"/>
      <c r="I16" s="62"/>
      <c r="J16" s="62"/>
      <c r="K16" s="62"/>
    </row>
    <row r="17" spans="1:11" ht="17" x14ac:dyDescent="0.5">
      <c r="A17" s="62"/>
      <c r="B17" s="62"/>
      <c r="C17" s="62"/>
      <c r="D17" s="62"/>
      <c r="E17" s="10" t="s">
        <v>13</v>
      </c>
      <c r="F17" s="62"/>
      <c r="G17" s="62"/>
      <c r="H17" s="62"/>
      <c r="I17" s="62"/>
      <c r="J17" s="62"/>
      <c r="K17" s="62"/>
    </row>
    <row r="18" spans="1:11" ht="17" x14ac:dyDescent="0.5">
      <c r="A18" s="62"/>
      <c r="B18" s="62"/>
      <c r="C18" s="62"/>
      <c r="D18" s="62"/>
      <c r="E18" s="10" t="s">
        <v>13</v>
      </c>
      <c r="F18" s="62"/>
      <c r="G18" s="62"/>
      <c r="H18" s="62"/>
      <c r="I18" s="62"/>
      <c r="J18" s="62"/>
      <c r="K18" s="62"/>
    </row>
    <row r="19" spans="1:11" ht="17" x14ac:dyDescent="0.5">
      <c r="A19" s="62"/>
      <c r="B19" s="62"/>
      <c r="C19" s="62"/>
      <c r="D19" s="62"/>
      <c r="E19" s="10" t="s">
        <v>13</v>
      </c>
      <c r="F19" s="62"/>
      <c r="G19" s="62"/>
      <c r="H19" s="62"/>
      <c r="I19" s="62"/>
      <c r="J19" s="62"/>
      <c r="K19" s="62"/>
    </row>
    <row r="20" spans="1:11" ht="17" x14ac:dyDescent="0.5">
      <c r="A20" t="s">
        <v>101</v>
      </c>
      <c r="B20">
        <f>SUM(B5:B19)</f>
        <v>0</v>
      </c>
      <c r="C20">
        <f t="shared" ref="C20:J20" si="0">SUM(C5:C19)</f>
        <v>0</v>
      </c>
      <c r="D20">
        <f t="shared" si="0"/>
        <v>0</v>
      </c>
      <c r="E20" s="10" t="s">
        <v>13</v>
      </c>
      <c r="F20">
        <f t="shared" si="0"/>
        <v>0</v>
      </c>
      <c r="G20">
        <f t="shared" si="0"/>
        <v>0</v>
      </c>
      <c r="H20">
        <f t="shared" si="0"/>
        <v>0</v>
      </c>
      <c r="I20">
        <f t="shared" si="0"/>
        <v>0</v>
      </c>
      <c r="J20">
        <f t="shared" si="0"/>
        <v>0</v>
      </c>
    </row>
    <row r="22" spans="1:11" x14ac:dyDescent="0.35">
      <c r="D22">
        <f>SUM(B20:D20)</f>
        <v>0</v>
      </c>
      <c r="F22">
        <f>SUM(F20:J20)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D6BC-EBCC-4192-91D8-66369F10870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0997-A444-4D69-AB73-C3039851DB20}">
  <dimension ref="A1:I16"/>
  <sheetViews>
    <sheetView zoomScale="268" workbookViewId="0">
      <selection activeCell="A2" sqref="A2"/>
    </sheetView>
  </sheetViews>
  <sheetFormatPr defaultRowHeight="14.5" x14ac:dyDescent="0.35"/>
  <cols>
    <col min="2" max="2" width="9.81640625" bestFit="1" customWidth="1"/>
    <col min="3" max="3" width="9.6328125" bestFit="1" customWidth="1"/>
    <col min="5" max="5" width="4.81640625" customWidth="1"/>
    <col min="6" max="6" width="12.26953125" bestFit="1" customWidth="1"/>
    <col min="7" max="7" width="10.7265625" bestFit="1" customWidth="1"/>
    <col min="8" max="8" width="11.54296875" bestFit="1" customWidth="1"/>
    <col min="9" max="9" width="21.08984375" customWidth="1"/>
  </cols>
  <sheetData>
    <row r="1" spans="1:9" ht="17" x14ac:dyDescent="0.5">
      <c r="A1" s="1" t="s">
        <v>95</v>
      </c>
      <c r="B1" s="3" t="s">
        <v>17</v>
      </c>
      <c r="C1" s="4" t="s">
        <v>18</v>
      </c>
      <c r="D1" s="1"/>
      <c r="E1" s="1"/>
      <c r="F1" s="4" t="s">
        <v>19</v>
      </c>
      <c r="G1" s="3" t="s">
        <v>20</v>
      </c>
      <c r="H1" s="1"/>
      <c r="I1" s="1"/>
    </row>
    <row r="2" spans="1:9" ht="17" x14ac:dyDescent="0.5">
      <c r="A2" s="1"/>
      <c r="B2" s="1" t="s">
        <v>0</v>
      </c>
      <c r="C2" s="1"/>
      <c r="D2" s="1"/>
      <c r="E2" s="1" t="s">
        <v>13</v>
      </c>
      <c r="F2" s="1" t="s">
        <v>1</v>
      </c>
      <c r="G2" s="1" t="s">
        <v>2</v>
      </c>
      <c r="H2" s="1"/>
      <c r="I2" s="1"/>
    </row>
    <row r="3" spans="1:9" ht="17" x14ac:dyDescent="0.5">
      <c r="A3" s="1" t="s">
        <v>11</v>
      </c>
      <c r="B3" s="1" t="s">
        <v>3</v>
      </c>
      <c r="C3" s="1" t="s">
        <v>4</v>
      </c>
      <c r="D3" s="1" t="s">
        <v>5</v>
      </c>
      <c r="E3" s="1" t="s">
        <v>13</v>
      </c>
      <c r="F3" s="1" t="s">
        <v>6</v>
      </c>
      <c r="G3" s="1" t="s">
        <v>7</v>
      </c>
      <c r="H3" s="1" t="s">
        <v>8</v>
      </c>
      <c r="I3" s="1"/>
    </row>
    <row r="4" spans="1:9" ht="17" x14ac:dyDescent="0.5">
      <c r="A4" s="1"/>
      <c r="B4" s="1"/>
      <c r="C4" s="1"/>
      <c r="D4" s="1"/>
      <c r="E4" s="1" t="s">
        <v>13</v>
      </c>
      <c r="F4" s="1"/>
      <c r="G4" s="1"/>
      <c r="H4" s="1" t="s">
        <v>9</v>
      </c>
      <c r="I4" s="1" t="s">
        <v>10</v>
      </c>
    </row>
    <row r="5" spans="1:9" ht="17" x14ac:dyDescent="0.5">
      <c r="A5" s="1" t="s">
        <v>12</v>
      </c>
      <c r="B5" s="1"/>
      <c r="C5" s="1"/>
      <c r="D5" s="1"/>
      <c r="E5" s="1" t="s">
        <v>13</v>
      </c>
      <c r="F5" s="1"/>
      <c r="G5" s="1"/>
      <c r="H5" s="1"/>
      <c r="I5" s="1"/>
    </row>
    <row r="6" spans="1:9" ht="17" x14ac:dyDescent="0.5">
      <c r="A6" s="2">
        <v>37043</v>
      </c>
      <c r="B6" s="4">
        <v>-620</v>
      </c>
      <c r="C6" s="1"/>
      <c r="D6" s="1"/>
      <c r="E6" s="1" t="s">
        <v>13</v>
      </c>
      <c r="F6" s="1"/>
      <c r="G6" s="3">
        <v>-620</v>
      </c>
      <c r="H6" s="1"/>
      <c r="I6" s="1"/>
    </row>
    <row r="7" spans="1:9" ht="17" x14ac:dyDescent="0.5">
      <c r="A7" s="2">
        <v>38504</v>
      </c>
      <c r="B7" s="4">
        <v>-500</v>
      </c>
      <c r="C7" s="1"/>
      <c r="D7" s="3">
        <v>3000</v>
      </c>
      <c r="E7" s="1" t="s">
        <v>13</v>
      </c>
      <c r="F7" s="4">
        <v>2500</v>
      </c>
      <c r="G7" s="1"/>
      <c r="H7" s="1"/>
      <c r="I7" s="1"/>
    </row>
    <row r="8" spans="1:9" ht="17" x14ac:dyDescent="0.5">
      <c r="A8" s="2">
        <v>39965</v>
      </c>
      <c r="B8" s="4">
        <v>-460</v>
      </c>
      <c r="C8" s="1"/>
      <c r="D8" s="1"/>
      <c r="E8" s="1" t="s">
        <v>13</v>
      </c>
      <c r="F8" s="1"/>
      <c r="G8" s="1"/>
      <c r="H8" s="3">
        <v>-460</v>
      </c>
      <c r="I8" s="1" t="s">
        <v>14</v>
      </c>
    </row>
    <row r="9" spans="1:9" ht="17" x14ac:dyDescent="0.5">
      <c r="A9" s="2">
        <v>41791</v>
      </c>
      <c r="B9" s="4">
        <v>-240</v>
      </c>
      <c r="C9" s="1"/>
      <c r="D9" s="1"/>
      <c r="E9" s="1" t="s">
        <v>13</v>
      </c>
      <c r="F9" s="3">
        <v>-240</v>
      </c>
      <c r="G9" s="1"/>
      <c r="H9" s="1"/>
      <c r="I9" s="1"/>
    </row>
    <row r="10" spans="1:9" ht="17" x14ac:dyDescent="0.5">
      <c r="A10" s="2">
        <v>43252</v>
      </c>
      <c r="B10" s="4">
        <v>-680</v>
      </c>
      <c r="C10" s="1"/>
      <c r="D10" s="1"/>
      <c r="E10" s="1" t="s">
        <v>13</v>
      </c>
      <c r="F10" s="1"/>
      <c r="G10" s="1"/>
      <c r="H10" s="3">
        <v>-680</v>
      </c>
      <c r="I10" s="1" t="s">
        <v>15</v>
      </c>
    </row>
    <row r="11" spans="1:9" ht="17" x14ac:dyDescent="0.5">
      <c r="A11" s="2">
        <v>44713</v>
      </c>
      <c r="B11" s="3">
        <v>300</v>
      </c>
      <c r="C11" s="1">
        <v>-300</v>
      </c>
      <c r="D11" s="1"/>
      <c r="E11" s="1" t="s">
        <v>13</v>
      </c>
      <c r="F11" s="1"/>
      <c r="G11" s="1"/>
      <c r="H11" s="1"/>
      <c r="I11" s="1"/>
    </row>
    <row r="12" spans="1:9" ht="17" x14ac:dyDescent="0.5">
      <c r="A12" s="2">
        <v>11110</v>
      </c>
      <c r="B12" s="3">
        <v>10500</v>
      </c>
      <c r="C12" s="3">
        <v>4500</v>
      </c>
      <c r="D12" s="1"/>
      <c r="E12" s="1" t="s">
        <v>13</v>
      </c>
      <c r="F12" s="1"/>
      <c r="G12" s="1"/>
      <c r="H12" s="4">
        <v>15000</v>
      </c>
      <c r="I12" s="1" t="s">
        <v>16</v>
      </c>
    </row>
    <row r="13" spans="1:9" ht="17" x14ac:dyDescent="0.5">
      <c r="A13" s="1"/>
      <c r="B13" s="1"/>
      <c r="C13" s="1"/>
      <c r="D13" s="1"/>
      <c r="E13" s="1"/>
      <c r="F13" s="1"/>
      <c r="G13" s="1"/>
      <c r="H13" s="1"/>
      <c r="I13" s="1"/>
    </row>
    <row r="14" spans="1:9" ht="17" x14ac:dyDescent="0.5">
      <c r="A14" s="1"/>
      <c r="B14" s="1"/>
      <c r="C14" s="1"/>
      <c r="D14" s="1"/>
      <c r="E14" s="1"/>
      <c r="F14" s="1"/>
      <c r="G14" s="1"/>
      <c r="H14" s="1"/>
      <c r="I14" s="1"/>
    </row>
    <row r="15" spans="1:9" ht="17" x14ac:dyDescent="0.5">
      <c r="A15" s="1"/>
      <c r="B15" s="1"/>
      <c r="C15" s="1"/>
      <c r="D15" s="1"/>
      <c r="E15" s="1"/>
      <c r="F15" s="1"/>
      <c r="G15" s="1"/>
      <c r="H15" s="1"/>
      <c r="I15" s="1"/>
    </row>
    <row r="16" spans="1:9" ht="17" x14ac:dyDescent="0.5">
      <c r="A16" s="1"/>
      <c r="B16" s="1"/>
      <c r="C16" s="1"/>
      <c r="D16" s="1"/>
      <c r="E16" s="1"/>
      <c r="F16" s="1"/>
      <c r="G16" s="1"/>
      <c r="H16" s="1"/>
      <c r="I16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BA2A-C3B9-48E4-A793-33D1A5662D02}">
  <dimension ref="A5:H23"/>
  <sheetViews>
    <sheetView topLeftCell="A5" zoomScale="177" workbookViewId="0">
      <selection activeCell="K20" sqref="K20"/>
    </sheetView>
  </sheetViews>
  <sheetFormatPr defaultRowHeight="14.5" x14ac:dyDescent="0.35"/>
  <cols>
    <col min="1" max="1" width="22.7265625" customWidth="1"/>
    <col min="4" max="4" width="3.453125" customWidth="1"/>
    <col min="7" max="8" width="9.90625" bestFit="1" customWidth="1"/>
  </cols>
  <sheetData>
    <row r="5" spans="1:8" x14ac:dyDescent="0.35">
      <c r="A5" t="s">
        <v>96</v>
      </c>
    </row>
    <row r="6" spans="1:8" x14ac:dyDescent="0.35">
      <c r="A6" s="56" t="s">
        <v>37</v>
      </c>
    </row>
    <row r="7" spans="1:8" ht="15" thickBot="1" x14ac:dyDescent="0.4">
      <c r="B7" s="6"/>
      <c r="C7" s="6"/>
      <c r="D7" s="5"/>
      <c r="G7" t="s">
        <v>38</v>
      </c>
    </row>
    <row r="8" spans="1:8" x14ac:dyDescent="0.35">
      <c r="A8" s="11" t="s">
        <v>21</v>
      </c>
      <c r="B8" s="7" t="s">
        <v>22</v>
      </c>
      <c r="C8" s="20" t="s">
        <v>27</v>
      </c>
      <c r="D8" s="31"/>
      <c r="E8" s="32" t="s">
        <v>22</v>
      </c>
      <c r="F8" s="33" t="s">
        <v>27</v>
      </c>
      <c r="G8" s="27" t="s">
        <v>22</v>
      </c>
      <c r="H8" s="8" t="s">
        <v>27</v>
      </c>
    </row>
    <row r="9" spans="1:8" ht="17" x14ac:dyDescent="0.5">
      <c r="A9" s="12" t="s">
        <v>28</v>
      </c>
      <c r="B9" s="15">
        <v>2400</v>
      </c>
      <c r="C9" s="21"/>
      <c r="D9" s="34">
        <v>2</v>
      </c>
      <c r="E9" s="1"/>
      <c r="F9" s="35">
        <v>180</v>
      </c>
      <c r="G9" s="28">
        <f>B9+E9-F9-F10</f>
        <v>1670</v>
      </c>
      <c r="H9" s="10"/>
    </row>
    <row r="10" spans="1:8" ht="17" x14ac:dyDescent="0.5">
      <c r="A10" s="13"/>
      <c r="B10" s="15"/>
      <c r="C10" s="21"/>
      <c r="D10" s="34">
        <v>4</v>
      </c>
      <c r="E10" s="1"/>
      <c r="F10" s="35">
        <v>550</v>
      </c>
      <c r="G10" s="29"/>
      <c r="H10" s="10"/>
    </row>
    <row r="11" spans="1:8" ht="17" x14ac:dyDescent="0.5">
      <c r="A11" s="13" t="s">
        <v>33</v>
      </c>
      <c r="B11" s="16">
        <v>530</v>
      </c>
      <c r="C11" s="22"/>
      <c r="D11" s="36">
        <v>3</v>
      </c>
      <c r="E11" s="1">
        <v>1670</v>
      </c>
      <c r="F11" s="35"/>
      <c r="G11" s="30">
        <f>B11+E11-F11</f>
        <v>2200</v>
      </c>
      <c r="H11" s="10"/>
    </row>
    <row r="12" spans="1:8" ht="17" x14ac:dyDescent="0.5">
      <c r="A12" s="13" t="s">
        <v>34</v>
      </c>
      <c r="B12" s="18">
        <v>8200</v>
      </c>
      <c r="C12" s="22"/>
      <c r="D12" s="36"/>
      <c r="E12" s="1"/>
      <c r="F12" s="35"/>
      <c r="G12" s="30">
        <f t="shared" ref="G12:G13" si="0">B12+E12-F12</f>
        <v>8200</v>
      </c>
      <c r="H12" s="10"/>
    </row>
    <row r="13" spans="1:8" ht="17" x14ac:dyDescent="0.5">
      <c r="A13" s="13" t="s">
        <v>23</v>
      </c>
      <c r="B13" s="18">
        <v>420</v>
      </c>
      <c r="C13" s="22"/>
      <c r="D13" s="36"/>
      <c r="E13" s="1"/>
      <c r="F13" s="35"/>
      <c r="G13" s="30">
        <f t="shared" si="0"/>
        <v>420</v>
      </c>
      <c r="H13" s="10"/>
    </row>
    <row r="14" spans="1:8" ht="17" x14ac:dyDescent="0.5">
      <c r="A14" s="13" t="s">
        <v>29</v>
      </c>
      <c r="B14" s="17"/>
      <c r="C14" s="23">
        <v>2160</v>
      </c>
      <c r="D14" s="36">
        <v>2</v>
      </c>
      <c r="E14" s="1">
        <v>180</v>
      </c>
      <c r="F14" s="35"/>
      <c r="G14" s="29"/>
      <c r="H14" s="9">
        <f>C14-E14+F14</f>
        <v>1980</v>
      </c>
    </row>
    <row r="15" spans="1:8" ht="17" x14ac:dyDescent="0.5">
      <c r="A15" s="13" t="s">
        <v>30</v>
      </c>
      <c r="B15" s="17"/>
      <c r="C15" s="24">
        <v>2980</v>
      </c>
      <c r="D15" s="36"/>
      <c r="E15" s="1"/>
      <c r="F15" s="35"/>
      <c r="G15" s="29"/>
      <c r="H15" s="9">
        <f t="shared" ref="H15:H17" si="1">C15-E15+F15</f>
        <v>2980</v>
      </c>
    </row>
    <row r="16" spans="1:8" ht="17" x14ac:dyDescent="0.5">
      <c r="A16" s="13" t="s">
        <v>31</v>
      </c>
      <c r="B16" s="17"/>
      <c r="C16" s="24">
        <v>4500</v>
      </c>
      <c r="D16" s="34">
        <v>1</v>
      </c>
      <c r="E16" s="1"/>
      <c r="F16" s="37">
        <v>900</v>
      </c>
      <c r="G16" s="29"/>
      <c r="H16" s="9">
        <f t="shared" si="1"/>
        <v>5400</v>
      </c>
    </row>
    <row r="17" spans="1:8" ht="17" x14ac:dyDescent="0.5">
      <c r="A17" s="13" t="s">
        <v>35</v>
      </c>
      <c r="B17" s="17"/>
      <c r="C17" s="24">
        <v>6400</v>
      </c>
      <c r="D17" s="36"/>
      <c r="E17" s="1"/>
      <c r="F17" s="35"/>
      <c r="G17" s="29"/>
      <c r="H17" s="9">
        <f t="shared" si="1"/>
        <v>6400</v>
      </c>
    </row>
    <row r="18" spans="1:8" ht="17" x14ac:dyDescent="0.5">
      <c r="A18" s="13" t="s">
        <v>36</v>
      </c>
      <c r="B18" s="16">
        <v>6220</v>
      </c>
      <c r="C18" s="22"/>
      <c r="D18" s="36">
        <v>5</v>
      </c>
      <c r="E18" s="1">
        <v>600</v>
      </c>
      <c r="F18" s="35"/>
      <c r="G18" s="30">
        <f>B18+E18-F18</f>
        <v>6820</v>
      </c>
      <c r="H18" s="10"/>
    </row>
    <row r="19" spans="1:8" ht="17" x14ac:dyDescent="0.5">
      <c r="A19" s="13" t="s">
        <v>24</v>
      </c>
      <c r="B19" s="17"/>
      <c r="C19" s="25">
        <v>13800</v>
      </c>
      <c r="D19" s="36"/>
      <c r="E19" s="1"/>
      <c r="F19" s="35"/>
      <c r="G19" s="29"/>
      <c r="H19" s="9">
        <f>C19-E19+F19</f>
        <v>13800</v>
      </c>
    </row>
    <row r="20" spans="1:8" ht="17" x14ac:dyDescent="0.5">
      <c r="A20" s="13" t="s">
        <v>32</v>
      </c>
      <c r="B20" s="16">
        <v>5100</v>
      </c>
      <c r="C20" s="22"/>
      <c r="D20" s="36"/>
      <c r="E20" s="1"/>
      <c r="F20" s="35"/>
      <c r="G20" s="30">
        <f>B20+E20-F20</f>
        <v>5100</v>
      </c>
      <c r="H20" s="10"/>
    </row>
    <row r="21" spans="1:8" ht="17" x14ac:dyDescent="0.5">
      <c r="A21" s="13" t="s">
        <v>25</v>
      </c>
      <c r="B21" s="18">
        <v>3200</v>
      </c>
      <c r="C21" s="22"/>
      <c r="D21" s="36"/>
      <c r="E21" s="1"/>
      <c r="F21" s="35"/>
      <c r="G21" s="30">
        <f t="shared" ref="G21:G22" si="2">B21+E21-F21</f>
        <v>3200</v>
      </c>
      <c r="H21" s="10"/>
    </row>
    <row r="22" spans="1:8" ht="17" x14ac:dyDescent="0.5">
      <c r="A22" s="13" t="s">
        <v>26</v>
      </c>
      <c r="B22" s="16">
        <v>2950</v>
      </c>
      <c r="C22" s="22"/>
      <c r="D22" s="36"/>
      <c r="E22" s="1"/>
      <c r="F22" s="35"/>
      <c r="G22" s="30">
        <f t="shared" si="2"/>
        <v>2950</v>
      </c>
      <c r="H22" s="10"/>
    </row>
    <row r="23" spans="1:8" ht="17.5" thickBot="1" x14ac:dyDescent="0.55000000000000004">
      <c r="A23" s="14"/>
      <c r="B23" s="19">
        <f>SUM(B9:B22)</f>
        <v>29020</v>
      </c>
      <c r="C23" s="26">
        <f>SUM(C9:C22)</f>
        <v>29840</v>
      </c>
      <c r="D23" s="38"/>
      <c r="E23" s="39"/>
      <c r="F23" s="40"/>
      <c r="G23" s="28">
        <f>SUM(G9:G22)</f>
        <v>30560</v>
      </c>
      <c r="H23" s="9">
        <f>SUM(H9:H22)</f>
        <v>30560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950E-2CD7-4B78-893D-5069FC5F86D5}">
  <dimension ref="A1:L4"/>
  <sheetViews>
    <sheetView workbookViewId="0">
      <selection activeCell="G47" sqref="G47"/>
    </sheetView>
  </sheetViews>
  <sheetFormatPr defaultRowHeight="14.5" x14ac:dyDescent="0.35"/>
  <cols>
    <col min="2" max="2" width="9.453125" bestFit="1" customWidth="1"/>
    <col min="3" max="3" width="11.7265625" bestFit="1" customWidth="1"/>
    <col min="10" max="10" width="12.90625" bestFit="1" customWidth="1"/>
  </cols>
  <sheetData>
    <row r="1" spans="1:12" ht="17" x14ac:dyDescent="0.5">
      <c r="A1" s="1" t="s">
        <v>97</v>
      </c>
      <c r="B1" s="3" t="s">
        <v>17</v>
      </c>
      <c r="C1" s="4" t="s">
        <v>18</v>
      </c>
      <c r="D1" s="1"/>
      <c r="E1" s="1"/>
      <c r="F1" s="1"/>
      <c r="G1" s="1"/>
      <c r="H1" s="4" t="s">
        <v>19</v>
      </c>
      <c r="J1" s="3" t="s">
        <v>20</v>
      </c>
      <c r="K1" s="1"/>
      <c r="L1" s="1"/>
    </row>
    <row r="2" spans="1:12" ht="17" x14ac:dyDescent="0.5">
      <c r="A2" s="1"/>
      <c r="B2" s="1"/>
      <c r="C2" s="1" t="s">
        <v>0</v>
      </c>
      <c r="D2" s="1"/>
      <c r="E2" s="1"/>
      <c r="F2" s="1"/>
      <c r="G2" s="1" t="s">
        <v>1</v>
      </c>
      <c r="I2" s="1"/>
      <c r="J2" s="1" t="s">
        <v>39</v>
      </c>
      <c r="K2" s="1"/>
      <c r="L2" s="1"/>
    </row>
    <row r="3" spans="1:12" ht="17" x14ac:dyDescent="0.5">
      <c r="A3" s="1" t="s">
        <v>100</v>
      </c>
      <c r="B3" s="1" t="s">
        <v>3</v>
      </c>
      <c r="C3" s="1" t="s">
        <v>99</v>
      </c>
      <c r="D3" s="1" t="s">
        <v>4</v>
      </c>
      <c r="E3" s="1"/>
      <c r="F3" s="1" t="s">
        <v>13</v>
      </c>
      <c r="G3" s="1" t="s">
        <v>6</v>
      </c>
      <c r="H3" s="1" t="s">
        <v>41</v>
      </c>
      <c r="I3" s="1" t="s">
        <v>94</v>
      </c>
      <c r="J3" s="1" t="s">
        <v>42</v>
      </c>
      <c r="K3" s="1" t="s">
        <v>43</v>
      </c>
      <c r="L3" s="1"/>
    </row>
    <row r="4" spans="1:12" ht="17" x14ac:dyDescent="0.5">
      <c r="B4" s="1" t="s">
        <v>98</v>
      </c>
      <c r="C4" s="1"/>
      <c r="D4" s="1"/>
      <c r="E4" s="1"/>
      <c r="F4" s="1" t="s">
        <v>13</v>
      </c>
      <c r="G4" s="1"/>
      <c r="H4" s="1"/>
      <c r="I4" s="1"/>
      <c r="J4" s="1" t="s">
        <v>92</v>
      </c>
      <c r="K4" s="1" t="s">
        <v>9</v>
      </c>
      <c r="L4" s="1" t="s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3730-14B6-4677-A48D-DB25619545D1}">
  <dimension ref="A1:L4"/>
  <sheetViews>
    <sheetView workbookViewId="0">
      <selection activeCell="G47" sqref="G47"/>
    </sheetView>
  </sheetViews>
  <sheetFormatPr defaultRowHeight="14.5" x14ac:dyDescent="0.35"/>
  <cols>
    <col min="2" max="2" width="9.453125" bestFit="1" customWidth="1"/>
    <col min="3" max="3" width="11.7265625" bestFit="1" customWidth="1"/>
    <col min="10" max="10" width="12.90625" bestFit="1" customWidth="1"/>
  </cols>
  <sheetData>
    <row r="1" spans="1:12" ht="17" x14ac:dyDescent="0.5">
      <c r="A1" s="1" t="s">
        <v>97</v>
      </c>
      <c r="B1" s="3" t="s">
        <v>17</v>
      </c>
      <c r="C1" s="4" t="s">
        <v>18</v>
      </c>
      <c r="D1" s="1"/>
      <c r="E1" s="1"/>
      <c r="F1" s="1"/>
      <c r="G1" s="1"/>
      <c r="H1" s="4" t="s">
        <v>19</v>
      </c>
      <c r="J1" s="3" t="s">
        <v>20</v>
      </c>
      <c r="K1" s="1"/>
      <c r="L1" s="1"/>
    </row>
    <row r="2" spans="1:12" ht="17" x14ac:dyDescent="0.5">
      <c r="A2" s="1"/>
      <c r="B2" s="1"/>
      <c r="C2" s="1" t="s">
        <v>0</v>
      </c>
      <c r="D2" s="1"/>
      <c r="E2" s="1"/>
      <c r="F2" s="1"/>
      <c r="G2" s="1" t="s">
        <v>1</v>
      </c>
      <c r="I2" s="1"/>
      <c r="J2" s="1" t="s">
        <v>39</v>
      </c>
      <c r="K2" s="1"/>
      <c r="L2" s="1"/>
    </row>
    <row r="3" spans="1:12" ht="17" x14ac:dyDescent="0.5">
      <c r="A3" s="1" t="s">
        <v>100</v>
      </c>
      <c r="B3" s="1" t="s">
        <v>3</v>
      </c>
      <c r="C3" s="1" t="s">
        <v>99</v>
      </c>
      <c r="D3" s="1" t="s">
        <v>4</v>
      </c>
      <c r="E3" s="1"/>
      <c r="F3" s="1" t="s">
        <v>13</v>
      </c>
      <c r="G3" s="1" t="s">
        <v>6</v>
      </c>
      <c r="H3" s="1" t="s">
        <v>41</v>
      </c>
      <c r="I3" s="1" t="s">
        <v>94</v>
      </c>
      <c r="J3" s="1" t="s">
        <v>42</v>
      </c>
      <c r="K3" s="1" t="s">
        <v>43</v>
      </c>
      <c r="L3" s="1"/>
    </row>
    <row r="4" spans="1:12" ht="17" x14ac:dyDescent="0.5">
      <c r="B4" s="1" t="s">
        <v>98</v>
      </c>
      <c r="C4" s="1"/>
      <c r="D4" s="1"/>
      <c r="E4" s="1"/>
      <c r="F4" s="1" t="s">
        <v>13</v>
      </c>
      <c r="G4" s="1"/>
      <c r="H4" s="1"/>
      <c r="I4" s="1"/>
      <c r="J4" s="1" t="s">
        <v>92</v>
      </c>
      <c r="K4" s="1" t="s">
        <v>9</v>
      </c>
      <c r="L4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System</vt:lpstr>
      <vt:lpstr>System (2)</vt:lpstr>
      <vt:lpstr>Ex 3.5</vt:lpstr>
      <vt:lpstr>Ex 3.13</vt:lpstr>
      <vt:lpstr>P3.16</vt:lpstr>
      <vt:lpstr>P3.17</vt:lpstr>
      <vt:lpstr>ANSWERS</vt:lpstr>
      <vt:lpstr>Ex 3.5 (2)</vt:lpstr>
      <vt:lpstr>Ex 3.13 (2)</vt:lpstr>
      <vt:lpstr>P3.17 (2)</vt:lpstr>
      <vt:lpstr>P3.17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Manek Mukesh</dc:creator>
  <cp:lastModifiedBy>Manek Mukesh</cp:lastModifiedBy>
  <dcterms:created xsi:type="dcterms:W3CDTF">2025-04-16T00:58:25Z</dcterms:created>
  <dcterms:modified xsi:type="dcterms:W3CDTF">2025-04-16T23:19:35Z</dcterms:modified>
</cp:coreProperties>
</file>