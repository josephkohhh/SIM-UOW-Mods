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sep\Desktop\"/>
    </mc:Choice>
  </mc:AlternateContent>
  <xr:revisionPtr revIDLastSave="0" documentId="13_ncr:1_{4194DFE3-4B0E-4C89-B4C2-AFBAB98626AC}" xr6:coauthVersionLast="47" xr6:coauthVersionMax="47" xr10:uidLastSave="{00000000-0000-0000-0000-000000000000}"/>
  <bookViews>
    <workbookView xWindow="-120" yWindow="-120" windowWidth="29040" windowHeight="15720" xr2:uid="{00000000-000D-0000-FFFF-FFFF00000000}"/>
  </bookViews>
  <sheets>
    <sheet name="Data" sheetId="1" r:id="rId1"/>
    <sheet name="Country Assigned" sheetId="16" r:id="rId2"/>
    <sheet name="sg" sheetId="10" r:id="rId3"/>
    <sheet name="regression 1 _SG" sheetId="11" r:id="rId4"/>
    <sheet name="regression 2_SG" sheetId="12" r:id="rId5"/>
    <sheet name="regression 3_sg" sheetId="17" r:id="rId6"/>
    <sheet name="SG_Charts " sheetId="13" r:id="rId7"/>
    <sheet name="Series - Metadata" sheetId="2" r:id="rId8"/>
  </sheets>
  <externalReferences>
    <externalReference r:id="rId9"/>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0" l="1"/>
  <c r="Y6" i="10"/>
  <c r="Y7" i="10"/>
  <c r="Y8" i="10"/>
  <c r="Y9" i="10"/>
  <c r="Y10" i="10"/>
  <c r="Y11" i="10"/>
  <c r="Y12" i="10"/>
  <c r="Y13" i="10"/>
  <c r="Y14" i="10"/>
  <c r="Y15" i="10"/>
  <c r="Y16" i="10"/>
  <c r="Y17" i="10"/>
  <c r="Y18" i="10"/>
  <c r="Y19" i="10"/>
  <c r="Y20" i="10"/>
  <c r="Y21" i="10"/>
  <c r="Y22" i="10"/>
  <c r="Y23" i="10"/>
  <c r="Y24" i="10"/>
  <c r="Y25" i="10"/>
  <c r="Y26" i="10"/>
  <c r="Y27" i="10"/>
  <c r="Y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4" i="10"/>
  <c r="R9" i="10"/>
  <c r="R10" i="10"/>
  <c r="R11" i="10"/>
  <c r="R12" i="10"/>
  <c r="R13" i="10"/>
  <c r="R14" i="10"/>
  <c r="R15" i="10"/>
  <c r="R16" i="10"/>
  <c r="R17" i="10"/>
  <c r="R18" i="10"/>
  <c r="R19" i="10"/>
  <c r="R20" i="10"/>
  <c r="R21" i="10"/>
  <c r="R22" i="10"/>
  <c r="R23" i="10"/>
  <c r="R24" i="10"/>
  <c r="R25" i="10"/>
  <c r="O5" i="10"/>
  <c r="O6" i="10"/>
  <c r="O7" i="10"/>
  <c r="O8" i="10"/>
  <c r="O9" i="10"/>
  <c r="O10" i="10"/>
  <c r="O11" i="10"/>
  <c r="O12" i="10"/>
  <c r="O13" i="10"/>
  <c r="O14" i="10"/>
  <c r="O15" i="10"/>
  <c r="O16" i="10"/>
  <c r="O17" i="10"/>
  <c r="O18" i="10"/>
  <c r="O19" i="10"/>
  <c r="O20" i="10"/>
  <c r="O21" i="10"/>
  <c r="O22" i="10"/>
  <c r="O23" i="10"/>
  <c r="O24" i="10"/>
  <c r="O25" i="10"/>
  <c r="O26" i="10"/>
  <c r="O27" i="10"/>
  <c r="O4" i="10"/>
  <c r="N4" i="10"/>
  <c r="N5" i="10"/>
  <c r="N6" i="10"/>
  <c r="N7" i="10"/>
  <c r="N8" i="10"/>
  <c r="N9" i="10"/>
  <c r="N10" i="10"/>
  <c r="N11" i="10"/>
  <c r="N12" i="10"/>
  <c r="N13" i="10"/>
  <c r="N14" i="10"/>
  <c r="N15" i="10"/>
  <c r="N16" i="10"/>
  <c r="N17" i="10"/>
  <c r="N18" i="10"/>
  <c r="N19" i="10"/>
  <c r="N20" i="10"/>
  <c r="N21" i="10"/>
  <c r="N22" i="10"/>
  <c r="N23" i="10"/>
  <c r="N24" i="10"/>
  <c r="N25" i="10"/>
  <c r="N26" i="10"/>
  <c r="N27" i="10"/>
  <c r="N3" i="10"/>
  <c r="M5" i="10"/>
  <c r="M6" i="10"/>
  <c r="M7" i="10"/>
  <c r="M8" i="10"/>
  <c r="M9" i="10"/>
  <c r="M10" i="10"/>
  <c r="M11" i="10"/>
  <c r="M12" i="10"/>
  <c r="M13" i="10"/>
  <c r="M14" i="10"/>
  <c r="M15" i="10"/>
  <c r="M16" i="10"/>
  <c r="M17" i="10"/>
  <c r="M18" i="10"/>
  <c r="M19" i="10"/>
  <c r="M20" i="10"/>
  <c r="M21" i="10"/>
  <c r="M22" i="10"/>
  <c r="M23" i="10"/>
  <c r="M24" i="10"/>
  <c r="M25" i="10"/>
  <c r="M26" i="10"/>
  <c r="M27" i="10"/>
  <c r="M4" i="10"/>
  <c r="L4" i="10"/>
  <c r="L5" i="10"/>
  <c r="L6" i="10"/>
  <c r="L7" i="10"/>
  <c r="L8" i="10"/>
  <c r="L9" i="10"/>
  <c r="L10" i="10"/>
  <c r="L11" i="10"/>
  <c r="L12" i="10"/>
  <c r="L13" i="10"/>
  <c r="L14" i="10"/>
  <c r="L15" i="10"/>
  <c r="L16" i="10"/>
  <c r="L17" i="10"/>
  <c r="L18" i="10"/>
  <c r="L19" i="10"/>
  <c r="L20" i="10"/>
  <c r="L21" i="10"/>
  <c r="L22" i="10"/>
  <c r="L23" i="10"/>
  <c r="L24" i="10"/>
  <c r="L25" i="10"/>
  <c r="L26" i="10"/>
  <c r="L27" i="10"/>
  <c r="L3" i="10"/>
  <c r="K5" i="10"/>
  <c r="K6" i="10"/>
  <c r="K7" i="10"/>
  <c r="K8" i="10"/>
  <c r="K9" i="10"/>
  <c r="K10" i="10"/>
  <c r="K11" i="10"/>
  <c r="K12" i="10"/>
  <c r="K13" i="10"/>
  <c r="K14" i="10"/>
  <c r="K15" i="10"/>
  <c r="K16" i="10"/>
  <c r="K17" i="10"/>
  <c r="K18" i="10"/>
  <c r="K19" i="10"/>
  <c r="K20" i="10"/>
  <c r="K21" i="10"/>
  <c r="K22" i="10"/>
  <c r="K23" i="10"/>
  <c r="K24" i="10"/>
  <c r="K25" i="10"/>
  <c r="K26" i="10"/>
  <c r="K27" i="10"/>
  <c r="K4" i="10"/>
  <c r="J4" i="10"/>
  <c r="J5" i="10"/>
  <c r="J6" i="10"/>
  <c r="J7" i="10"/>
  <c r="J8" i="10"/>
  <c r="J9" i="10"/>
  <c r="J10" i="10"/>
  <c r="J11" i="10"/>
  <c r="J12" i="10"/>
  <c r="J13" i="10"/>
  <c r="J14" i="10"/>
  <c r="J15" i="10"/>
  <c r="J16" i="10"/>
  <c r="J17" i="10"/>
  <c r="J18" i="10"/>
  <c r="J19" i="10"/>
  <c r="J20" i="10"/>
  <c r="J21" i="10"/>
  <c r="J22" i="10"/>
  <c r="J23" i="10"/>
  <c r="J24" i="10"/>
  <c r="J25" i="10"/>
  <c r="J26" i="10"/>
  <c r="J27" i="10"/>
  <c r="J3" i="10"/>
  <c r="I4" i="10"/>
  <c r="I5" i="10"/>
  <c r="I6" i="10"/>
  <c r="I7" i="10"/>
  <c r="I8" i="10"/>
  <c r="I9" i="10"/>
  <c r="I10" i="10"/>
  <c r="I11" i="10"/>
  <c r="I12" i="10"/>
  <c r="I13" i="10"/>
  <c r="I14" i="10"/>
  <c r="I15" i="10"/>
  <c r="I16" i="10"/>
  <c r="I17" i="10"/>
  <c r="I18" i="10"/>
  <c r="I19" i="10"/>
  <c r="I20" i="10"/>
  <c r="I21" i="10"/>
  <c r="I22" i="10"/>
  <c r="I23" i="10"/>
  <c r="I24" i="10"/>
  <c r="I25" i="10"/>
  <c r="I26" i="10"/>
  <c r="I27" i="10"/>
  <c r="I3" i="10"/>
  <c r="AB29" i="16"/>
  <c r="AA29" i="16"/>
  <c r="Z29" i="16"/>
  <c r="Y29" i="16"/>
  <c r="X29" i="16"/>
</calcChain>
</file>

<file path=xl/sharedStrings.xml><?xml version="1.0" encoding="utf-8"?>
<sst xmlns="http://schemas.openxmlformats.org/spreadsheetml/2006/main" count="489" uniqueCount="176">
  <si>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</si>
  <si>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</si>
  <si>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</si>
  <si>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</si>
  <si>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</si>
  <si>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</si>
  <si>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</si>
  <si>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</si>
  <si>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</si>
  <si>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</si>
  <si>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</si>
  <si>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</si>
  <si>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</si>
  <si>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</si>
  <si>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</si>
  <si>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</si>
  <si>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</si>
  <si>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</si>
  <si>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</si>
  <si>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</si>
  <si>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</si>
  <si>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</si>
  <si>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</si>
  <si>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</si>
  <si>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</si>
  <si>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</si>
  <si>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</si>
  <si>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</si>
  <si>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</si>
  <si>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</si>
  <si>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</si>
  <si>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</si>
  <si>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</si>
  <si>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</si>
  <si>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</si>
  <si>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</si>
  <si>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</si>
  <si>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</si>
  <si>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</si>
  <si>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</si>
  <si>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</si>
  <si>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</si>
  <si>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</si>
  <si>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</si>
  <si>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</si>
  <si>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</si>
  <si>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</si>
  <si>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</si>
  <si>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</si>
  <si>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</si>
  <si>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</si>
  <si>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</si>
  <si>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</si>
  <si>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</si>
  <si>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</si>
  <si>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</si>
  <si>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</si>
  <si>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</si>
  <si>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</si>
  <si>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</si>
  <si>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</si>
  <si>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</si>
  <si>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</si>
  <si>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</si>
  <si>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</si>
  <si>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</si>
  <si>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</si>
  <si>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</si>
  <si>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</si>
  <si>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</si>
  <si>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</si>
  <si>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</si>
  <si>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</si>
  <si>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</si>
  <si>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</si>
  <si>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</si>
  <si>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</si>
  <si>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</si>
  <si>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</si>
  <si>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</si>
  <si>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</si>
  <si>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</si>
  <si>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</si>
  <si>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</si>
  <si>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</si>
  <si>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</si>
  <si>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</si>
  <si>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</si>
  <si>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</si>
  <si>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</si>
  <si>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</si>
  <si>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</si>
  <si>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</si>
  <si>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</si>
  <si>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</si>
  <si>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</si>
  <si>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</si>
  <si>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</si>
  <si>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</si>
  <si>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</si>
  <si>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</si>
  <si>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</si>
  <si>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</si>
  <si>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</si>
  <si>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</si>
  <si>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</si>
  <si>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</si>
  <si>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</si>
  <si>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</si>
  <si>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</si>
  <si>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</si>
  <si>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</si>
  <si>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</si>
  <si>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</si>
  <si>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</si>
  <si>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%capital per employed</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</si>
  <si>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</si>
  <si>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</si>
  <si>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</si>
  <si>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</si>
  <si>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</si>
  <si>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</si>
  <si>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</si>
  <si>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</si>
  <si>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</si>
  <si>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</si>
  <si>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</si>
  <si>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</si>
  <si>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</si>
  <si>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</si>
  <si>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</si>
  <si>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</si>
  <si>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</si>
  <si>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</si>
  <si>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</si>
  <si>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</si>
  <si>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</si>
  <si>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</si>
  <si>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</si>
  <si>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</si>
  <si>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</si>
  <si>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</si>
  <si>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</si>
  <si>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</si>
  <si>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</si>
  <si>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</si>
  <si>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</si>
  <si>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</si>
  <si>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</si>
  <si>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</si>
  <si>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</si>
  <si>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</si>
  <si>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</si>
  <si>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</si>
  <si>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</si>
  <si>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</si>
  <si>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r>
      <t xml:space="preserve">at least completed  upper seondary </t>
    </r>
    <r>
      <rPr>
        <b/>
        <u/>
        <sz val="11"/>
        <color theme="1"/>
        <rFont val="Calibri"/>
        <family val="2"/>
        <scheme val="minor"/>
      </rPr>
      <t>OR</t>
    </r>
    <r>
      <rPr>
        <b/>
        <sz val="11"/>
        <color theme="1"/>
        <rFont val="Calibri"/>
        <family val="2"/>
        <scheme val="minor"/>
      </rPr>
      <t xml:space="preserve"> post-secondary, population 25+, total (%) </t>
    </r>
  </si>
  <si>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</si>
  <si>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</si>
  <si>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</si>
  <si>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</si>
  <si>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</si>
  <si>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</si>
  <si>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</si>
  <si>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</si>
  <si>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</si>
  <si>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</si>
  <si>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</si>
  <si>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</si>
  <si>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</si>
  <si>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</si>
  <si>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</si>
  <si>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</si>
  <si>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</si>
  <si>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</si>
  <si>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r>
      <t xml:space="preserve">at least completed  upper seondary </t>
    </r>
    <r>
      <rPr>
        <u/>
        <sz val="11"/>
        <color theme="1"/>
        <rFont val="Calibri"/>
        <family val="2"/>
        <scheme val="minor"/>
      </rPr>
      <t>OR</t>
    </r>
    <r>
      <rPr>
        <sz val="11"/>
        <color theme="1"/>
        <rFont val="Calibri"/>
        <family val="2"/>
        <scheme val="minor"/>
      </rPr>
      <t xml:space="preserve"> post-secondary, population 25+, total (%)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</si>
</sst>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7" formatCode="&quot;$&quot;#,##0.00"/>
  </numFmts>
  <fonts count="7"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b/>
      <u/>
      <sz val="11"/>
      <color theme="1"/>
      <name val="Calibri"/>
      <family val="2"/>
      <scheme val="minor"/>
    </font>
    <font>
      <sz val="14"/>
      <color theme="1"/>
      <name val="Calibri"/>
      <family val="2"/>
      <scheme val="minor"/>
    </font>
    <font>
      <u/>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s>
  <cellStyleXfs count="2">
    <xf numFmtId="0" fontId="0" fillId="0" borderId="0"/>
    <xf numFmtId="9" fontId="2" fillId="0" borderId="0" applyFont="0" applyFill="0" applyBorder="0" applyAlignment="0" applyProtection="0"/>
  </cellStyleXfs>
  <cellXfs count="65">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0" fontId="0" fillId="3" borderId="0" xfId="1" applyNumberFormat="1" applyFont="1"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164" fontId="0" fillId="0" borderId="0" xfId="0" applyNumberFormat="1" applyAlignment="1">
      <alignment horizontal="center" vertical="center"/>
    </xf>
    <xf numFmtId="10" fontId="0" fillId="3" borderId="0" xfId="1" quotePrefix="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164" fontId="0" fillId="5" borderId="0" xfId="0" applyNumberFormat="1" applyFill="1" applyAlignment="1">
      <alignment horizontal="center" vertical="center"/>
    </xf>
    <xf numFmtId="10" fontId="0" fillId="5" borderId="0" xfId="1" applyNumberFormat="1" applyFont="1"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3" borderId="0" xfId="0" quotePrefix="1" applyFill="1" applyAlignment="1">
      <alignment horizontal="center" vertical="center" wrapText="1"/>
    </xf>
    <xf numFmtId="164" fontId="0" fillId="3" borderId="0" xfId="1" quotePrefix="1" applyNumberFormat="1" applyFont="1" applyFill="1" applyAlignment="1">
      <alignment horizontal="center" vertical="center" wrapText="1"/>
    </xf>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64" fontId="1" fillId="3" borderId="0" xfId="1" applyNumberFormat="1" applyFont="1" applyFill="1" applyAlignment="1">
      <alignment horizontal="center" vertical="center" wrapText="1"/>
    </xf>
    <xf numFmtId="10" fontId="1" fillId="3" borderId="0" xfId="1" applyNumberFormat="1"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5" fillId="6" borderId="3" xfId="0" quotePrefix="1" applyFont="1" applyFill="1" applyBorder="1" applyAlignment="1">
      <alignment horizontal="center" vertical="center" wrapText="1"/>
    </xf>
    <xf numFmtId="0" fontId="5" fillId="0" borderId="3" xfId="0" applyFont="1" applyBorder="1" applyAlignment="1">
      <alignment horizontal="center" vertical="center" wrapText="1"/>
    </xf>
    <xf numFmtId="0" fontId="5" fillId="3" borderId="3"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3" borderId="3" xfId="0" quotePrefix="1" applyFont="1" applyFill="1" applyBorder="1" applyAlignment="1">
      <alignment horizontal="center" vertical="center" wrapText="1"/>
    </xf>
    <xf numFmtId="10" fontId="5" fillId="10" borderId="3" xfId="1" quotePrefix="1" applyNumberFormat="1" applyFont="1" applyFill="1" applyBorder="1" applyAlignment="1">
      <alignment horizontal="center" vertical="center" wrapText="1"/>
    </xf>
    <xf numFmtId="0" fontId="0" fillId="2" borderId="0" xfId="0" applyFill="1" applyAlignment="1">
      <alignment horizontal="center" vertical="center"/>
    </xf>
    <xf numFmtId="167" fontId="0" fillId="0" borderId="0" xfId="0" applyNumberFormat="1"/>
    <xf numFmtId="167" fontId="0" fillId="3" borderId="0" xfId="0" applyNumberFormat="1" applyFill="1" applyAlignment="1">
      <alignment horizontal="center" vertical="center"/>
    </xf>
    <xf numFmtId="10" fontId="0" fillId="9" borderId="0" xfId="1" applyNumberFormat="1" applyFont="1" applyFill="1" applyAlignment="1">
      <alignment horizontal="center" vertical="center"/>
    </xf>
    <xf numFmtId="164" fontId="0" fillId="9" borderId="0" xfId="1" applyNumberFormat="1" applyFont="1" applyFill="1" applyAlignment="1">
      <alignment horizontal="center" vertical="center"/>
    </xf>
    <xf numFmtId="0" fontId="0" fillId="0" borderId="0" xfId="0" applyFont="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
  <sheetViews>
    <sheetView tabSelected="1" workbookViewId="0">
      <selection activeCell="U9" sqref="U9"/>
    </sheetView>
  </sheetViews>
  <sheetFormatPr defaultRowHeight="15" x14ac:dyDescent="0.25"/>
  <sheetData>
    <row r="1" spans="1:21" s="2" customFormat="1" ht="151.5" customHeight="1" x14ac:dyDescent="0.25">
      <c r="A1" s="2" t="s">
        <v>28</v>
      </c>
      <c r="B1" s="64" t="s">
        <v>74</v>
      </c>
      <c r="C1" s="64" t="s">
        <v>43</v>
      </c>
      <c r="D1" s="64" t="s">
        <v>29</v>
      </c>
      <c r="E1" s="64" t="s">
        <v>80</v>
      </c>
      <c r="F1" s="64" t="s">
        <v>40</v>
      </c>
      <c r="G1" s="64" t="s">
        <v>73</v>
      </c>
      <c r="H1" s="64" t="s">
        <v>63</v>
      </c>
      <c r="I1" s="64" t="s">
        <v>175</v>
      </c>
      <c r="J1" s="64" t="s">
        <v>39</v>
      </c>
      <c r="K1" s="64" t="s">
        <v>71</v>
      </c>
      <c r="L1" s="64" t="s">
        <v>103</v>
      </c>
      <c r="M1" s="64" t="s">
        <v>38</v>
      </c>
      <c r="N1" s="64" t="s">
        <v>81</v>
      </c>
      <c r="O1" s="64" t="s">
        <v>11</v>
      </c>
      <c r="P1" s="64" t="s">
        <v>84</v>
      </c>
      <c r="Q1" s="64" t="s">
        <v>140</v>
      </c>
      <c r="R1" s="64" t="s">
        <v>161</v>
      </c>
      <c r="S1" s="64" t="s">
        <v>162</v>
      </c>
      <c r="T1" s="64" t="s">
        <v>163</v>
      </c>
      <c r="U1" s="64" t="s">
        <v>164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J29"/>
  <sheetViews>
    <sheetView zoomScaleNormal="100" workbookViewId="0">
      <selection activeCell="AF1" sqref="AF1"/>
    </sheetView>
  </sheetViews>
  <sheetFormatPr defaultRowHeight="15" x14ac:dyDescent="0.25"/>
  <cols>
    <col min="3" max="3" width="11.5703125" style="3" bestFit="1" customWidth="1"/>
    <col min="4" max="4" width="9" style="3"/>
    <col min="5" max="5" width="3.28515625" style="28" customWidth="1"/>
    <col min="6" max="6" width="9" style="3"/>
    <col min="8" max="8" width="5" style="29" customWidth="1"/>
    <col min="11" max="11" width="17.5703125" style="6" customWidth="1"/>
    <col min="12" max="13" width="9" style="6"/>
    <col min="14" max="14" width="12.140625" style="6" customWidth="1"/>
    <col min="15" max="15" width="12.140625" style="9" customWidth="1"/>
    <col min="16" max="16" width="9" style="6"/>
    <col min="17" max="17" width="14.28515625" style="7" bestFit="1" customWidth="1"/>
    <col min="18" max="18" width="6.140625" style="31" customWidth="1"/>
    <col min="19" max="19" width="13.28515625" customWidth="1"/>
    <col min="20" max="20" width="13.28515625" style="25" customWidth="1"/>
    <col min="21" max="21" width="4.42578125" style="29" customWidth="1"/>
    <col min="22" max="22" width="13.28515625" customWidth="1"/>
    <col min="23" max="23" width="16" customWidth="1"/>
    <col min="24" max="24" width="13.42578125" customWidth="1"/>
    <col min="29" max="29" width="3.7109375" style="29" customWidth="1"/>
    <col min="31" max="31" width="9" style="25"/>
  </cols>
  <sheetData>
    <row r="1" spans="1:36" s="2" customFormat="1" ht="151.15" customHeight="1" x14ac:dyDescent="0.25">
      <c r="A1" s="2" t="s">
        <v>28</v>
      </c>
      <c r="B1" s="34" t="s">
        <v>74</v>
      </c>
      <c r="C1" s="34" t="s">
        <v>43</v>
      </c>
      <c r="D1" s="34" t="s">
        <v>29</v>
      </c>
      <c r="E1" s="35"/>
      <c r="F1" s="34" t="s">
        <v>80</v>
      </c>
      <c r="G1" s="34" t="s">
        <v>40</v>
      </c>
      <c r="H1" s="35"/>
      <c r="I1" s="34" t="s">
        <v>73</v>
      </c>
      <c r="J1" s="34" t="s">
        <v>63</v>
      </c>
      <c r="K1" s="36" t="s">
        <v>107</v>
      </c>
      <c r="L1" s="36" t="s">
        <v>108</v>
      </c>
      <c r="M1" s="36" t="s">
        <v>149</v>
      </c>
      <c r="N1" s="36" t="s">
        <v>109</v>
      </c>
      <c r="O1" s="37" t="s">
        <v>142</v>
      </c>
      <c r="P1" s="36" t="s">
        <v>110</v>
      </c>
      <c r="Q1" s="38" t="s">
        <v>115</v>
      </c>
      <c r="R1" s="39"/>
      <c r="S1" s="34" t="s">
        <v>156</v>
      </c>
      <c r="T1" s="40" t="s">
        <v>154</v>
      </c>
      <c r="U1" s="35"/>
      <c r="V1" s="34" t="s">
        <v>39</v>
      </c>
      <c r="W1" s="34" t="s">
        <v>71</v>
      </c>
      <c r="X1" s="34" t="s">
        <v>103</v>
      </c>
      <c r="Y1" s="34" t="s">
        <v>38</v>
      </c>
      <c r="Z1" s="34" t="s">
        <v>81</v>
      </c>
      <c r="AA1" s="34" t="s">
        <v>11</v>
      </c>
      <c r="AB1" s="34" t="s">
        <v>84</v>
      </c>
      <c r="AC1" s="35"/>
      <c r="AD1" s="34" t="s">
        <v>140</v>
      </c>
      <c r="AE1" s="40" t="s">
        <v>153</v>
      </c>
      <c r="AG1" s="2" t="s">
        <v>161</v>
      </c>
      <c r="AH1" s="2" t="s">
        <v>162</v>
      </c>
      <c r="AI1" s="2" t="s">
        <v>163</v>
      </c>
      <c r="AJ1" s="2" t="s">
        <v>164</v>
      </c>
    </row>
    <row r="2" spans="1:36" s="23" customFormat="1" ht="105" x14ac:dyDescent="0.25">
      <c r="C2" s="23" t="s">
        <v>106</v>
      </c>
      <c r="E2" s="33"/>
      <c r="F2" s="23" t="s">
        <v>144</v>
      </c>
      <c r="H2" s="33"/>
      <c r="K2" s="5" t="s">
        <v>111</v>
      </c>
      <c r="L2" s="4" t="s">
        <v>112</v>
      </c>
      <c r="M2" s="26" t="s">
        <v>150</v>
      </c>
      <c r="N2" s="6" t="s">
        <v>151</v>
      </c>
      <c r="O2" s="27" t="s">
        <v>143</v>
      </c>
      <c r="P2" s="5" t="s">
        <v>145</v>
      </c>
      <c r="Q2" s="11" t="s">
        <v>146</v>
      </c>
      <c r="R2" s="30"/>
      <c r="S2" s="23" t="s">
        <v>147</v>
      </c>
      <c r="T2" s="24" t="s">
        <v>152</v>
      </c>
      <c r="U2" s="32"/>
      <c r="V2" s="59" t="s">
        <v>155</v>
      </c>
      <c r="W2" s="59"/>
      <c r="X2" s="59"/>
      <c r="Y2" s="59"/>
      <c r="Z2" s="59"/>
      <c r="AA2" s="59"/>
      <c r="AB2" s="59"/>
      <c r="AC2" s="33"/>
      <c r="AD2" s="23" t="s">
        <v>148</v>
      </c>
      <c r="AE2" s="24" t="s">
        <v>152</v>
      </c>
      <c r="AG2" s="48" t="s">
        <v>165</v>
      </c>
      <c r="AH2" s="23" t="s">
        <v>166</v>
      </c>
      <c r="AI2" s="23" t="s">
        <v>167</v>
      </c>
      <c r="AJ2" s="23" t="s">
        <v>168</v>
      </c>
    </row>
    <row r="3" spans="1:36" x14ac:dyDescent="0.25">
      <c r="B3">
        <v>2000</v>
      </c>
    </row>
    <row r="4" spans="1:36" x14ac:dyDescent="0.25">
      <c r="B4">
        <v>2001</v>
      </c>
    </row>
    <row r="5" spans="1:36" x14ac:dyDescent="0.25">
      <c r="B5">
        <v>2002</v>
      </c>
    </row>
    <row r="6" spans="1:36" x14ac:dyDescent="0.25">
      <c r="B6">
        <v>2003</v>
      </c>
    </row>
    <row r="7" spans="1:36" x14ac:dyDescent="0.25">
      <c r="B7">
        <v>2004</v>
      </c>
    </row>
    <row r="8" spans="1:36" x14ac:dyDescent="0.25">
      <c r="B8">
        <v>2005</v>
      </c>
    </row>
    <row r="9" spans="1:36" x14ac:dyDescent="0.25">
      <c r="B9">
        <v>2006</v>
      </c>
    </row>
    <row r="10" spans="1:36" x14ac:dyDescent="0.25">
      <c r="B10">
        <v>2007</v>
      </c>
    </row>
    <row r="11" spans="1:36" x14ac:dyDescent="0.25">
      <c r="B11">
        <v>2008</v>
      </c>
    </row>
    <row r="12" spans="1:36" x14ac:dyDescent="0.25">
      <c r="B12">
        <v>2009</v>
      </c>
    </row>
    <row r="13" spans="1:36" x14ac:dyDescent="0.25">
      <c r="B13">
        <v>2010</v>
      </c>
    </row>
    <row r="14" spans="1:36" x14ac:dyDescent="0.25">
      <c r="B14">
        <v>2011</v>
      </c>
    </row>
    <row r="15" spans="1:36" x14ac:dyDescent="0.25">
      <c r="B15">
        <v>2012</v>
      </c>
    </row>
    <row r="16" spans="1:36" x14ac:dyDescent="0.25">
      <c r="B16">
        <v>2013</v>
      </c>
    </row>
    <row r="17" spans="1:31" x14ac:dyDescent="0.25">
      <c r="B17">
        <v>2014</v>
      </c>
    </row>
    <row r="18" spans="1:31" x14ac:dyDescent="0.25">
      <c r="B18">
        <v>2015</v>
      </c>
    </row>
    <row r="19" spans="1:31" x14ac:dyDescent="0.25">
      <c r="B19">
        <v>2016</v>
      </c>
    </row>
    <row r="20" spans="1:31" x14ac:dyDescent="0.25">
      <c r="B20">
        <v>2017</v>
      </c>
    </row>
    <row r="21" spans="1:31" x14ac:dyDescent="0.25">
      <c r="B21">
        <v>2018</v>
      </c>
    </row>
    <row r="22" spans="1:31" x14ac:dyDescent="0.25">
      <c r="B22">
        <v>2019</v>
      </c>
    </row>
    <row r="23" spans="1:31" x14ac:dyDescent="0.25">
      <c r="B23">
        <v>2020</v>
      </c>
    </row>
    <row r="24" spans="1:31" x14ac:dyDescent="0.25">
      <c r="B24">
        <v>2021</v>
      </c>
    </row>
    <row r="25" spans="1:31" x14ac:dyDescent="0.25">
      <c r="B25">
        <v>2022</v>
      </c>
    </row>
    <row r="26" spans="1:31" x14ac:dyDescent="0.25">
      <c r="B26">
        <v>2023</v>
      </c>
    </row>
    <row r="27" spans="1:31" x14ac:dyDescent="0.25">
      <c r="B27">
        <v>2024</v>
      </c>
    </row>
    <row r="29" spans="1:31" s="18" customFormat="1" x14ac:dyDescent="0.25">
      <c r="A29" s="18" t="s">
        <v>113</v>
      </c>
      <c r="C29" s="19"/>
      <c r="D29" s="19"/>
      <c r="E29" s="28"/>
      <c r="F29" s="19"/>
      <c r="H29" s="29"/>
      <c r="K29" s="20"/>
      <c r="L29" s="20"/>
      <c r="M29" s="20"/>
      <c r="N29" s="20"/>
      <c r="O29" s="21"/>
      <c r="P29" s="20"/>
      <c r="Q29" s="22"/>
      <c r="R29" s="31"/>
      <c r="T29" s="25"/>
      <c r="U29" s="29"/>
      <c r="X29" s="18" t="e">
        <f t="shared" ref="X29:AB29" si="0">AVERAGE(X3:X27)</f>
        <v>#DIV/0!</v>
      </c>
      <c r="Y29" s="18" t="e">
        <f t="shared" si="0"/>
        <v>#DIV/0!</v>
      </c>
      <c r="Z29" s="18" t="e">
        <f t="shared" si="0"/>
        <v>#DIV/0!</v>
      </c>
      <c r="AA29" s="18" t="e">
        <f t="shared" si="0"/>
        <v>#DIV/0!</v>
      </c>
      <c r="AB29" s="18" t="e">
        <f t="shared" si="0"/>
        <v>#DIV/0!</v>
      </c>
      <c r="AC29" s="29"/>
      <c r="AE29" s="25"/>
    </row>
  </sheetData>
  <mergeCells count="1">
    <mergeCell ref="V2:A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H1" workbookViewId="0">
      <selection activeCell="Y1" sqref="Y1:Y1048576"/>
    </sheetView>
  </sheetViews>
  <sheetFormatPr defaultRowHeight="15" x14ac:dyDescent="0.25"/>
  <cols>
    <col min="2" max="2" width="9" style="3"/>
    <col min="3" max="3" width="18.5703125" bestFit="1" customWidth="1"/>
    <col min="5" max="5" width="17.5703125" bestFit="1" customWidth="1"/>
    <col min="8" max="8" width="9" style="52"/>
    <col min="9" max="9" width="17.5703125" style="6" customWidth="1"/>
    <col min="10" max="10" width="19" style="6" customWidth="1"/>
    <col min="11" max="11" width="9" style="42"/>
    <col min="12" max="12" width="12.140625" style="6" customWidth="1"/>
    <col min="13" max="13" width="16.28515625" style="9" customWidth="1"/>
    <col min="14" max="14" width="11.42578125" style="6" customWidth="1"/>
    <col min="15" max="15" width="9" style="42"/>
    <col min="16" max="16" width="9" style="49"/>
    <col min="17" max="17" width="15.5703125" customWidth="1"/>
    <col min="18" max="18" width="13.28515625" style="25" customWidth="1"/>
    <col min="25" max="25" width="14.85546875" style="25" customWidth="1"/>
    <col min="28" max="28" width="12" style="25" bestFit="1" customWidth="1"/>
    <col min="29" max="29" width="5.5703125" customWidth="1"/>
    <col min="30" max="33" width="9" style="2"/>
  </cols>
  <sheetData>
    <row r="1" spans="1:33" s="2" customFormat="1" ht="151.15" customHeight="1" x14ac:dyDescent="0.25">
      <c r="A1" s="2" t="s">
        <v>28</v>
      </c>
      <c r="B1" s="2" t="s">
        <v>74</v>
      </c>
      <c r="C1" s="2" t="s">
        <v>43</v>
      </c>
      <c r="D1" s="2" t="s">
        <v>29</v>
      </c>
      <c r="E1" s="2" t="s">
        <v>80</v>
      </c>
      <c r="F1" s="2" t="s">
        <v>40</v>
      </c>
      <c r="G1" s="2" t="s">
        <v>73</v>
      </c>
      <c r="H1" s="2" t="s">
        <v>63</v>
      </c>
      <c r="I1" s="4" t="s">
        <v>107</v>
      </c>
      <c r="J1" s="4" t="s">
        <v>108</v>
      </c>
      <c r="K1" s="41" t="s">
        <v>149</v>
      </c>
      <c r="L1" s="4" t="s">
        <v>109</v>
      </c>
      <c r="M1" s="8" t="s">
        <v>114</v>
      </c>
      <c r="N1" s="4" t="s">
        <v>110</v>
      </c>
      <c r="O1" s="41" t="s">
        <v>160</v>
      </c>
      <c r="P1" s="50"/>
      <c r="Q1" s="2" t="s">
        <v>141</v>
      </c>
      <c r="R1" s="40" t="s">
        <v>154</v>
      </c>
      <c r="S1" s="2" t="s">
        <v>39</v>
      </c>
      <c r="T1" s="2" t="s">
        <v>71</v>
      </c>
      <c r="U1" s="2" t="s">
        <v>103</v>
      </c>
      <c r="V1" s="2" t="s">
        <v>38</v>
      </c>
      <c r="W1" s="2" t="s">
        <v>81</v>
      </c>
      <c r="X1" s="2" t="s">
        <v>11</v>
      </c>
      <c r="Y1" s="51" t="s">
        <v>170</v>
      </c>
      <c r="Z1" s="2" t="s">
        <v>84</v>
      </c>
      <c r="AA1" s="2" t="s">
        <v>140</v>
      </c>
      <c r="AB1" s="40" t="s">
        <v>153</v>
      </c>
      <c r="AD1" s="2" t="s">
        <v>161</v>
      </c>
      <c r="AE1" s="2" t="s">
        <v>162</v>
      </c>
      <c r="AF1" s="2" t="s">
        <v>163</v>
      </c>
      <c r="AG1" s="2" t="s">
        <v>164</v>
      </c>
    </row>
    <row r="2" spans="1:33" s="56" customFormat="1" ht="113.25" thickBot="1" x14ac:dyDescent="0.3">
      <c r="C2" s="56" t="s">
        <v>106</v>
      </c>
      <c r="E2" s="56" t="s">
        <v>171</v>
      </c>
      <c r="I2" s="57" t="s">
        <v>111</v>
      </c>
      <c r="J2" s="55" t="s">
        <v>112</v>
      </c>
      <c r="K2" s="26" t="s">
        <v>150</v>
      </c>
      <c r="L2" s="55" t="s">
        <v>172</v>
      </c>
      <c r="M2" s="27" t="s">
        <v>143</v>
      </c>
      <c r="N2" s="57" t="s">
        <v>173</v>
      </c>
      <c r="O2" s="11" t="s">
        <v>146</v>
      </c>
      <c r="P2" s="58"/>
      <c r="Q2" s="56" t="s">
        <v>174</v>
      </c>
      <c r="R2" s="53" t="s">
        <v>152</v>
      </c>
      <c r="Y2" s="53" t="s">
        <v>152</v>
      </c>
      <c r="AB2" s="53" t="s">
        <v>152</v>
      </c>
      <c r="AD2" s="54" t="s">
        <v>165</v>
      </c>
      <c r="AE2" s="54" t="s">
        <v>166</v>
      </c>
      <c r="AF2" s="54" t="s">
        <v>167</v>
      </c>
      <c r="AG2" s="54" t="s">
        <v>168</v>
      </c>
    </row>
    <row r="3" spans="1:33" ht="15.75" thickTop="1" x14ac:dyDescent="0.25">
      <c r="A3" t="s">
        <v>75</v>
      </c>
      <c r="B3" s="3">
        <v>2000</v>
      </c>
      <c r="C3" s="60">
        <v>140533304238.72125</v>
      </c>
      <c r="D3">
        <v>9.0383163255516337</v>
      </c>
      <c r="E3" s="60">
        <v>43703162220.646263</v>
      </c>
      <c r="F3">
        <v>11.414764762166143</v>
      </c>
      <c r="G3">
        <v>2138100</v>
      </c>
      <c r="H3" s="52">
        <v>3.7</v>
      </c>
      <c r="I3" s="6">
        <f>100-H3</f>
        <v>96.3</v>
      </c>
      <c r="J3" s="6">
        <f>(I3/100)*G3</f>
        <v>2058990.2999999998</v>
      </c>
      <c r="K3" s="62"/>
      <c r="L3" s="61">
        <f>C3/J3</f>
        <v>68253.504758483454</v>
      </c>
      <c r="M3" s="63"/>
      <c r="N3" s="61">
        <f>E3/J3</f>
        <v>21225.530892810068</v>
      </c>
      <c r="O3" s="62"/>
      <c r="Q3" t="s">
        <v>169</v>
      </c>
      <c r="R3" s="46"/>
      <c r="S3">
        <v>25.861486037755899</v>
      </c>
      <c r="T3">
        <v>15.146298038161788</v>
      </c>
      <c r="U3">
        <v>29918062298.838032</v>
      </c>
      <c r="V3">
        <v>9.2131732680321002E-2</v>
      </c>
      <c r="W3">
        <v>0.17689908365402099</v>
      </c>
      <c r="X3">
        <v>27.293652478865699</v>
      </c>
      <c r="Y3" s="46"/>
      <c r="Z3">
        <v>72.529399958696104</v>
      </c>
      <c r="AA3">
        <v>3.26034372238966E-4</v>
      </c>
      <c r="AB3" s="46"/>
      <c r="AD3">
        <v>10.504164644115525</v>
      </c>
      <c r="AE3">
        <v>41.855216732958041</v>
      </c>
      <c r="AF3">
        <v>32.326344362576407</v>
      </c>
      <c r="AG3">
        <v>12.337260101284532</v>
      </c>
    </row>
    <row r="4" spans="1:33" x14ac:dyDescent="0.25">
      <c r="A4" t="s">
        <v>75</v>
      </c>
      <c r="B4" s="3">
        <v>2001</v>
      </c>
      <c r="C4" s="60">
        <v>139028385430.87299</v>
      </c>
      <c r="D4">
        <v>-1.0708627510044835</v>
      </c>
      <c r="E4" s="60">
        <v>41427454403.287689</v>
      </c>
      <c r="F4">
        <v>-5.2071925730891024</v>
      </c>
      <c r="G4">
        <v>2205923</v>
      </c>
      <c r="H4" s="52">
        <v>3.76</v>
      </c>
      <c r="I4" s="6">
        <f t="shared" ref="I4:I27" si="0">100-H4</f>
        <v>96.24</v>
      </c>
      <c r="J4" s="6">
        <f t="shared" ref="J4:J27" si="1">(I4/100)*G4</f>
        <v>2122980.2952000001</v>
      </c>
      <c r="K4" s="42">
        <f>((J4-J3)/J3)</f>
        <v>3.1078337377305879E-2</v>
      </c>
      <c r="L4" s="61">
        <f t="shared" ref="L4:L27" si="2">C4/J4</f>
        <v>65487.364977061887</v>
      </c>
      <c r="M4" s="9">
        <f>(L4-L3)/L3</f>
        <v>-4.0527439451052576E-2</v>
      </c>
      <c r="N4" s="61">
        <f t="shared" ref="N4:N27" si="3">E4/J4</f>
        <v>19513.819556853177</v>
      </c>
      <c r="O4" s="42">
        <f>(N4-N3)/N3</f>
        <v>-8.0643982221274613E-2</v>
      </c>
      <c r="Q4" t="s">
        <v>169</v>
      </c>
      <c r="R4" s="46"/>
      <c r="S4">
        <v>23.394697847414562</v>
      </c>
      <c r="T4">
        <v>-11.605048125430017</v>
      </c>
      <c r="U4">
        <v>26446056770.861744</v>
      </c>
      <c r="V4">
        <v>8.2356655909540694E-2</v>
      </c>
      <c r="W4">
        <v>0.173741005150197</v>
      </c>
      <c r="X4">
        <v>26.157941891234099</v>
      </c>
      <c r="Y4" s="25">
        <f>X4-X3</f>
        <v>-1.1357105876315998</v>
      </c>
      <c r="Z4">
        <v>73.668317103615706</v>
      </c>
      <c r="AA4">
        <v>4.0237915923044699E-4</v>
      </c>
      <c r="AB4" s="25">
        <f>AA4-AA3</f>
        <v>7.6344786991480989E-5</v>
      </c>
      <c r="AD4">
        <v>11.609926556509718</v>
      </c>
      <c r="AE4">
        <v>46.244971582292017</v>
      </c>
      <c r="AF4">
        <v>30.887040232314138</v>
      </c>
      <c r="AG4">
        <v>16.496255724564534</v>
      </c>
    </row>
    <row r="5" spans="1:33" x14ac:dyDescent="0.25">
      <c r="A5" t="s">
        <v>75</v>
      </c>
      <c r="B5" s="3">
        <v>2002</v>
      </c>
      <c r="C5" s="60">
        <v>144482970559.8894</v>
      </c>
      <c r="D5">
        <v>3.923360767020128</v>
      </c>
      <c r="E5" s="60">
        <v>37635189933.264236</v>
      </c>
      <c r="F5">
        <v>-9.1539886402542265</v>
      </c>
      <c r="G5">
        <v>2200772</v>
      </c>
      <c r="H5" s="52">
        <v>5.65</v>
      </c>
      <c r="I5" s="6">
        <f t="shared" si="0"/>
        <v>94.35</v>
      </c>
      <c r="J5" s="6">
        <f t="shared" si="1"/>
        <v>2076428.3819999998</v>
      </c>
      <c r="K5" s="42">
        <f t="shared" ref="K5:K27" si="4">((J5-J4)/J4)</f>
        <v>-2.1927623777409942E-2</v>
      </c>
      <c r="L5" s="61">
        <f t="shared" si="2"/>
        <v>69582.448309979532</v>
      </c>
      <c r="M5" s="9">
        <f t="shared" ref="M5:M27" si="5">(L5-L4)/L4</f>
        <v>6.253241880097056E-2</v>
      </c>
      <c r="N5" s="61">
        <f t="shared" si="3"/>
        <v>18124.964125665781</v>
      </c>
      <c r="O5" s="42">
        <f t="shared" ref="O5:O27" si="6">(N5-N4)/N4</f>
        <v>-7.1172915540240064E-2</v>
      </c>
      <c r="Q5" t="s">
        <v>169</v>
      </c>
      <c r="R5" s="46"/>
      <c r="S5">
        <v>24.737640322972926</v>
      </c>
      <c r="T5">
        <v>8.4686746225800107</v>
      </c>
      <c r="U5">
        <v>28685687269.288815</v>
      </c>
      <c r="V5">
        <v>7.1032800014001363E-2</v>
      </c>
      <c r="W5">
        <v>0.16944763175838501</v>
      </c>
      <c r="X5">
        <v>25.389889592307298</v>
      </c>
      <c r="Y5" s="25">
        <f t="shared" ref="Y5:Y27" si="7">X5-X4</f>
        <v>-0.7680522989268006</v>
      </c>
      <c r="Z5">
        <v>74.440662775934399</v>
      </c>
      <c r="AA5">
        <v>4.3398819080536202E-4</v>
      </c>
      <c r="AB5" s="25">
        <f t="shared" ref="AB5:AB27" si="8">AA5-AA4</f>
        <v>3.1609031574915034E-5</v>
      </c>
      <c r="AD5">
        <v>11.84032888729563</v>
      </c>
      <c r="AE5">
        <v>46.182484892705467</v>
      </c>
      <c r="AF5">
        <v>26.751423220905973</v>
      </c>
      <c r="AG5">
        <v>18.426222147387328</v>
      </c>
    </row>
    <row r="6" spans="1:33" x14ac:dyDescent="0.25">
      <c r="A6" t="s">
        <v>75</v>
      </c>
      <c r="B6" s="3">
        <v>2003</v>
      </c>
      <c r="C6" s="60">
        <v>151054425108.65015</v>
      </c>
      <c r="D6">
        <v>4.5482554264322914</v>
      </c>
      <c r="E6" s="60">
        <v>35694579310.094017</v>
      </c>
      <c r="F6">
        <v>-5.1563726039681654</v>
      </c>
      <c r="G6">
        <v>2176377</v>
      </c>
      <c r="H6" s="52">
        <v>5.93</v>
      </c>
      <c r="I6" s="6">
        <f t="shared" si="0"/>
        <v>94.07</v>
      </c>
      <c r="J6" s="6">
        <f t="shared" si="1"/>
        <v>2047317.8439</v>
      </c>
      <c r="K6" s="42">
        <f t="shared" si="4"/>
        <v>-1.4019524271750093E-2</v>
      </c>
      <c r="L6" s="61">
        <f t="shared" si="2"/>
        <v>73781.618989312294</v>
      </c>
      <c r="M6" s="9">
        <f t="shared" si="5"/>
        <v>6.034813061802706E-2</v>
      </c>
      <c r="N6" s="61">
        <f t="shared" si="3"/>
        <v>17434.801057611206</v>
      </c>
      <c r="O6" s="42">
        <f t="shared" si="6"/>
        <v>-3.8078037742280128E-2</v>
      </c>
      <c r="Q6" t="s">
        <v>169</v>
      </c>
      <c r="R6" s="46"/>
      <c r="S6">
        <v>24.765412693196893</v>
      </c>
      <c r="T6">
        <v>2.9963638945377227</v>
      </c>
      <c r="U6">
        <v>29545214845.525787</v>
      </c>
      <c r="V6">
        <v>6.1134072311026647E-2</v>
      </c>
      <c r="W6">
        <v>0.16459654177274699</v>
      </c>
      <c r="X6">
        <v>24.785305691086901</v>
      </c>
      <c r="Y6" s="25">
        <f t="shared" si="7"/>
        <v>-0.60458390122039773</v>
      </c>
      <c r="Z6">
        <v>75.050049199261395</v>
      </c>
      <c r="AA6">
        <v>5.9371726127004001E-4</v>
      </c>
      <c r="AB6" s="25">
        <f t="shared" si="8"/>
        <v>1.5972907046467799E-4</v>
      </c>
      <c r="AD6">
        <v>11.4140839970397</v>
      </c>
      <c r="AE6">
        <v>45.535361064297177</v>
      </c>
      <c r="AF6">
        <v>24.766294434624459</v>
      </c>
      <c r="AG6">
        <v>27.953848478026121</v>
      </c>
    </row>
    <row r="7" spans="1:33" x14ac:dyDescent="0.25">
      <c r="A7" t="s">
        <v>75</v>
      </c>
      <c r="B7" s="3">
        <v>2004</v>
      </c>
      <c r="C7" s="60">
        <v>166069208808.39377</v>
      </c>
      <c r="D7">
        <v>9.9399826843495731</v>
      </c>
      <c r="E7" s="60">
        <v>39369010601.349266</v>
      </c>
      <c r="F7">
        <v>10.294087680187801</v>
      </c>
      <c r="G7">
        <v>2211220</v>
      </c>
      <c r="H7" s="52">
        <v>5.84</v>
      </c>
      <c r="I7" s="6">
        <f t="shared" si="0"/>
        <v>94.16</v>
      </c>
      <c r="J7" s="6">
        <f t="shared" si="1"/>
        <v>2082084.7520000001</v>
      </c>
      <c r="K7" s="42">
        <f t="shared" si="4"/>
        <v>1.6981685674058087E-2</v>
      </c>
      <c r="L7" s="61">
        <f t="shared" si="2"/>
        <v>79761.022527479596</v>
      </c>
      <c r="M7" s="9">
        <f t="shared" si="5"/>
        <v>8.1041912878510494E-2</v>
      </c>
      <c r="N7" s="61">
        <f t="shared" si="3"/>
        <v>18908.457287116842</v>
      </c>
      <c r="O7" s="42">
        <f t="shared" si="6"/>
        <v>8.4523833947752855E-2</v>
      </c>
      <c r="Q7" t="s">
        <v>169</v>
      </c>
      <c r="R7" s="46"/>
      <c r="S7">
        <v>27.119367597064286</v>
      </c>
      <c r="T7">
        <v>13.8458129716023</v>
      </c>
      <c r="U7">
        <v>33635990035.095367</v>
      </c>
      <c r="V7">
        <v>5.5648989626246571E-2</v>
      </c>
      <c r="W7">
        <v>0.15970081754349399</v>
      </c>
      <c r="X7">
        <v>24.4105337316422</v>
      </c>
      <c r="Y7" s="25">
        <f t="shared" si="7"/>
        <v>-0.37477195944470054</v>
      </c>
      <c r="Z7">
        <v>75.429717492610806</v>
      </c>
      <c r="AA7">
        <v>5.5564498338846495E-4</v>
      </c>
      <c r="AB7" s="25">
        <f t="shared" si="8"/>
        <v>-3.8072277881575061E-5</v>
      </c>
      <c r="AD7">
        <v>10.318670184588006</v>
      </c>
      <c r="AE7">
        <v>41.998426193084512</v>
      </c>
      <c r="AF7">
        <v>24.281423420921346</v>
      </c>
      <c r="AG7">
        <v>26.379678346782697</v>
      </c>
    </row>
    <row r="8" spans="1:33" x14ac:dyDescent="0.25">
      <c r="A8" t="s">
        <v>75</v>
      </c>
      <c r="B8" s="3">
        <v>2005</v>
      </c>
      <c r="C8" s="60">
        <v>178302402123.90665</v>
      </c>
      <c r="D8">
        <v>7.366322392507584</v>
      </c>
      <c r="E8" s="60">
        <v>40801992980.92485</v>
      </c>
      <c r="F8">
        <v>3.6398739965450631</v>
      </c>
      <c r="G8">
        <v>2301785</v>
      </c>
      <c r="H8" s="52">
        <v>5.59</v>
      </c>
      <c r="I8" s="6">
        <f t="shared" si="0"/>
        <v>94.41</v>
      </c>
      <c r="J8" s="6">
        <f t="shared" si="1"/>
        <v>2173115.2185</v>
      </c>
      <c r="K8" s="42">
        <f t="shared" si="4"/>
        <v>4.3720826643852136E-2</v>
      </c>
      <c r="L8" s="61">
        <f t="shared" si="2"/>
        <v>82049.21699779015</v>
      </c>
      <c r="M8" s="9">
        <f t="shared" si="5"/>
        <v>2.8688128584638147E-2</v>
      </c>
      <c r="N8" s="61">
        <f t="shared" si="3"/>
        <v>18775.807482996028</v>
      </c>
      <c r="O8" s="42">
        <f t="shared" si="6"/>
        <v>-7.0153689487504793E-3</v>
      </c>
      <c r="Q8">
        <v>38.256099700927699</v>
      </c>
      <c r="R8" s="46"/>
      <c r="S8">
        <v>27.076761798207059</v>
      </c>
      <c r="T8">
        <v>9.5096402529214856</v>
      </c>
      <c r="U8">
        <v>36834651682.94146</v>
      </c>
      <c r="V8">
        <v>5.5048114214259862E-2</v>
      </c>
      <c r="W8">
        <v>0.155212233759282</v>
      </c>
      <c r="X8">
        <v>23.882954799438199</v>
      </c>
      <c r="Y8" s="25">
        <f t="shared" si="7"/>
        <v>-0.52757893220400121</v>
      </c>
      <c r="Z8">
        <v>75.961878955612505</v>
      </c>
      <c r="AA8">
        <v>5.4706140442952399E-4</v>
      </c>
      <c r="AB8" s="25">
        <f t="shared" si="8"/>
        <v>-8.5835789589409515E-6</v>
      </c>
      <c r="AD8">
        <v>9.8971432332187881</v>
      </c>
      <c r="AE8">
        <v>39.847877286424129</v>
      </c>
      <c r="AF8">
        <v>23.187995656323011</v>
      </c>
      <c r="AG8">
        <v>29.88882255327351</v>
      </c>
    </row>
    <row r="9" spans="1:33" x14ac:dyDescent="0.25">
      <c r="A9" t="s">
        <v>75</v>
      </c>
      <c r="B9" s="3">
        <v>2006</v>
      </c>
      <c r="C9" s="60">
        <v>194361682395.94128</v>
      </c>
      <c r="D9">
        <v>9.0067660787175754</v>
      </c>
      <c r="E9" s="60">
        <v>44652955830.742096</v>
      </c>
      <c r="F9">
        <v>9.4381734039746306</v>
      </c>
      <c r="G9">
        <v>2426201</v>
      </c>
      <c r="H9" s="52">
        <v>4.4800000000000004</v>
      </c>
      <c r="I9" s="6">
        <f t="shared" si="0"/>
        <v>95.52</v>
      </c>
      <c r="J9" s="6">
        <f t="shared" si="1"/>
        <v>2317507.1952</v>
      </c>
      <c r="K9" s="42">
        <f t="shared" si="4"/>
        <v>6.6444694450976713E-2</v>
      </c>
      <c r="L9" s="61">
        <f t="shared" si="2"/>
        <v>83866.700737111605</v>
      </c>
      <c r="M9" s="9">
        <f t="shared" si="5"/>
        <v>2.2151140569329326E-2</v>
      </c>
      <c r="N9" s="61">
        <f t="shared" si="3"/>
        <v>19267.666535502845</v>
      </c>
      <c r="O9" s="42">
        <f t="shared" si="6"/>
        <v>2.6196426063287068E-2</v>
      </c>
      <c r="Q9">
        <v>36.755790710449197</v>
      </c>
      <c r="R9" s="25">
        <f>Q9-Q8</f>
        <v>-1.5003089904785014</v>
      </c>
      <c r="S9">
        <v>26.578005985802772</v>
      </c>
      <c r="T9">
        <v>11.921913382779238</v>
      </c>
      <c r="U9">
        <v>41226046951.430176</v>
      </c>
      <c r="V9">
        <v>4.8865424451682515E-2</v>
      </c>
      <c r="W9">
        <v>0.15069969562712299</v>
      </c>
      <c r="X9">
        <v>23.2978195732057</v>
      </c>
      <c r="Y9" s="25">
        <f t="shared" si="7"/>
        <v>-0.5851352262324987</v>
      </c>
      <c r="Z9">
        <v>76.5515238251608</v>
      </c>
      <c r="AA9">
        <v>3.65545459554034E-3</v>
      </c>
      <c r="AB9" s="25">
        <f t="shared" si="8"/>
        <v>3.1083931911108161E-3</v>
      </c>
      <c r="AD9">
        <v>9.9069355027210513</v>
      </c>
      <c r="AE9">
        <v>38.106096406316425</v>
      </c>
      <c r="AF9">
        <v>23.086711145212458</v>
      </c>
      <c r="AG9">
        <v>30.711834579105247</v>
      </c>
    </row>
    <row r="10" spans="1:33" x14ac:dyDescent="0.25">
      <c r="A10" t="s">
        <v>75</v>
      </c>
      <c r="B10" s="3">
        <v>2007</v>
      </c>
      <c r="C10" s="60">
        <v>211896059498.4816</v>
      </c>
      <c r="D10">
        <v>9.0215195126889256</v>
      </c>
      <c r="E10" s="60">
        <v>51576309712.14518</v>
      </c>
      <c r="F10">
        <v>15.504805342889711</v>
      </c>
      <c r="G10">
        <v>2530038</v>
      </c>
      <c r="H10" s="52">
        <v>3.9</v>
      </c>
      <c r="I10" s="6">
        <f t="shared" si="0"/>
        <v>96.1</v>
      </c>
      <c r="J10" s="6">
        <f t="shared" si="1"/>
        <v>2431366.5179999997</v>
      </c>
      <c r="K10" s="42">
        <f t="shared" si="4"/>
        <v>4.9130083840008838E-2</v>
      </c>
      <c r="L10" s="61">
        <f t="shared" si="2"/>
        <v>87151.014842790406</v>
      </c>
      <c r="M10" s="9">
        <f t="shared" si="5"/>
        <v>3.9161122076016859E-2</v>
      </c>
      <c r="N10" s="61">
        <f t="shared" si="3"/>
        <v>21212.889677600302</v>
      </c>
      <c r="O10" s="42">
        <f t="shared" si="6"/>
        <v>0.10095789952110516</v>
      </c>
      <c r="Q10">
        <v>37.784400939941399</v>
      </c>
      <c r="R10" s="25">
        <f>Q10-Q9</f>
        <v>1.0286102294922017</v>
      </c>
      <c r="S10">
        <v>23.822651904527213</v>
      </c>
      <c r="T10">
        <v>5.9408665704516324</v>
      </c>
      <c r="U10">
        <v>43675231393.086388</v>
      </c>
      <c r="V10">
        <v>4.286799737144735E-2</v>
      </c>
      <c r="W10">
        <v>0.14645508484910399</v>
      </c>
      <c r="X10">
        <v>23.590067003098699</v>
      </c>
      <c r="Y10" s="25">
        <f t="shared" si="7"/>
        <v>0.29224742989299912</v>
      </c>
      <c r="Z10">
        <v>76.263477912052196</v>
      </c>
      <c r="AA10">
        <v>6.8551812889980296E-3</v>
      </c>
      <c r="AB10" s="25">
        <f t="shared" si="8"/>
        <v>3.1997266934576897E-3</v>
      </c>
      <c r="AD10">
        <v>9.1361273439883615</v>
      </c>
      <c r="AE10">
        <v>36.765963470158894</v>
      </c>
      <c r="AF10">
        <v>24.375682074209674</v>
      </c>
      <c r="AG10">
        <v>31.270315543664491</v>
      </c>
    </row>
    <row r="11" spans="1:33" x14ac:dyDescent="0.25">
      <c r="A11" t="s">
        <v>75</v>
      </c>
      <c r="B11" s="3">
        <v>2008</v>
      </c>
      <c r="C11" s="60">
        <v>215844707508.2283</v>
      </c>
      <c r="D11">
        <v>1.8634834546203507</v>
      </c>
      <c r="E11" s="60">
        <v>57123779390.104187</v>
      </c>
      <c r="F11">
        <v>10.755848390317652</v>
      </c>
      <c r="G11">
        <v>2737323</v>
      </c>
      <c r="H11" s="52">
        <v>3.96</v>
      </c>
      <c r="I11" s="6">
        <f t="shared" si="0"/>
        <v>96.04</v>
      </c>
      <c r="J11" s="6">
        <f t="shared" si="1"/>
        <v>2628925.0092000002</v>
      </c>
      <c r="K11" s="42">
        <f t="shared" si="4"/>
        <v>8.1254097124981689E-2</v>
      </c>
      <c r="L11" s="61">
        <f t="shared" si="2"/>
        <v>82103.790238547474</v>
      </c>
      <c r="M11" s="9">
        <f t="shared" si="5"/>
        <v>-5.7913549410153149E-2</v>
      </c>
      <c r="N11" s="61">
        <f t="shared" si="3"/>
        <v>21728.949738086041</v>
      </c>
      <c r="O11" s="42">
        <f t="shared" si="6"/>
        <v>2.4327664374301224E-2</v>
      </c>
      <c r="Q11">
        <v>40.407138824462898</v>
      </c>
      <c r="R11" s="25">
        <f t="shared" ref="R11:R25" si="9">Q11-Q10</f>
        <v>2.6227378845214986</v>
      </c>
      <c r="S11">
        <v>20.585664973848445</v>
      </c>
      <c r="T11">
        <v>-4.1884694683058541</v>
      </c>
      <c r="U11">
        <v>41845907660.975029</v>
      </c>
      <c r="V11">
        <v>4.1432188466446869E-2</v>
      </c>
      <c r="W11">
        <v>0.14231124802675299</v>
      </c>
      <c r="X11">
        <v>23.729672967526501</v>
      </c>
      <c r="Y11" s="25">
        <f t="shared" si="7"/>
        <v>0.13960596442780115</v>
      </c>
      <c r="Z11">
        <v>76.128015784446703</v>
      </c>
      <c r="AA11">
        <v>2.5386566425965599E-2</v>
      </c>
      <c r="AB11" s="25">
        <f t="shared" si="8"/>
        <v>1.853138513696757E-2</v>
      </c>
      <c r="AD11">
        <v>10.113213911286202</v>
      </c>
      <c r="AE11">
        <v>39.95092384654248</v>
      </c>
      <c r="AF11">
        <v>27.978919594541324</v>
      </c>
      <c r="AG11">
        <v>20.660826979180964</v>
      </c>
    </row>
    <row r="12" spans="1:33" x14ac:dyDescent="0.25">
      <c r="A12" t="s">
        <v>75</v>
      </c>
      <c r="B12" s="3">
        <v>2009</v>
      </c>
      <c r="C12" s="60">
        <v>216120888113.03256</v>
      </c>
      <c r="D12">
        <v>0.1279533827780881</v>
      </c>
      <c r="E12" s="60">
        <v>60258141945.338493</v>
      </c>
      <c r="F12">
        <v>5.4869663539406588</v>
      </c>
      <c r="G12">
        <v>2837096</v>
      </c>
      <c r="H12" s="52">
        <v>5.86</v>
      </c>
      <c r="I12" s="6">
        <f t="shared" si="0"/>
        <v>94.14</v>
      </c>
      <c r="J12" s="6">
        <f t="shared" si="1"/>
        <v>2670842.1743999999</v>
      </c>
      <c r="K12" s="42">
        <f t="shared" si="4"/>
        <v>1.5944602852234029E-2</v>
      </c>
      <c r="L12" s="61">
        <f t="shared" si="2"/>
        <v>80918.629406315915</v>
      </c>
      <c r="M12" s="9">
        <f t="shared" si="5"/>
        <v>-1.4434910115454443E-2</v>
      </c>
      <c r="N12" s="61">
        <f t="shared" si="3"/>
        <v>22561.476122742213</v>
      </c>
      <c r="O12" s="42">
        <f t="shared" si="6"/>
        <v>3.8314156675365557E-2</v>
      </c>
      <c r="Q12">
        <v>40.729148864746101</v>
      </c>
      <c r="R12" s="25">
        <f t="shared" si="9"/>
        <v>0.32201004028320313</v>
      </c>
      <c r="S12">
        <v>20.273376429073512</v>
      </c>
      <c r="T12">
        <v>-4.1502986226508227</v>
      </c>
      <c r="U12">
        <v>40109177531.685844</v>
      </c>
      <c r="V12">
        <v>4.0687761270138054E-2</v>
      </c>
      <c r="W12">
        <v>0.13906365808080101</v>
      </c>
      <c r="X12">
        <v>22.593183926345901</v>
      </c>
      <c r="Y12" s="25">
        <f t="shared" si="7"/>
        <v>-1.1364890411805995</v>
      </c>
      <c r="Z12">
        <v>77.267790000345798</v>
      </c>
      <c r="AA12">
        <v>6.7856716847083803E-3</v>
      </c>
      <c r="AB12" s="25">
        <f t="shared" si="8"/>
        <v>-1.8600894741257219E-2</v>
      </c>
      <c r="AD12">
        <v>9.9299738486408202</v>
      </c>
      <c r="AE12">
        <v>39.102921622057082</v>
      </c>
      <c r="AF12">
        <v>28.837459653073982</v>
      </c>
      <c r="AG12">
        <v>23.497058193413821</v>
      </c>
    </row>
    <row r="13" spans="1:33" x14ac:dyDescent="0.25">
      <c r="A13" t="s">
        <v>75</v>
      </c>
      <c r="B13" s="3">
        <v>2010</v>
      </c>
      <c r="C13" s="60">
        <v>247501100140.01782</v>
      </c>
      <c r="D13">
        <v>14.519749710899404</v>
      </c>
      <c r="E13" s="60">
        <v>64325859654.865166</v>
      </c>
      <c r="F13">
        <v>6.7504864541236316</v>
      </c>
      <c r="G13">
        <v>2936802</v>
      </c>
      <c r="H13" s="52">
        <v>4.12</v>
      </c>
      <c r="I13" s="6">
        <f t="shared" si="0"/>
        <v>95.88</v>
      </c>
      <c r="J13" s="6">
        <f t="shared" si="1"/>
        <v>2815805.7576000001</v>
      </c>
      <c r="K13" s="42">
        <f t="shared" si="4"/>
        <v>5.4276356944440586E-2</v>
      </c>
      <c r="L13" s="61">
        <f t="shared" si="2"/>
        <v>87897.078650400523</v>
      </c>
      <c r="M13" s="9">
        <f t="shared" si="5"/>
        <v>8.6240329270084265E-2</v>
      </c>
      <c r="N13" s="61">
        <f t="shared" si="3"/>
        <v>22844.56570956518</v>
      </c>
      <c r="O13" s="42">
        <f t="shared" si="6"/>
        <v>1.2547476294674259E-2</v>
      </c>
      <c r="Q13">
        <v>46.475578308105497</v>
      </c>
      <c r="R13" s="25">
        <f t="shared" si="9"/>
        <v>5.7464294433593963</v>
      </c>
      <c r="S13">
        <v>20.773833025312548</v>
      </c>
      <c r="T13">
        <v>29.675335626760187</v>
      </c>
      <c r="U13">
        <v>52011710581.34671</v>
      </c>
      <c r="V13">
        <v>3.614898888342135E-2</v>
      </c>
      <c r="W13">
        <v>0.13561924621409599</v>
      </c>
      <c r="X13">
        <v>21.723582478803099</v>
      </c>
      <c r="Y13" s="25">
        <f t="shared" si="7"/>
        <v>-0.86960144754280222</v>
      </c>
      <c r="Z13">
        <v>78.140762763266096</v>
      </c>
      <c r="AA13">
        <v>3.8512160672045999E-2</v>
      </c>
      <c r="AB13" s="25">
        <f t="shared" si="8"/>
        <v>3.1726488987337619E-2</v>
      </c>
      <c r="AD13">
        <v>9.6915683859659953</v>
      </c>
      <c r="AE13">
        <v>36.337838296581353</v>
      </c>
      <c r="AF13">
        <v>25.569721215450116</v>
      </c>
      <c r="AG13">
        <v>26.312365798407917</v>
      </c>
    </row>
    <row r="14" spans="1:33" x14ac:dyDescent="0.25">
      <c r="A14" t="s">
        <v>75</v>
      </c>
      <c r="B14" s="3">
        <v>2011</v>
      </c>
      <c r="C14" s="60">
        <v>262883130580.25568</v>
      </c>
      <c r="D14">
        <v>6.2149341685898918</v>
      </c>
      <c r="E14" s="60">
        <v>68420489880.530258</v>
      </c>
      <c r="F14">
        <v>6.3654496770575264</v>
      </c>
      <c r="G14">
        <v>3012462</v>
      </c>
      <c r="H14" s="52">
        <v>3.89</v>
      </c>
      <c r="I14" s="6">
        <f t="shared" si="0"/>
        <v>96.11</v>
      </c>
      <c r="J14" s="6">
        <f t="shared" si="1"/>
        <v>2895277.2281999998</v>
      </c>
      <c r="K14" s="42">
        <f t="shared" si="4"/>
        <v>2.822334970567561E-2</v>
      </c>
      <c r="L14" s="61">
        <f t="shared" si="2"/>
        <v>90797.222462765916</v>
      </c>
      <c r="M14" s="9">
        <f t="shared" si="5"/>
        <v>3.299476907418445E-2</v>
      </c>
      <c r="N14" s="61">
        <f t="shared" si="3"/>
        <v>23631.757682516443</v>
      </c>
      <c r="O14" s="42">
        <f t="shared" si="6"/>
        <v>3.4458609673707216E-2</v>
      </c>
      <c r="Q14">
        <v>46.935169219970703</v>
      </c>
      <c r="R14" s="25">
        <f t="shared" si="9"/>
        <v>0.45959091186520595</v>
      </c>
      <c r="S14">
        <v>19.582551507977822</v>
      </c>
      <c r="T14">
        <v>7.8077670717552081</v>
      </c>
      <c r="U14">
        <v>56072663793.573723</v>
      </c>
      <c r="V14">
        <v>3.4607600751235389E-2</v>
      </c>
      <c r="W14">
        <v>0.13246039834856399</v>
      </c>
      <c r="X14">
        <v>20.7412116291523</v>
      </c>
      <c r="Y14" s="25">
        <f t="shared" si="7"/>
        <v>-0.98237084965079902</v>
      </c>
      <c r="Z14">
        <v>79.126327972499098</v>
      </c>
      <c r="AA14">
        <v>0.15430144547848201</v>
      </c>
      <c r="AB14" s="25">
        <f t="shared" si="8"/>
        <v>0.11578928480643602</v>
      </c>
      <c r="AD14">
        <v>9.2368426370194889</v>
      </c>
      <c r="AE14">
        <v>36.615610020152666</v>
      </c>
      <c r="AF14">
        <v>25.264914637905171</v>
      </c>
      <c r="AG14">
        <v>27.556785921536942</v>
      </c>
    </row>
    <row r="15" spans="1:33" x14ac:dyDescent="0.25">
      <c r="A15" t="s">
        <v>75</v>
      </c>
      <c r="B15" s="3">
        <v>2012</v>
      </c>
      <c r="C15" s="60">
        <v>274543305511.61057</v>
      </c>
      <c r="D15">
        <v>4.4354975937853709</v>
      </c>
      <c r="E15" s="60">
        <v>74324950448.238876</v>
      </c>
      <c r="F15">
        <v>8.6296671918287444</v>
      </c>
      <c r="G15">
        <v>3125729</v>
      </c>
      <c r="H15" s="52">
        <v>3.72</v>
      </c>
      <c r="I15" s="6">
        <f t="shared" si="0"/>
        <v>96.28</v>
      </c>
      <c r="J15" s="6">
        <f t="shared" si="1"/>
        <v>3009451.8812000002</v>
      </c>
      <c r="K15" s="42">
        <f t="shared" si="4"/>
        <v>3.943479121375297E-2</v>
      </c>
      <c r="L15" s="61">
        <f t="shared" si="2"/>
        <v>91227.012874563108</v>
      </c>
      <c r="M15" s="9">
        <f t="shared" si="5"/>
        <v>4.7335193758095443E-3</v>
      </c>
      <c r="N15" s="61">
        <f t="shared" si="3"/>
        <v>24697.171904473937</v>
      </c>
      <c r="O15" s="42">
        <f t="shared" si="6"/>
        <v>4.5084002479668366E-2</v>
      </c>
      <c r="Q15">
        <v>48.682609558105497</v>
      </c>
      <c r="R15" s="25">
        <f t="shared" si="9"/>
        <v>1.747440338134794</v>
      </c>
      <c r="S15">
        <v>19.116821980066192</v>
      </c>
      <c r="T15">
        <v>0.31910712270446595</v>
      </c>
      <c r="U15">
        <v>56251595657.629143</v>
      </c>
      <c r="V15">
        <v>3.3272726533169004E-2</v>
      </c>
      <c r="W15">
        <v>0.12955873329242601</v>
      </c>
      <c r="X15">
        <v>20.3739028359523</v>
      </c>
      <c r="Y15" s="25">
        <f t="shared" si="7"/>
        <v>-0.36730879319999943</v>
      </c>
      <c r="Z15">
        <v>79.496505082303997</v>
      </c>
      <c r="AA15">
        <v>0.14329419862700701</v>
      </c>
      <c r="AB15" s="25">
        <f t="shared" si="8"/>
        <v>-1.1007246851475E-2</v>
      </c>
      <c r="AD15">
        <v>8.8578668846884447</v>
      </c>
      <c r="AE15">
        <v>37.306048070547945</v>
      </c>
      <c r="AF15">
        <v>26.429988298955582</v>
      </c>
      <c r="AG15">
        <v>24.226259963852854</v>
      </c>
    </row>
    <row r="16" spans="1:33" x14ac:dyDescent="0.25">
      <c r="A16" t="s">
        <v>75</v>
      </c>
      <c r="B16" s="3">
        <v>2013</v>
      </c>
      <c r="C16" s="60">
        <v>287769788882.22137</v>
      </c>
      <c r="D16">
        <v>4.8176309912067552</v>
      </c>
      <c r="E16" s="60">
        <v>78902551233.793396</v>
      </c>
      <c r="F16">
        <v>6.1589019003012169</v>
      </c>
      <c r="G16">
        <v>3179345</v>
      </c>
      <c r="H16" s="52">
        <v>3.86</v>
      </c>
      <c r="I16" s="6">
        <f t="shared" si="0"/>
        <v>96.14</v>
      </c>
      <c r="J16" s="6">
        <f t="shared" si="1"/>
        <v>3056622.2830000003</v>
      </c>
      <c r="K16" s="42">
        <f t="shared" si="4"/>
        <v>1.5674084073140655E-2</v>
      </c>
      <c r="L16" s="61">
        <f t="shared" si="2"/>
        <v>94146.336131457603</v>
      </c>
      <c r="M16" s="9">
        <f t="shared" si="5"/>
        <v>3.2000645038203282E-2</v>
      </c>
      <c r="N16" s="61">
        <f t="shared" si="3"/>
        <v>25813.641310090974</v>
      </c>
      <c r="O16" s="42">
        <f t="shared" si="6"/>
        <v>4.5206366540080929E-2</v>
      </c>
      <c r="Q16">
        <v>50.001869201660199</v>
      </c>
      <c r="R16" s="25">
        <f t="shared" si="9"/>
        <v>1.3192596435547017</v>
      </c>
      <c r="S16">
        <v>17.638409614875453</v>
      </c>
      <c r="T16">
        <v>1.6712764155420388</v>
      </c>
      <c r="U16">
        <v>57191715309.221169</v>
      </c>
      <c r="V16">
        <v>3.4375216793813404E-2</v>
      </c>
      <c r="W16">
        <v>0.12679854020966699</v>
      </c>
      <c r="X16">
        <v>19.685489766741199</v>
      </c>
      <c r="Y16" s="25">
        <f t="shared" si="7"/>
        <v>-0.68841306921110146</v>
      </c>
      <c r="Z16">
        <v>80.187678894668295</v>
      </c>
      <c r="AA16">
        <v>0.119459449682427</v>
      </c>
      <c r="AB16" s="25">
        <f t="shared" si="8"/>
        <v>-2.3834748944580014E-2</v>
      </c>
      <c r="AD16">
        <v>9.7442177273746502</v>
      </c>
      <c r="AE16">
        <v>37.333460129295503</v>
      </c>
      <c r="AF16">
        <v>27.548215593668829</v>
      </c>
      <c r="AG16">
        <v>23.113812627266899</v>
      </c>
    </row>
    <row r="17" spans="1:33" x14ac:dyDescent="0.25">
      <c r="A17" t="s">
        <v>75</v>
      </c>
      <c r="B17" s="3">
        <v>2014</v>
      </c>
      <c r="C17" s="60">
        <v>299095084828.97827</v>
      </c>
      <c r="D17">
        <v>3.9355402770900696</v>
      </c>
      <c r="E17" s="60">
        <v>82232429581.946793</v>
      </c>
      <c r="F17">
        <v>4.2202416729045353</v>
      </c>
      <c r="G17">
        <v>3266959</v>
      </c>
      <c r="H17" s="52">
        <v>3.74</v>
      </c>
      <c r="I17" s="6">
        <f t="shared" si="0"/>
        <v>96.26</v>
      </c>
      <c r="J17" s="6">
        <f t="shared" si="1"/>
        <v>3144774.7334000003</v>
      </c>
      <c r="K17" s="42">
        <f t="shared" si="4"/>
        <v>2.8839824563956423E-2</v>
      </c>
      <c r="L17" s="61">
        <f t="shared" si="2"/>
        <v>95108.588113594087</v>
      </c>
      <c r="M17" s="9">
        <f t="shared" si="5"/>
        <v>1.0220811788075115E-2</v>
      </c>
      <c r="N17" s="61">
        <f t="shared" si="3"/>
        <v>26148.909398365871</v>
      </c>
      <c r="O17" s="42">
        <f t="shared" si="6"/>
        <v>1.298801994834551E-2</v>
      </c>
      <c r="Q17">
        <v>51.152580261230497</v>
      </c>
      <c r="R17" s="25">
        <f t="shared" si="9"/>
        <v>1.1507110595702983</v>
      </c>
      <c r="S17">
        <v>17.999768892128522</v>
      </c>
      <c r="T17">
        <v>2.6831203913080088</v>
      </c>
      <c r="U17">
        <v>58726237884.821701</v>
      </c>
      <c r="V17">
        <v>3.4540851073536168E-2</v>
      </c>
      <c r="W17">
        <v>0.124092213197688</v>
      </c>
      <c r="X17">
        <v>17.5887805852729</v>
      </c>
      <c r="Y17" s="25">
        <f t="shared" si="7"/>
        <v>-2.0967091814682988</v>
      </c>
      <c r="Z17">
        <v>82.287159069072601</v>
      </c>
      <c r="AA17">
        <v>0.10487946932588101</v>
      </c>
      <c r="AB17" s="25">
        <f t="shared" si="8"/>
        <v>-1.4579980356545993E-2</v>
      </c>
      <c r="AD17">
        <v>9.6310320219758019</v>
      </c>
      <c r="AE17">
        <v>37.584381318964205</v>
      </c>
      <c r="AF17">
        <v>28.128209222306971</v>
      </c>
      <c r="AG17">
        <v>23.439752408773177</v>
      </c>
    </row>
    <row r="18" spans="1:33" x14ac:dyDescent="0.25">
      <c r="A18" t="s">
        <v>75</v>
      </c>
      <c r="B18" s="3">
        <v>2015</v>
      </c>
      <c r="C18" s="60">
        <v>307998545269.39795</v>
      </c>
      <c r="D18">
        <v>2.9767993163480639</v>
      </c>
      <c r="E18" s="60">
        <v>83844198352.517593</v>
      </c>
      <c r="F18">
        <v>1.9600159921878912</v>
      </c>
      <c r="G18">
        <v>3360400</v>
      </c>
      <c r="H18" s="52">
        <v>3.79</v>
      </c>
      <c r="I18" s="6">
        <f t="shared" si="0"/>
        <v>96.21</v>
      </c>
      <c r="J18" s="6">
        <f t="shared" si="1"/>
        <v>3233040.84</v>
      </c>
      <c r="K18" s="42">
        <f t="shared" si="4"/>
        <v>2.8067545081224287E-2</v>
      </c>
      <c r="L18" s="61">
        <f t="shared" si="2"/>
        <v>95265.899972175408</v>
      </c>
      <c r="M18" s="9">
        <f t="shared" si="5"/>
        <v>1.6540236975596098E-3</v>
      </c>
      <c r="N18" s="61">
        <f t="shared" si="3"/>
        <v>25933.541363033819</v>
      </c>
      <c r="O18" s="42">
        <f t="shared" si="6"/>
        <v>-8.2362148283519395E-3</v>
      </c>
      <c r="Q18">
        <v>52.041000366210902</v>
      </c>
      <c r="R18" s="25">
        <f t="shared" si="9"/>
        <v>0.8884201049804048</v>
      </c>
      <c r="S18">
        <v>18.089329854873405</v>
      </c>
      <c r="T18">
        <v>-5.1278017991461269</v>
      </c>
      <c r="U18">
        <v>55714872801.992981</v>
      </c>
      <c r="V18">
        <v>3.2613513802648333E-2</v>
      </c>
      <c r="W18">
        <v>0.12145966005548101</v>
      </c>
      <c r="X18">
        <v>17.2904642702552</v>
      </c>
      <c r="Y18" s="25">
        <f t="shared" si="7"/>
        <v>-0.29831631501770062</v>
      </c>
      <c r="Z18">
        <v>82.588076069689293</v>
      </c>
      <c r="AA18">
        <v>3.4391157293545603E-2</v>
      </c>
      <c r="AB18" s="25">
        <f t="shared" si="8"/>
        <v>-7.048831203233541E-2</v>
      </c>
      <c r="AD18">
        <v>10.19090831587924</v>
      </c>
      <c r="AE18">
        <v>37.158080606153213</v>
      </c>
      <c r="AF18">
        <v>27.222270897150295</v>
      </c>
      <c r="AG18">
        <v>27.297818059101541</v>
      </c>
    </row>
    <row r="19" spans="1:33" x14ac:dyDescent="0.25">
      <c r="A19" t="s">
        <v>75</v>
      </c>
      <c r="B19" s="3">
        <v>2016</v>
      </c>
      <c r="C19" s="60">
        <v>319541032495.04486</v>
      </c>
      <c r="D19">
        <v>3.7475784879279246</v>
      </c>
      <c r="E19" s="60">
        <v>84290655174.294907</v>
      </c>
      <c r="F19">
        <v>0.53248385761912687</v>
      </c>
      <c r="G19">
        <v>3396546</v>
      </c>
      <c r="H19" s="52">
        <v>4.08</v>
      </c>
      <c r="I19" s="6">
        <f t="shared" si="0"/>
        <v>95.92</v>
      </c>
      <c r="J19" s="6">
        <f t="shared" si="1"/>
        <v>3257966.9232000001</v>
      </c>
      <c r="K19" s="42">
        <f t="shared" si="4"/>
        <v>7.7097953393005167E-3</v>
      </c>
      <c r="L19" s="61">
        <f t="shared" si="2"/>
        <v>98079.888478790701</v>
      </c>
      <c r="M19" s="9">
        <f t="shared" si="5"/>
        <v>2.9538255634357968E-2</v>
      </c>
      <c r="N19" s="61">
        <f t="shared" si="3"/>
        <v>25872.164193583641</v>
      </c>
      <c r="O19" s="42">
        <f t="shared" si="6"/>
        <v>-2.3667099140445851E-3</v>
      </c>
      <c r="Q19">
        <v>52.7865180969238</v>
      </c>
      <c r="R19" s="25">
        <f t="shared" si="9"/>
        <v>0.74551773071289773</v>
      </c>
      <c r="S19">
        <v>17.441961312599027</v>
      </c>
      <c r="T19">
        <v>3.7010008068074569</v>
      </c>
      <c r="U19">
        <v>57776880693.906494</v>
      </c>
      <c r="V19">
        <v>3.1521289438126224E-2</v>
      </c>
      <c r="W19">
        <v>0.11897925916280699</v>
      </c>
      <c r="X19">
        <v>16.156803308709499</v>
      </c>
      <c r="Y19" s="25">
        <f t="shared" si="7"/>
        <v>-1.1336609615457007</v>
      </c>
      <c r="Z19">
        <v>83.724217432127702</v>
      </c>
      <c r="AA19">
        <v>2.9353972319112E-2</v>
      </c>
      <c r="AB19" s="25">
        <f t="shared" si="8"/>
        <v>-5.0371849744336034E-3</v>
      </c>
      <c r="AD19">
        <v>10.200372971650724</v>
      </c>
      <c r="AE19">
        <v>36.336754045415525</v>
      </c>
      <c r="AF19">
        <v>25.877029477577924</v>
      </c>
      <c r="AG19">
        <v>26.253769658413212</v>
      </c>
    </row>
    <row r="20" spans="1:33" x14ac:dyDescent="0.25">
      <c r="A20" t="s">
        <v>75</v>
      </c>
      <c r="B20" s="3">
        <v>2017</v>
      </c>
      <c r="C20" s="60">
        <v>333846562289.74597</v>
      </c>
      <c r="D20">
        <v>4.4768991584587638</v>
      </c>
      <c r="E20" s="60">
        <v>88598330696.634109</v>
      </c>
      <c r="F20">
        <v>5.1105018859230142</v>
      </c>
      <c r="G20">
        <v>3388507</v>
      </c>
      <c r="H20" s="52">
        <v>4.2</v>
      </c>
      <c r="I20" s="6">
        <f t="shared" si="0"/>
        <v>95.8</v>
      </c>
      <c r="J20" s="6">
        <f t="shared" si="1"/>
        <v>3246189.7059999998</v>
      </c>
      <c r="K20" s="42">
        <f t="shared" si="4"/>
        <v>-3.6148977192293381E-3</v>
      </c>
      <c r="L20" s="61">
        <f t="shared" si="2"/>
        <v>102842.59163064021</v>
      </c>
      <c r="M20" s="9">
        <f t="shared" si="5"/>
        <v>4.8559426664513565E-2</v>
      </c>
      <c r="N20" s="61">
        <f t="shared" si="3"/>
        <v>27293.023119651934</v>
      </c>
      <c r="O20" s="42">
        <f t="shared" si="6"/>
        <v>5.4918441126029546E-2</v>
      </c>
      <c r="Q20">
        <v>54.232109069824197</v>
      </c>
      <c r="R20" s="25">
        <f t="shared" si="9"/>
        <v>1.4455909729003977</v>
      </c>
      <c r="S20">
        <v>18.545847537786003</v>
      </c>
      <c r="T20">
        <v>10.406115334791167</v>
      </c>
      <c r="U20">
        <v>63789209535.759094</v>
      </c>
      <c r="V20">
        <v>3.0763583755226389E-2</v>
      </c>
      <c r="W20">
        <v>0.117077595142899</v>
      </c>
      <c r="X20">
        <v>15.8830026161212</v>
      </c>
      <c r="Y20" s="25">
        <f t="shared" si="7"/>
        <v>-0.2738006925882992</v>
      </c>
      <c r="Z20">
        <v>83.999919788735895</v>
      </c>
      <c r="AA20">
        <v>4.52888881904618E-4</v>
      </c>
      <c r="AB20" s="25">
        <f t="shared" si="8"/>
        <v>-2.8901083437207382E-2</v>
      </c>
      <c r="AD20">
        <v>10.140018759338188</v>
      </c>
      <c r="AE20">
        <v>35.184722354653985</v>
      </c>
      <c r="AF20">
        <v>25.115649681750725</v>
      </c>
      <c r="AG20">
        <v>26.545597667222111</v>
      </c>
    </row>
    <row r="21" spans="1:33" x14ac:dyDescent="0.25">
      <c r="A21" t="s">
        <v>75</v>
      </c>
      <c r="B21" s="3">
        <v>2018</v>
      </c>
      <c r="C21" s="60">
        <v>345370865382.86688</v>
      </c>
      <c r="D21">
        <v>3.4519759658686979</v>
      </c>
      <c r="E21" s="60">
        <v>84207444583.856125</v>
      </c>
      <c r="F21">
        <v>-4.9559467749032819</v>
      </c>
      <c r="G21">
        <v>3390276</v>
      </c>
      <c r="H21" s="52">
        <v>3.613</v>
      </c>
      <c r="I21" s="6">
        <f t="shared" si="0"/>
        <v>96.387</v>
      </c>
      <c r="J21" s="6">
        <f t="shared" si="1"/>
        <v>3267785.3281200002</v>
      </c>
      <c r="K21" s="42">
        <f t="shared" si="4"/>
        <v>6.652606309509511E-3</v>
      </c>
      <c r="L21" s="61">
        <f t="shared" si="2"/>
        <v>105689.58199636794</v>
      </c>
      <c r="M21" s="9">
        <f t="shared" si="5"/>
        <v>2.7682989319762721E-2</v>
      </c>
      <c r="N21" s="61">
        <f t="shared" si="3"/>
        <v>25768.964643801057</v>
      </c>
      <c r="O21" s="42">
        <f t="shared" si="6"/>
        <v>-5.5840588606452392E-2</v>
      </c>
      <c r="Q21">
        <v>55.760608673095703</v>
      </c>
      <c r="R21" s="25">
        <f t="shared" si="9"/>
        <v>1.5284996032715057</v>
      </c>
      <c r="S21">
        <v>20.717845766781217</v>
      </c>
      <c r="T21">
        <v>7.0287004412821261</v>
      </c>
      <c r="U21">
        <v>68272761987.889374</v>
      </c>
      <c r="V21">
        <v>3.0117148236328394E-2</v>
      </c>
      <c r="W21">
        <v>0.115089283007242</v>
      </c>
      <c r="X21">
        <v>16.038846154906299</v>
      </c>
      <c r="Y21" s="25">
        <f t="shared" si="7"/>
        <v>0.15584353878509916</v>
      </c>
      <c r="Z21">
        <v>83.846064562086497</v>
      </c>
      <c r="AA21">
        <v>1.8876715293803699E-4</v>
      </c>
      <c r="AB21" s="25">
        <f t="shared" si="8"/>
        <v>-2.6412172896658097E-4</v>
      </c>
      <c r="AD21">
        <v>9.9398348941138064</v>
      </c>
      <c r="AE21">
        <v>34.614491407338598</v>
      </c>
      <c r="AF21">
        <v>22.351805620065026</v>
      </c>
      <c r="AG21">
        <v>29.700268952184881</v>
      </c>
    </row>
    <row r="22" spans="1:33" x14ac:dyDescent="0.25">
      <c r="A22" t="s">
        <v>75</v>
      </c>
      <c r="B22" s="3">
        <v>2019</v>
      </c>
      <c r="C22" s="60">
        <v>349888458531.08569</v>
      </c>
      <c r="D22">
        <v>1.3080411815312658</v>
      </c>
      <c r="E22" s="60">
        <v>86300365501.063766</v>
      </c>
      <c r="F22">
        <v>2.4854345450697792</v>
      </c>
      <c r="G22">
        <v>3454121</v>
      </c>
      <c r="H22" s="52">
        <v>3.1</v>
      </c>
      <c r="I22" s="6">
        <f t="shared" si="0"/>
        <v>96.9</v>
      </c>
      <c r="J22" s="6">
        <f t="shared" si="1"/>
        <v>3347043.2490000003</v>
      </c>
      <c r="K22" s="42">
        <f t="shared" si="4"/>
        <v>2.4254323011358346E-2</v>
      </c>
      <c r="L22" s="61">
        <f t="shared" si="2"/>
        <v>104536.58124543872</v>
      </c>
      <c r="M22" s="9">
        <f t="shared" si="5"/>
        <v>-1.0909313190100821E-2</v>
      </c>
      <c r="N22" s="61">
        <f t="shared" si="3"/>
        <v>25784.060461975751</v>
      </c>
      <c r="O22" s="42">
        <f t="shared" si="6"/>
        <v>5.8581391931573521E-4</v>
      </c>
      <c r="Q22">
        <v>57.249900817871101</v>
      </c>
      <c r="R22" s="25">
        <f t="shared" si="9"/>
        <v>1.4892921447753977</v>
      </c>
      <c r="S22">
        <v>19.40403130191034</v>
      </c>
      <c r="T22">
        <v>-1.4550979032228923</v>
      </c>
      <c r="U22">
        <v>67279326459.731239</v>
      </c>
      <c r="V22">
        <v>3.2252130199608528E-2</v>
      </c>
      <c r="W22">
        <v>0.113041897035994</v>
      </c>
      <c r="X22">
        <v>14.9655328914049</v>
      </c>
      <c r="Y22" s="25">
        <f t="shared" si="7"/>
        <v>-1.0733132635013991</v>
      </c>
      <c r="Z22">
        <v>84.921455267899702</v>
      </c>
      <c r="AA22">
        <v>1.6926616042902101E-4</v>
      </c>
      <c r="AB22" s="25">
        <f t="shared" si="8"/>
        <v>-1.9500992509015986E-5</v>
      </c>
      <c r="AD22">
        <v>10.253396494246401</v>
      </c>
      <c r="AE22">
        <v>35.845393881281687</v>
      </c>
      <c r="AF22">
        <v>22.799478885505962</v>
      </c>
      <c r="AG22">
        <v>29.367995967723893</v>
      </c>
    </row>
    <row r="23" spans="1:33" x14ac:dyDescent="0.25">
      <c r="A23" t="s">
        <v>75</v>
      </c>
      <c r="B23" s="3">
        <v>2020</v>
      </c>
      <c r="C23" s="60">
        <v>336541232520.5025</v>
      </c>
      <c r="D23">
        <v>-3.8147088551071278</v>
      </c>
      <c r="E23" s="60">
        <v>74186532831.451279</v>
      </c>
      <c r="F23">
        <v>-14.036826610500484</v>
      </c>
      <c r="G23">
        <v>3431193</v>
      </c>
      <c r="H23" s="52">
        <v>4.0999999999999996</v>
      </c>
      <c r="I23" s="6">
        <f t="shared" si="0"/>
        <v>95.9</v>
      </c>
      <c r="J23" s="6">
        <f t="shared" si="1"/>
        <v>3290514.0870000003</v>
      </c>
      <c r="K23" s="42">
        <f t="shared" si="4"/>
        <v>-1.6889283404655522E-2</v>
      </c>
      <c r="L23" s="61">
        <f t="shared" si="2"/>
        <v>102276.18652358696</v>
      </c>
      <c r="M23" s="9">
        <f t="shared" si="5"/>
        <v>-2.1623002157920537E-2</v>
      </c>
      <c r="N23" s="61">
        <f t="shared" si="3"/>
        <v>22545.575211041869</v>
      </c>
      <c r="O23" s="42">
        <f t="shared" si="6"/>
        <v>-0.12560028144945354</v>
      </c>
      <c r="Q23">
        <v>58.2861518859863</v>
      </c>
      <c r="R23" s="25">
        <f t="shared" si="9"/>
        <v>1.0362510681151988</v>
      </c>
      <c r="S23">
        <v>19.653984525036179</v>
      </c>
      <c r="T23">
        <v>7.5307063016974496</v>
      </c>
      <c r="U23">
        <v>72345934937.173828</v>
      </c>
      <c r="V23">
        <v>3.281725211869508E-2</v>
      </c>
      <c r="W23">
        <v>0.108162685533748</v>
      </c>
      <c r="X23">
        <v>14.8295407728436</v>
      </c>
      <c r="Y23" s="25">
        <f t="shared" si="7"/>
        <v>-0.13599211856129934</v>
      </c>
      <c r="Z23">
        <v>85.0622965416227</v>
      </c>
      <c r="AA23">
        <v>2.4207226855628999E-4</v>
      </c>
      <c r="AB23" s="25">
        <f t="shared" si="8"/>
        <v>7.2806108127268987E-5</v>
      </c>
      <c r="AD23">
        <v>12.190147791383446</v>
      </c>
      <c r="AE23">
        <v>32.147432325908682</v>
      </c>
      <c r="AF23">
        <v>20.999459350147131</v>
      </c>
      <c r="AG23">
        <v>31.279400415186071</v>
      </c>
    </row>
    <row r="24" spans="1:33" x14ac:dyDescent="0.25">
      <c r="A24" t="s">
        <v>75</v>
      </c>
      <c r="B24" s="3">
        <v>2021</v>
      </c>
      <c r="C24" s="60">
        <v>369376902514.86536</v>
      </c>
      <c r="D24">
        <v>9.7568044629903028</v>
      </c>
      <c r="E24" s="60">
        <v>91394322913.825394</v>
      </c>
      <c r="F24">
        <v>23.19530166138037</v>
      </c>
      <c r="G24">
        <v>3385810</v>
      </c>
      <c r="H24" s="52">
        <v>4.6399999999999997</v>
      </c>
      <c r="I24" s="6">
        <f t="shared" si="0"/>
        <v>95.36</v>
      </c>
      <c r="J24" s="6">
        <f t="shared" si="1"/>
        <v>3228708.4160000002</v>
      </c>
      <c r="K24" s="42">
        <f t="shared" si="4"/>
        <v>-1.878298325607505E-2</v>
      </c>
      <c r="L24" s="61">
        <f t="shared" si="2"/>
        <v>114403.92098722901</v>
      </c>
      <c r="M24" s="9">
        <f t="shared" si="5"/>
        <v>0.11857828176694038</v>
      </c>
      <c r="N24" s="61">
        <f t="shared" si="3"/>
        <v>28306.775074799876</v>
      </c>
      <c r="O24" s="42">
        <f t="shared" si="6"/>
        <v>0.25553572307777783</v>
      </c>
      <c r="Q24">
        <v>61.837471008300803</v>
      </c>
      <c r="R24" s="25">
        <f t="shared" si="9"/>
        <v>3.5513191223145029</v>
      </c>
      <c r="S24">
        <v>20.633068003561824</v>
      </c>
      <c r="T24">
        <v>13.303540009852924</v>
      </c>
      <c r="U24">
        <v>81970505337.042892</v>
      </c>
      <c r="V24">
        <v>3.0551368665513827E-2</v>
      </c>
      <c r="W24">
        <v>0.107777556138585</v>
      </c>
      <c r="X24">
        <v>14.4449638584304</v>
      </c>
      <c r="Y24" s="25">
        <f t="shared" si="7"/>
        <v>-0.3845769144132003</v>
      </c>
      <c r="Z24">
        <v>85.447258585431001</v>
      </c>
      <c r="AA24">
        <v>1.80989109199595E-4</v>
      </c>
      <c r="AB24" s="25">
        <f t="shared" si="8"/>
        <v>-6.1083159356694992E-5</v>
      </c>
      <c r="AD24">
        <v>10.532697743092175</v>
      </c>
      <c r="AE24">
        <v>28.780240455600087</v>
      </c>
      <c r="AF24">
        <v>22.078228221894115</v>
      </c>
      <c r="AG24">
        <v>35.785344863952751</v>
      </c>
    </row>
    <row r="25" spans="1:33" x14ac:dyDescent="0.25">
      <c r="A25" t="s">
        <v>75</v>
      </c>
      <c r="B25" s="3">
        <v>2022</v>
      </c>
      <c r="C25" s="60">
        <v>384550906479.00623</v>
      </c>
      <c r="D25">
        <v>4.1080002189715117</v>
      </c>
      <c r="E25" s="60">
        <v>95674867710.435883</v>
      </c>
      <c r="F25">
        <v>4.6836003157948483</v>
      </c>
      <c r="G25">
        <v>3459003</v>
      </c>
      <c r="H25" s="52">
        <v>3.5910000000000002</v>
      </c>
      <c r="I25" s="6">
        <f t="shared" si="0"/>
        <v>96.409000000000006</v>
      </c>
      <c r="J25" s="6">
        <f t="shared" si="1"/>
        <v>3334790.2022700002</v>
      </c>
      <c r="K25" s="42">
        <f t="shared" si="4"/>
        <v>3.285579637489322E-2</v>
      </c>
      <c r="L25" s="61">
        <f t="shared" si="2"/>
        <v>115314.87234706442</v>
      </c>
      <c r="M25" s="9">
        <f t="shared" si="5"/>
        <v>7.9625886243627955E-3</v>
      </c>
      <c r="N25" s="61">
        <f t="shared" si="3"/>
        <v>28689.921076687151</v>
      </c>
      <c r="O25" s="42">
        <f t="shared" si="6"/>
        <v>1.3535487559950652E-2</v>
      </c>
      <c r="Q25">
        <v>63.086940765380902</v>
      </c>
      <c r="R25" s="25">
        <f t="shared" si="9"/>
        <v>1.2494697570800994</v>
      </c>
      <c r="S25">
        <v>19.655537649937781</v>
      </c>
      <c r="T25">
        <v>2.6997624563978491</v>
      </c>
      <c r="U25">
        <v>84183514265.451965</v>
      </c>
      <c r="V25">
        <v>2.597731637364643E-2</v>
      </c>
      <c r="W25">
        <v>9.0952445633474793E-2</v>
      </c>
      <c r="X25">
        <v>14.5645681583865</v>
      </c>
      <c r="Y25" s="25">
        <f t="shared" si="7"/>
        <v>0.11960429995609978</v>
      </c>
      <c r="Z25">
        <v>85.344449477412397</v>
      </c>
      <c r="AA25" t="s">
        <v>169</v>
      </c>
      <c r="AB25" s="46" t="e">
        <f t="shared" si="8"/>
        <v>#VALUE!</v>
      </c>
      <c r="AD25">
        <v>9.1289494952629333</v>
      </c>
      <c r="AE25">
        <v>28.099108159151914</v>
      </c>
      <c r="AF25">
        <v>20.338964403941983</v>
      </c>
      <c r="AG25">
        <v>39.774395154749833</v>
      </c>
    </row>
    <row r="26" spans="1:33" x14ac:dyDescent="0.25">
      <c r="A26" t="s">
        <v>75</v>
      </c>
      <c r="B26" s="3">
        <v>2023</v>
      </c>
      <c r="C26" s="60">
        <v>391555143381.88489</v>
      </c>
      <c r="D26">
        <v>1.8214069411538532</v>
      </c>
      <c r="E26" s="60">
        <v>94809012056.079865</v>
      </c>
      <c r="F26">
        <v>-0.90499801575536765</v>
      </c>
      <c r="G26">
        <v>3622441</v>
      </c>
      <c r="H26" s="52">
        <v>3.444</v>
      </c>
      <c r="I26" s="6">
        <f t="shared" si="0"/>
        <v>96.555999999999997</v>
      </c>
      <c r="J26" s="6">
        <f t="shared" si="1"/>
        <v>3497684.1319599999</v>
      </c>
      <c r="K26" s="42">
        <f t="shared" si="4"/>
        <v>4.8846829878268612E-2</v>
      </c>
      <c r="L26" s="61">
        <f t="shared" si="2"/>
        <v>111946.97079820893</v>
      </c>
      <c r="M26" s="9">
        <f t="shared" si="5"/>
        <v>-2.9206133435408722E-2</v>
      </c>
      <c r="N26" s="61">
        <f t="shared" si="3"/>
        <v>27106.224713022231</v>
      </c>
      <c r="O26" s="42">
        <f t="shared" si="6"/>
        <v>-5.5200443369354521E-2</v>
      </c>
      <c r="Q26" t="s">
        <v>169</v>
      </c>
      <c r="R26" s="46"/>
      <c r="S26">
        <v>16.975559443779353</v>
      </c>
      <c r="T26">
        <v>-4.2302587923025925</v>
      </c>
      <c r="U26">
        <v>80622333751.568375</v>
      </c>
      <c r="V26">
        <v>2.8849802007551339E-2</v>
      </c>
      <c r="W26">
        <v>7.9580186024164501E-2</v>
      </c>
      <c r="X26">
        <v>13.8432992197459</v>
      </c>
      <c r="Y26" s="25">
        <f t="shared" si="7"/>
        <v>-0.72126893864060015</v>
      </c>
      <c r="Z26">
        <v>86.077120594229896</v>
      </c>
      <c r="AA26" t="s">
        <v>169</v>
      </c>
      <c r="AB26" s="46" t="e">
        <f t="shared" si="8"/>
        <v>#VALUE!</v>
      </c>
      <c r="AD26">
        <v>9.8421032695316715</v>
      </c>
      <c r="AE26">
        <v>31.513116296958909</v>
      </c>
      <c r="AF26">
        <v>21.87302410554809</v>
      </c>
      <c r="AG26">
        <v>37.158805824026295</v>
      </c>
    </row>
    <row r="27" spans="1:33" x14ac:dyDescent="0.25">
      <c r="A27" t="s">
        <v>75</v>
      </c>
      <c r="B27" s="3">
        <v>2024</v>
      </c>
      <c r="C27" s="60">
        <v>408736675576.89142</v>
      </c>
      <c r="D27">
        <v>4.3880236246186541</v>
      </c>
      <c r="E27" s="60">
        <v>97592930009.273911</v>
      </c>
      <c r="F27">
        <v>2.9363431733128351</v>
      </c>
      <c r="G27">
        <v>3689424</v>
      </c>
      <c r="H27" s="52">
        <v>2.7370000000000001</v>
      </c>
      <c r="I27" s="6">
        <f t="shared" si="0"/>
        <v>97.263000000000005</v>
      </c>
      <c r="J27" s="6">
        <f t="shared" si="1"/>
        <v>3588444.4651200003</v>
      </c>
      <c r="K27" s="42">
        <f t="shared" si="4"/>
        <v>2.5948693402780471E-2</v>
      </c>
      <c r="L27" s="61">
        <f t="shared" si="2"/>
        <v>113903.58121739051</v>
      </c>
      <c r="M27" s="9">
        <f t="shared" si="5"/>
        <v>1.7478011287223569E-2</v>
      </c>
      <c r="N27" s="61">
        <f t="shared" si="3"/>
        <v>27196.444297211754</v>
      </c>
      <c r="O27" s="42">
        <f t="shared" si="6"/>
        <v>3.3283714403127447E-3</v>
      </c>
      <c r="Q27" t="s">
        <v>169</v>
      </c>
      <c r="R27" s="46"/>
      <c r="S27">
        <v>16.332704934853503</v>
      </c>
      <c r="T27">
        <v>4.2628399445695493</v>
      </c>
      <c r="U27">
        <v>84059134798.974411</v>
      </c>
      <c r="V27">
        <v>2.7439170694473516E-2</v>
      </c>
      <c r="W27">
        <v>9.7983733027354095E-2</v>
      </c>
      <c r="X27">
        <v>14.162557810979401</v>
      </c>
      <c r="Y27" s="25">
        <f t="shared" si="7"/>
        <v>0.31925859123350087</v>
      </c>
      <c r="Z27">
        <v>85.739458455993301</v>
      </c>
      <c r="AA27" t="s">
        <v>169</v>
      </c>
      <c r="AB27" s="46" t="e">
        <f t="shared" si="8"/>
        <v>#VALUE!</v>
      </c>
      <c r="AD27">
        <v>10.05318763287927</v>
      </c>
      <c r="AE27">
        <v>30.684280484260235</v>
      </c>
      <c r="AF27">
        <v>21.037456033494557</v>
      </c>
      <c r="AG27">
        <v>36.012331849548822</v>
      </c>
    </row>
    <row r="29" spans="1:33" x14ac:dyDescent="0.25">
      <c r="I29" s="1"/>
      <c r="J29" s="1"/>
      <c r="L29" s="1"/>
      <c r="M29" s="10"/>
      <c r="N29"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topLeftCell="A5" workbookViewId="0">
      <selection activeCell="I10" sqref="I10"/>
    </sheetView>
  </sheetViews>
  <sheetFormatPr defaultRowHeight="15" x14ac:dyDescent="0.25"/>
  <cols>
    <col min="1" max="1" width="11.5703125" bestFit="1" customWidth="1"/>
    <col min="3" max="3" width="9" style="6"/>
  </cols>
  <sheetData>
    <row r="1" spans="1:13" ht="120" x14ac:dyDescent="0.25">
      <c r="A1" s="2" t="s">
        <v>43</v>
      </c>
      <c r="B1" s="2" t="s">
        <v>80</v>
      </c>
      <c r="C1" s="4" t="s">
        <v>108</v>
      </c>
      <c r="E1" t="s">
        <v>116</v>
      </c>
    </row>
    <row r="2" spans="1:13" ht="15.75" thickBot="1" x14ac:dyDescent="0.3">
      <c r="A2">
        <v>140533304238.72125</v>
      </c>
      <c r="B2">
        <v>43703162220.646263</v>
      </c>
      <c r="C2" s="6">
        <v>2058990.2999999998</v>
      </c>
    </row>
    <row r="3" spans="1:13" x14ac:dyDescent="0.25">
      <c r="A3">
        <v>139028385430.87299</v>
      </c>
      <c r="B3">
        <v>41427454403.287689</v>
      </c>
      <c r="C3" s="6">
        <v>2122980.2952000001</v>
      </c>
      <c r="E3" s="14" t="s">
        <v>117</v>
      </c>
      <c r="F3" s="14"/>
    </row>
    <row r="4" spans="1:13" x14ac:dyDescent="0.25">
      <c r="A4">
        <v>144482970559.8894</v>
      </c>
      <c r="B4">
        <v>37635189933.264236</v>
      </c>
      <c r="C4" s="6">
        <v>2076428.3819999998</v>
      </c>
      <c r="E4" t="s">
        <v>118</v>
      </c>
      <c r="F4">
        <v>0.98087740551070124</v>
      </c>
    </row>
    <row r="5" spans="1:13" x14ac:dyDescent="0.25">
      <c r="A5">
        <v>151054425108.65015</v>
      </c>
      <c r="B5">
        <v>35694579310.094017</v>
      </c>
      <c r="C5" s="6">
        <v>2047317.8439</v>
      </c>
      <c r="E5" t="s">
        <v>119</v>
      </c>
      <c r="F5" s="15">
        <v>0.96212048464140454</v>
      </c>
    </row>
    <row r="6" spans="1:13" x14ac:dyDescent="0.25">
      <c r="A6">
        <v>166069208808.39377</v>
      </c>
      <c r="B6">
        <v>39369010601.349266</v>
      </c>
      <c r="C6" s="6">
        <v>2082084.7520000001</v>
      </c>
      <c r="E6" t="s">
        <v>120</v>
      </c>
      <c r="F6">
        <v>0.95867689233607767</v>
      </c>
    </row>
    <row r="7" spans="1:13" x14ac:dyDescent="0.25">
      <c r="A7">
        <v>178302402123.90665</v>
      </c>
      <c r="B7">
        <v>40801992980.92485</v>
      </c>
      <c r="C7" s="6">
        <v>2173115.2185</v>
      </c>
      <c r="E7" t="s">
        <v>121</v>
      </c>
      <c r="F7">
        <v>17652168151.839451</v>
      </c>
    </row>
    <row r="8" spans="1:13" ht="15.75" thickBot="1" x14ac:dyDescent="0.3">
      <c r="A8">
        <v>194361682395.94128</v>
      </c>
      <c r="B8">
        <v>44652955830.742096</v>
      </c>
      <c r="C8" s="6">
        <v>2317507.1952</v>
      </c>
      <c r="E8" s="12" t="s">
        <v>122</v>
      </c>
      <c r="F8" s="16">
        <v>25</v>
      </c>
    </row>
    <row r="9" spans="1:13" x14ac:dyDescent="0.25">
      <c r="A9">
        <v>211896059498.4816</v>
      </c>
      <c r="B9">
        <v>51576309712.14518</v>
      </c>
      <c r="C9" s="6">
        <v>2431366.5179999997</v>
      </c>
    </row>
    <row r="10" spans="1:13" ht="15.75" thickBot="1" x14ac:dyDescent="0.3">
      <c r="A10">
        <v>215844707508.2283</v>
      </c>
      <c r="B10">
        <v>57123779390.104187</v>
      </c>
      <c r="C10" s="6">
        <v>2628925.0092000002</v>
      </c>
      <c r="E10" t="s">
        <v>123</v>
      </c>
    </row>
    <row r="11" spans="1:13" x14ac:dyDescent="0.25">
      <c r="A11">
        <v>216120888113.03256</v>
      </c>
      <c r="B11">
        <v>60258141945.338493</v>
      </c>
      <c r="C11" s="6">
        <v>2670842.1743999999</v>
      </c>
      <c r="E11" s="13"/>
      <c r="F11" s="13" t="s">
        <v>128</v>
      </c>
      <c r="G11" s="13" t="s">
        <v>129</v>
      </c>
      <c r="H11" s="13" t="s">
        <v>130</v>
      </c>
      <c r="I11" s="13" t="s">
        <v>131</v>
      </c>
      <c r="J11" s="13" t="s">
        <v>132</v>
      </c>
    </row>
    <row r="12" spans="1:13" x14ac:dyDescent="0.25">
      <c r="A12">
        <v>247501100140.01782</v>
      </c>
      <c r="B12">
        <v>64325859654.865166</v>
      </c>
      <c r="C12" s="6">
        <v>2815805.7576000001</v>
      </c>
      <c r="E12" t="s">
        <v>124</v>
      </c>
      <c r="F12">
        <v>2</v>
      </c>
      <c r="G12">
        <v>1.7411806813379431E+23</v>
      </c>
      <c r="H12">
        <v>8.7059034066897156E+22</v>
      </c>
      <c r="I12">
        <v>279.39442283951837</v>
      </c>
      <c r="J12">
        <v>2.3038200450523506E-16</v>
      </c>
    </row>
    <row r="13" spans="1:13" x14ac:dyDescent="0.25">
      <c r="A13">
        <v>262883130580.25568</v>
      </c>
      <c r="B13">
        <v>68420489880.530258</v>
      </c>
      <c r="C13" s="6">
        <v>2895277.2281999998</v>
      </c>
      <c r="E13" t="s">
        <v>125</v>
      </c>
      <c r="F13">
        <v>22</v>
      </c>
      <c r="G13">
        <v>6.8551788901379311E+21</v>
      </c>
      <c r="H13">
        <v>3.1159904046081507E+20</v>
      </c>
    </row>
    <row r="14" spans="1:13" ht="15.75" thickBot="1" x14ac:dyDescent="0.3">
      <c r="A14">
        <v>274543305511.61057</v>
      </c>
      <c r="B14">
        <v>74324950448.238876</v>
      </c>
      <c r="C14" s="6">
        <v>3009451.8812000002</v>
      </c>
      <c r="E14" s="12" t="s">
        <v>126</v>
      </c>
      <c r="F14" s="12">
        <v>24</v>
      </c>
      <c r="G14" s="12">
        <v>1.8097324702393224E+23</v>
      </c>
      <c r="H14" s="12"/>
      <c r="I14" s="12"/>
      <c r="J14" s="12"/>
    </row>
    <row r="15" spans="1:13" ht="15.75" thickBot="1" x14ac:dyDescent="0.3">
      <c r="A15">
        <v>287769788882.22137</v>
      </c>
      <c r="B15">
        <v>78902551233.793396</v>
      </c>
      <c r="C15" s="6">
        <v>3056622.2830000003</v>
      </c>
    </row>
    <row r="16" spans="1:13" x14ac:dyDescent="0.25">
      <c r="A16">
        <v>299095084828.97827</v>
      </c>
      <c r="B16">
        <v>82232429581.946793</v>
      </c>
      <c r="C16" s="6">
        <v>3144774.7334000003</v>
      </c>
      <c r="E16" s="13"/>
      <c r="F16" s="17" t="s">
        <v>133</v>
      </c>
      <c r="G16" s="13" t="s">
        <v>121</v>
      </c>
      <c r="H16" s="13" t="s">
        <v>134</v>
      </c>
      <c r="I16" s="17" t="s">
        <v>135</v>
      </c>
      <c r="J16" s="13" t="s">
        <v>136</v>
      </c>
      <c r="K16" s="13" t="s">
        <v>137</v>
      </c>
      <c r="L16" s="13" t="s">
        <v>138</v>
      </c>
      <c r="M16" s="13" t="s">
        <v>139</v>
      </c>
    </row>
    <row r="17" spans="1:13" x14ac:dyDescent="0.25">
      <c r="A17">
        <v>307998545269.39795</v>
      </c>
      <c r="B17">
        <v>83844198352.517593</v>
      </c>
      <c r="C17" s="6">
        <v>3233040.84</v>
      </c>
      <c r="E17" t="s">
        <v>127</v>
      </c>
      <c r="F17" s="15">
        <v>-113161816008.73782</v>
      </c>
      <c r="G17">
        <v>44971266471.871254</v>
      </c>
      <c r="H17">
        <v>-2.5163137462343554</v>
      </c>
      <c r="I17" s="15">
        <v>1.965345641486229E-2</v>
      </c>
      <c r="J17">
        <v>-206426514374.28693</v>
      </c>
      <c r="K17">
        <v>-19897117643.188736</v>
      </c>
      <c r="L17">
        <v>-206426514374.28693</v>
      </c>
      <c r="M17">
        <v>-19897117643.188736</v>
      </c>
    </row>
    <row r="18" spans="1:13" x14ac:dyDescent="0.25">
      <c r="A18">
        <v>319541032495.04486</v>
      </c>
      <c r="B18">
        <v>84290655174.294907</v>
      </c>
      <c r="C18" s="6">
        <v>3257966.9232000001</v>
      </c>
      <c r="E18" t="s">
        <v>80</v>
      </c>
      <c r="F18" s="15">
        <v>1.800813466879718</v>
      </c>
      <c r="G18">
        <v>0.91384660647729232</v>
      </c>
      <c r="H18">
        <v>1.9705861510188423</v>
      </c>
      <c r="I18" s="15">
        <v>6.1483377423879396E-2</v>
      </c>
      <c r="J18">
        <v>-9.4388398489027248E-2</v>
      </c>
      <c r="K18">
        <v>3.6960153322484635</v>
      </c>
      <c r="L18">
        <v>-9.4388398489027248E-2</v>
      </c>
      <c r="M18">
        <v>3.6960153322484635</v>
      </c>
    </row>
    <row r="19" spans="1:13" ht="15.75" thickBot="1" x14ac:dyDescent="0.3">
      <c r="A19">
        <v>333846562289.74597</v>
      </c>
      <c r="B19">
        <v>88598330696.634109</v>
      </c>
      <c r="C19" s="6">
        <v>3246189.7059999998</v>
      </c>
      <c r="E19" s="12" t="s">
        <v>108</v>
      </c>
      <c r="F19" s="16">
        <v>90960.124457354628</v>
      </c>
      <c r="G19" s="12">
        <v>36849.464837520442</v>
      </c>
      <c r="H19" s="12">
        <v>2.4684245716572319</v>
      </c>
      <c r="I19" s="16">
        <v>2.1817592591986689E-2</v>
      </c>
      <c r="J19" s="12">
        <v>14539.011764144583</v>
      </c>
      <c r="K19" s="12">
        <v>167381.23715056467</v>
      </c>
      <c r="L19" s="12">
        <v>14539.011764144583</v>
      </c>
      <c r="M19" s="12">
        <v>167381.23715056467</v>
      </c>
    </row>
    <row r="20" spans="1:13" x14ac:dyDescent="0.25">
      <c r="A20">
        <v>345370865382.86688</v>
      </c>
      <c r="B20">
        <v>84207444583.856125</v>
      </c>
      <c r="C20" s="6">
        <v>3267785.3281200002</v>
      </c>
    </row>
    <row r="21" spans="1:13" x14ac:dyDescent="0.25">
      <c r="A21">
        <v>349888458531.08569</v>
      </c>
      <c r="B21">
        <v>86300365501.063766</v>
      </c>
      <c r="C21" s="6">
        <v>3347043.2490000003</v>
      </c>
    </row>
    <row r="22" spans="1:13" x14ac:dyDescent="0.25">
      <c r="A22">
        <v>336541232520.5025</v>
      </c>
      <c r="B22">
        <v>74186532831.451279</v>
      </c>
      <c r="C22" s="6">
        <v>3290514.0870000003</v>
      </c>
    </row>
    <row r="23" spans="1:13" x14ac:dyDescent="0.25">
      <c r="A23">
        <v>369376902514.86536</v>
      </c>
      <c r="B23">
        <v>91394322913.825394</v>
      </c>
      <c r="C23" s="6">
        <v>3228708.4160000002</v>
      </c>
    </row>
    <row r="24" spans="1:13" x14ac:dyDescent="0.25">
      <c r="A24">
        <v>384550906479.00623</v>
      </c>
      <c r="B24">
        <v>95674867710.435883</v>
      </c>
      <c r="C24" s="6">
        <v>3334790.2022700002</v>
      </c>
    </row>
    <row r="25" spans="1:13" x14ac:dyDescent="0.25">
      <c r="A25">
        <v>391555143381.88489</v>
      </c>
      <c r="B25">
        <v>94809012056.079865</v>
      </c>
      <c r="C25" s="6">
        <v>3497684.1319599999</v>
      </c>
    </row>
    <row r="26" spans="1:13" x14ac:dyDescent="0.25">
      <c r="A26">
        <v>408736675576.89142</v>
      </c>
      <c r="B26">
        <v>97592930009.273911</v>
      </c>
      <c r="C26" s="6">
        <v>3588444.4651200003</v>
      </c>
    </row>
    <row r="28" spans="1:13" x14ac:dyDescent="0.25">
      <c r="C28" s="1"/>
    </row>
  </sheetData>
  <sheetProtection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defaultRowHeight="15" x14ac:dyDescent="0.25"/>
  <cols>
    <col min="5" max="5" width="9" style="42"/>
    <col min="6" max="6" width="13.28515625" style="25" customWidth="1"/>
    <col min="7" max="7" width="11.5703125" style="25" bestFit="1" customWidth="1"/>
    <col min="10" max="10" width="12.28515625" bestFit="1" customWidth="1"/>
    <col min="11" max="11" width="13" bestFit="1" customWidth="1"/>
  </cols>
  <sheetData>
    <row r="1" spans="1:17" ht="120" x14ac:dyDescent="0.25">
      <c r="A1" s="2" t="s">
        <v>28</v>
      </c>
      <c r="B1" s="2" t="s">
        <v>74</v>
      </c>
      <c r="C1" s="2" t="s">
        <v>29</v>
      </c>
      <c r="D1" s="2" t="s">
        <v>40</v>
      </c>
      <c r="E1" s="41" t="s">
        <v>149</v>
      </c>
      <c r="F1" s="40" t="s">
        <v>154</v>
      </c>
      <c r="G1" s="40" t="s">
        <v>153</v>
      </c>
      <c r="I1" t="s">
        <v>116</v>
      </c>
    </row>
    <row r="2" spans="1:17" ht="15.75" thickBot="1" x14ac:dyDescent="0.3">
      <c r="A2" t="s">
        <v>75</v>
      </c>
      <c r="B2">
        <v>2000</v>
      </c>
      <c r="C2">
        <v>9.0383163255516337</v>
      </c>
      <c r="D2">
        <v>11.414764762166143</v>
      </c>
    </row>
    <row r="3" spans="1:17" x14ac:dyDescent="0.25">
      <c r="A3" t="s">
        <v>75</v>
      </c>
      <c r="B3">
        <v>2001</v>
      </c>
      <c r="C3">
        <v>-1.0708627510044835</v>
      </c>
      <c r="D3">
        <v>-5.2071925730891024</v>
      </c>
      <c r="E3" s="42">
        <v>3.1078337377305879E-2</v>
      </c>
      <c r="G3" s="25">
        <v>7.6344786991480989E-5</v>
      </c>
      <c r="I3" s="14" t="s">
        <v>117</v>
      </c>
      <c r="J3" s="14"/>
    </row>
    <row r="4" spans="1:17" x14ac:dyDescent="0.25">
      <c r="A4" t="s">
        <v>75</v>
      </c>
      <c r="B4">
        <v>2002</v>
      </c>
      <c r="C4">
        <v>3.923360767020128</v>
      </c>
      <c r="D4">
        <v>-9.1539886402542265</v>
      </c>
      <c r="E4" s="42">
        <v>-2.1927623777409942E-2</v>
      </c>
      <c r="G4" s="25">
        <v>3.1609031574915034E-5</v>
      </c>
      <c r="I4" t="s">
        <v>118</v>
      </c>
      <c r="J4">
        <v>0.82393292350564329</v>
      </c>
    </row>
    <row r="5" spans="1:17" x14ac:dyDescent="0.25">
      <c r="A5" t="s">
        <v>75</v>
      </c>
      <c r="B5">
        <v>2003</v>
      </c>
      <c r="C5">
        <v>4.5482554264322914</v>
      </c>
      <c r="D5">
        <v>-5.1563726039681654</v>
      </c>
      <c r="E5" s="42">
        <v>-1.4019524271750093E-2</v>
      </c>
      <c r="G5" s="25">
        <v>1.5972907046467799E-4</v>
      </c>
      <c r="I5" t="s">
        <v>119</v>
      </c>
      <c r="J5">
        <v>0.67886546243655621</v>
      </c>
    </row>
    <row r="6" spans="1:17" x14ac:dyDescent="0.25">
      <c r="A6" t="s">
        <v>75</v>
      </c>
      <c r="B6">
        <v>2004</v>
      </c>
      <c r="C6">
        <v>9.9399826843495731</v>
      </c>
      <c r="D6">
        <v>10.294087680187801</v>
      </c>
      <c r="E6" s="42">
        <v>1.6981685674058087E-2</v>
      </c>
      <c r="G6" s="25">
        <v>-3.8072277881575061E-5</v>
      </c>
      <c r="I6" t="s">
        <v>120</v>
      </c>
      <c r="J6">
        <v>0.55041164741117865</v>
      </c>
    </row>
    <row r="7" spans="1:17" x14ac:dyDescent="0.25">
      <c r="A7" t="s">
        <v>75</v>
      </c>
      <c r="B7">
        <v>2005</v>
      </c>
      <c r="C7">
        <v>7.366322392507584</v>
      </c>
      <c r="D7">
        <v>3.6398739965450631</v>
      </c>
      <c r="E7" s="42">
        <v>4.3720826643852136E-2</v>
      </c>
      <c r="G7" s="25">
        <v>-8.5835789589409515E-6</v>
      </c>
      <c r="I7" t="s">
        <v>121</v>
      </c>
      <c r="J7">
        <v>2.8961175812830007</v>
      </c>
    </row>
    <row r="8" spans="1:17" s="43" customFormat="1" ht="15.75" thickBot="1" x14ac:dyDescent="0.3">
      <c r="A8" s="43" t="s">
        <v>75</v>
      </c>
      <c r="B8" s="43">
        <v>2006</v>
      </c>
      <c r="C8" s="43">
        <v>9.0067660787175754</v>
      </c>
      <c r="D8" s="43">
        <v>9.4381734039746306</v>
      </c>
      <c r="E8" s="44">
        <v>6.6444694450976713E-2</v>
      </c>
      <c r="F8" s="43">
        <v>-1.5003089904785014</v>
      </c>
      <c r="G8" s="43">
        <v>3.1083931911108161E-3</v>
      </c>
      <c r="I8" s="12" t="s">
        <v>122</v>
      </c>
      <c r="J8" s="12">
        <v>15</v>
      </c>
      <c r="K8"/>
      <c r="L8"/>
      <c r="M8"/>
      <c r="N8"/>
      <c r="O8"/>
      <c r="P8"/>
      <c r="Q8"/>
    </row>
    <row r="9" spans="1:17" s="43" customFormat="1" x14ac:dyDescent="0.25">
      <c r="A9" s="43" t="s">
        <v>75</v>
      </c>
      <c r="B9" s="43">
        <v>2007</v>
      </c>
      <c r="C9" s="43">
        <v>9.0215195126889256</v>
      </c>
      <c r="D9" s="43">
        <v>15.504805342889711</v>
      </c>
      <c r="E9" s="44">
        <v>4.9130083840008838E-2</v>
      </c>
      <c r="F9" s="43">
        <v>1.0286102294922017</v>
      </c>
      <c r="G9" s="43">
        <v>3.1997266934576897E-3</v>
      </c>
      <c r="I9"/>
      <c r="J9"/>
      <c r="K9"/>
      <c r="L9"/>
      <c r="M9"/>
      <c r="N9"/>
      <c r="O9"/>
      <c r="P9"/>
      <c r="Q9"/>
    </row>
    <row r="10" spans="1:17" s="43" customFormat="1" ht="15.75" thickBot="1" x14ac:dyDescent="0.3">
      <c r="A10" s="43" t="s">
        <v>75</v>
      </c>
      <c r="B10" s="43">
        <v>2008</v>
      </c>
      <c r="C10" s="43">
        <v>1.8634834546203507</v>
      </c>
      <c r="D10" s="43">
        <v>10.755848390317652</v>
      </c>
      <c r="E10" s="44">
        <v>8.1254097124981689E-2</v>
      </c>
      <c r="F10" s="43">
        <v>2.6227378845214986</v>
      </c>
      <c r="G10" s="43">
        <v>1.853138513696757E-2</v>
      </c>
      <c r="I10" t="s">
        <v>123</v>
      </c>
      <c r="J10"/>
      <c r="K10"/>
      <c r="L10"/>
      <c r="M10"/>
      <c r="N10"/>
      <c r="O10"/>
      <c r="P10"/>
      <c r="Q10"/>
    </row>
    <row r="11" spans="1:17" s="43" customFormat="1" x14ac:dyDescent="0.25">
      <c r="A11" s="43" t="s">
        <v>75</v>
      </c>
      <c r="B11" s="43">
        <v>2009</v>
      </c>
      <c r="C11" s="43">
        <v>0.1279533827780881</v>
      </c>
      <c r="D11" s="43">
        <v>5.4869663539406588</v>
      </c>
      <c r="E11" s="44">
        <v>1.5944602852234029E-2</v>
      </c>
      <c r="F11" s="43">
        <v>0.32201004028320313</v>
      </c>
      <c r="G11" s="43">
        <v>-1.8600894741257219E-2</v>
      </c>
      <c r="I11" s="13"/>
      <c r="J11" s="13" t="s">
        <v>128</v>
      </c>
      <c r="K11" s="13" t="s">
        <v>129</v>
      </c>
      <c r="L11" s="13" t="s">
        <v>130</v>
      </c>
      <c r="M11" s="13" t="s">
        <v>131</v>
      </c>
      <c r="N11" s="13" t="s">
        <v>132</v>
      </c>
      <c r="O11"/>
      <c r="P11"/>
      <c r="Q11"/>
    </row>
    <row r="12" spans="1:17" s="43" customFormat="1" x14ac:dyDescent="0.25">
      <c r="A12" s="43" t="s">
        <v>75</v>
      </c>
      <c r="B12" s="43">
        <v>2010</v>
      </c>
      <c r="C12" s="43">
        <v>14.519749710899404</v>
      </c>
      <c r="D12" s="43">
        <v>6.7504864541236316</v>
      </c>
      <c r="E12" s="44">
        <v>5.4276356944440586E-2</v>
      </c>
      <c r="F12" s="43">
        <v>5.7464294433593963</v>
      </c>
      <c r="G12" s="43">
        <v>3.1726488987337619E-2</v>
      </c>
      <c r="I12" t="s">
        <v>124</v>
      </c>
      <c r="J12">
        <v>4</v>
      </c>
      <c r="K12">
        <v>177.30830520693888</v>
      </c>
      <c r="L12">
        <v>44.327076301734721</v>
      </c>
      <c r="M12">
        <v>5.284899185769131</v>
      </c>
      <c r="N12">
        <v>1.5008161051736435E-2</v>
      </c>
      <c r="O12"/>
      <c r="P12"/>
      <c r="Q12"/>
    </row>
    <row r="13" spans="1:17" s="43" customFormat="1" x14ac:dyDescent="0.25">
      <c r="A13" s="43" t="s">
        <v>75</v>
      </c>
      <c r="B13" s="43">
        <v>2011</v>
      </c>
      <c r="C13" s="43">
        <v>6.2149341685898918</v>
      </c>
      <c r="D13" s="43">
        <v>6.3654496770575264</v>
      </c>
      <c r="E13" s="44">
        <v>2.822334970567561E-2</v>
      </c>
      <c r="F13" s="43">
        <v>0.45959091186520595</v>
      </c>
      <c r="G13" s="43">
        <v>0.11578928480643602</v>
      </c>
      <c r="I13" t="s">
        <v>125</v>
      </c>
      <c r="J13">
        <v>10</v>
      </c>
      <c r="K13">
        <v>83.874970446164966</v>
      </c>
      <c r="L13">
        <v>8.3874970446164969</v>
      </c>
      <c r="M13"/>
      <c r="N13"/>
      <c r="O13"/>
      <c r="P13"/>
      <c r="Q13"/>
    </row>
    <row r="14" spans="1:17" s="43" customFormat="1" ht="15.75" thickBot="1" x14ac:dyDescent="0.3">
      <c r="A14" s="43" t="s">
        <v>75</v>
      </c>
      <c r="B14" s="43">
        <v>2012</v>
      </c>
      <c r="C14" s="43">
        <v>4.4354975937853709</v>
      </c>
      <c r="D14" s="43">
        <v>8.6296671918287444</v>
      </c>
      <c r="E14" s="44">
        <v>3.943479121375297E-2</v>
      </c>
      <c r="F14" s="43">
        <v>1.747440338134794</v>
      </c>
      <c r="G14" s="43">
        <v>-1.1007246851475E-2</v>
      </c>
      <c r="I14" s="12" t="s">
        <v>126</v>
      </c>
      <c r="J14" s="12">
        <v>14</v>
      </c>
      <c r="K14" s="12">
        <v>261.18327565310386</v>
      </c>
      <c r="L14" s="12"/>
      <c r="M14" s="12"/>
      <c r="N14" s="12"/>
      <c r="O14"/>
      <c r="P14"/>
      <c r="Q14"/>
    </row>
    <row r="15" spans="1:17" s="43" customFormat="1" ht="15.75" thickBot="1" x14ac:dyDescent="0.3">
      <c r="A15" s="43" t="s">
        <v>75</v>
      </c>
      <c r="B15" s="43">
        <v>2013</v>
      </c>
      <c r="C15" s="43">
        <v>4.8176309912067552</v>
      </c>
      <c r="D15" s="43">
        <v>6.1589019003012169</v>
      </c>
      <c r="E15" s="44">
        <v>1.5674084073140655E-2</v>
      </c>
      <c r="F15" s="43">
        <v>1.3192596435547017</v>
      </c>
      <c r="G15" s="43">
        <v>-2.3834748944580014E-2</v>
      </c>
      <c r="I15"/>
      <c r="J15"/>
      <c r="K15"/>
      <c r="L15"/>
      <c r="M15"/>
      <c r="N15"/>
      <c r="O15"/>
      <c r="P15"/>
      <c r="Q15"/>
    </row>
    <row r="16" spans="1:17" s="43" customFormat="1" x14ac:dyDescent="0.25">
      <c r="A16" s="43" t="s">
        <v>75</v>
      </c>
      <c r="B16" s="43">
        <v>2014</v>
      </c>
      <c r="C16" s="43">
        <v>3.9355402770900696</v>
      </c>
      <c r="D16" s="43">
        <v>4.2202416729045353</v>
      </c>
      <c r="E16" s="44">
        <v>2.8839824563956423E-2</v>
      </c>
      <c r="F16" s="43">
        <v>1.1507110595702983</v>
      </c>
      <c r="G16" s="43">
        <v>-1.4579980356545993E-2</v>
      </c>
      <c r="I16" s="13"/>
      <c r="J16" s="45" t="s">
        <v>133</v>
      </c>
      <c r="K16" s="45" t="s">
        <v>121</v>
      </c>
      <c r="L16" s="13" t="s">
        <v>134</v>
      </c>
      <c r="M16" s="13" t="s">
        <v>135</v>
      </c>
      <c r="N16" s="13" t="s">
        <v>136</v>
      </c>
      <c r="O16" s="13" t="s">
        <v>137</v>
      </c>
      <c r="P16" s="13" t="s">
        <v>138</v>
      </c>
      <c r="Q16" s="13" t="s">
        <v>139</v>
      </c>
    </row>
    <row r="17" spans="1:17" s="43" customFormat="1" x14ac:dyDescent="0.25">
      <c r="A17" s="43" t="s">
        <v>75</v>
      </c>
      <c r="B17" s="43">
        <v>2015</v>
      </c>
      <c r="C17" s="43">
        <v>2.9767993163480639</v>
      </c>
      <c r="D17" s="43">
        <v>1.9600159921878912</v>
      </c>
      <c r="E17" s="44">
        <v>2.8067545081224287E-2</v>
      </c>
      <c r="F17" s="43">
        <v>0.8884201049804048</v>
      </c>
      <c r="G17" s="43">
        <v>-7.048831203233541E-2</v>
      </c>
      <c r="I17" t="s">
        <v>127</v>
      </c>
      <c r="J17">
        <v>0.74453604665789208</v>
      </c>
      <c r="K17">
        <v>1.2900141659011393</v>
      </c>
      <c r="L17">
        <v>0.57715338818608752</v>
      </c>
      <c r="M17">
        <v>0.57659766247818589</v>
      </c>
      <c r="N17">
        <v>-2.1297946359991036</v>
      </c>
      <c r="O17">
        <v>3.6188667293148882</v>
      </c>
      <c r="P17">
        <v>-2.1297946359991036</v>
      </c>
      <c r="Q17">
        <v>3.6188667293148882</v>
      </c>
    </row>
    <row r="18" spans="1:17" s="43" customFormat="1" x14ac:dyDescent="0.25">
      <c r="A18" s="43" t="s">
        <v>75</v>
      </c>
      <c r="B18" s="43">
        <v>2016</v>
      </c>
      <c r="C18" s="43">
        <v>3.7475784879279246</v>
      </c>
      <c r="D18" s="43">
        <v>0.53248385761912687</v>
      </c>
      <c r="E18" s="44">
        <v>7.7097953393005167E-3</v>
      </c>
      <c r="F18" s="43">
        <v>0.74551773071289773</v>
      </c>
      <c r="G18" s="43">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43" customFormat="1" x14ac:dyDescent="0.25">
      <c r="A19" s="43" t="s">
        <v>75</v>
      </c>
      <c r="B19" s="43">
        <v>2017</v>
      </c>
      <c r="C19" s="43">
        <v>4.4768991584587638</v>
      </c>
      <c r="D19" s="43">
        <v>5.1105018859230142</v>
      </c>
      <c r="E19" s="44">
        <v>-3.6148977192293381E-3</v>
      </c>
      <c r="F19" s="43">
        <v>1.4455909729003977</v>
      </c>
      <c r="G19" s="43">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43" customFormat="1" x14ac:dyDescent="0.25">
      <c r="A20" s="43" t="s">
        <v>75</v>
      </c>
      <c r="B20" s="43">
        <v>2018</v>
      </c>
      <c r="C20" s="43">
        <v>3.4519759658686979</v>
      </c>
      <c r="D20" s="43">
        <v>-4.9559467749032819</v>
      </c>
      <c r="E20" s="44">
        <v>6.652606309509511E-3</v>
      </c>
      <c r="F20" s="43">
        <v>1.5284996032715057</v>
      </c>
      <c r="G20" s="43">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43" customFormat="1" ht="15.75" thickBot="1" x14ac:dyDescent="0.3">
      <c r="A21" s="43" t="s">
        <v>75</v>
      </c>
      <c r="B21" s="43">
        <v>2019</v>
      </c>
      <c r="C21" s="43">
        <v>1.3080411815312658</v>
      </c>
      <c r="D21" s="43">
        <v>2.4854345450697792</v>
      </c>
      <c r="E21" s="44">
        <v>2.4254323011358346E-2</v>
      </c>
      <c r="F21" s="43">
        <v>1.4892921447753977</v>
      </c>
      <c r="G21" s="43">
        <v>-1.9500992509015986E-5</v>
      </c>
      <c r="I21" s="12">
        <v>3.1083931911108161E-3</v>
      </c>
      <c r="J21" s="12">
        <v>18.104708455422788</v>
      </c>
      <c r="K21" s="12">
        <v>20.188849261855861</v>
      </c>
      <c r="L21" s="12">
        <v>0.89676772660981829</v>
      </c>
      <c r="M21" s="12">
        <v>0.39092064395145643</v>
      </c>
      <c r="N21" s="12">
        <v>-26.878850961812674</v>
      </c>
      <c r="O21" s="12">
        <v>63.08826787265825</v>
      </c>
      <c r="P21" s="12">
        <v>-26.878850961812674</v>
      </c>
      <c r="Q21" s="12">
        <v>63.08826787265825</v>
      </c>
    </row>
    <row r="22" spans="1:17" s="43" customFormat="1" x14ac:dyDescent="0.25">
      <c r="A22" s="43" t="s">
        <v>75</v>
      </c>
      <c r="B22" s="43">
        <v>2020</v>
      </c>
      <c r="C22" s="43">
        <v>-3.8147088551071278</v>
      </c>
      <c r="D22" s="43">
        <v>-14.036826610500484</v>
      </c>
      <c r="E22" s="44">
        <v>-1.6889283404655522E-2</v>
      </c>
      <c r="F22" s="43">
        <v>1.0362510681151988</v>
      </c>
      <c r="G22" s="43">
        <v>7.2806108127268987E-5</v>
      </c>
      <c r="I22"/>
      <c r="J22"/>
      <c r="K22"/>
      <c r="L22"/>
      <c r="M22"/>
      <c r="N22"/>
      <c r="O22"/>
      <c r="P22"/>
      <c r="Q22"/>
    </row>
    <row r="23" spans="1:17" s="43" customFormat="1" x14ac:dyDescent="0.25">
      <c r="A23" s="43" t="s">
        <v>75</v>
      </c>
      <c r="B23" s="43">
        <v>2021</v>
      </c>
      <c r="C23" s="43">
        <v>9.7568044629903028</v>
      </c>
      <c r="D23" s="43">
        <v>23.19530166138037</v>
      </c>
      <c r="E23" s="44">
        <v>-1.878298325607505E-2</v>
      </c>
      <c r="F23" s="43">
        <v>3.5513191223145029</v>
      </c>
      <c r="G23" s="43">
        <v>-6.1083159356694992E-5</v>
      </c>
      <c r="I23"/>
      <c r="J23"/>
      <c r="K23"/>
      <c r="L23"/>
      <c r="M23"/>
      <c r="N23"/>
      <c r="O23"/>
      <c r="P23"/>
      <c r="Q23"/>
    </row>
    <row r="24" spans="1:17" x14ac:dyDescent="0.25">
      <c r="A24" t="s">
        <v>75</v>
      </c>
      <c r="B24">
        <v>2022</v>
      </c>
      <c r="C24">
        <v>4.1080002189715117</v>
      </c>
      <c r="D24">
        <v>4.6836003157948483</v>
      </c>
      <c r="E24" s="42">
        <v>3.285579637489322E-2</v>
      </c>
      <c r="F24" s="25">
        <v>1.2494697570800994</v>
      </c>
    </row>
    <row r="25" spans="1:17" x14ac:dyDescent="0.25">
      <c r="A25" t="s">
        <v>75</v>
      </c>
      <c r="B25">
        <v>2023</v>
      </c>
      <c r="C25">
        <v>1.8214069411538532</v>
      </c>
      <c r="D25">
        <v>-0.90499801575536765</v>
      </c>
      <c r="E25" s="42">
        <v>4.8846829878268612E-2</v>
      </c>
    </row>
    <row r="26" spans="1:17" x14ac:dyDescent="0.25">
      <c r="A26" t="s">
        <v>75</v>
      </c>
      <c r="B26">
        <v>2024</v>
      </c>
      <c r="C26">
        <v>4.3880236246186541</v>
      </c>
      <c r="D26">
        <v>2.9363431733128351</v>
      </c>
      <c r="E26" s="42">
        <v>2.5948693402780471E-2</v>
      </c>
    </row>
    <row r="28" spans="1:17" x14ac:dyDescent="0.25">
      <c r="A28" t="s">
        <v>113</v>
      </c>
      <c r="C28">
        <v>4.7963708207198028</v>
      </c>
      <c r="D28">
        <v>4.0059049215621823</v>
      </c>
    </row>
    <row r="31" spans="1:17" x14ac:dyDescent="0.25">
      <c r="A31" t="s">
        <v>157</v>
      </c>
    </row>
    <row r="32" spans="1:17" x14ac:dyDescent="0.25">
      <c r="A32" t="s">
        <v>158</v>
      </c>
    </row>
    <row r="33" spans="1:1" x14ac:dyDescent="0.25">
      <c r="A33" t="s">
        <v>159</v>
      </c>
    </row>
  </sheetData>
  <sheetProtection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defaultRowHeight="15" x14ac:dyDescent="0.25"/>
  <cols>
    <col min="1" max="1" width="12.140625" style="9" customWidth="1"/>
    <col min="2" max="2" width="9" style="42"/>
    <col min="3" max="3" width="13.28515625" style="25" customWidth="1"/>
    <col min="6" max="6" width="36" customWidth="1"/>
  </cols>
  <sheetData>
    <row r="1" spans="1:14" ht="105" x14ac:dyDescent="0.25">
      <c r="A1" s="8" t="s">
        <v>114</v>
      </c>
      <c r="B1" s="41" t="s">
        <v>160</v>
      </c>
      <c r="C1" s="40" t="s">
        <v>154</v>
      </c>
      <c r="D1" s="2" t="s">
        <v>71</v>
      </c>
      <c r="F1" t="s">
        <v>116</v>
      </c>
    </row>
    <row r="2" spans="1:14" ht="15.75" thickBot="1" x14ac:dyDescent="0.3">
      <c r="A2" s="9">
        <v>2.2151140569329326E-2</v>
      </c>
      <c r="B2" s="42">
        <v>2.6196426063287068E-2</v>
      </c>
      <c r="C2" s="25">
        <v>-1.5003089904785014</v>
      </c>
      <c r="D2">
        <v>11.921913382779238</v>
      </c>
    </row>
    <row r="3" spans="1:14" x14ac:dyDescent="0.25">
      <c r="A3" s="9">
        <v>3.9161122076016859E-2</v>
      </c>
      <c r="B3" s="42">
        <v>0.10095789952110516</v>
      </c>
      <c r="C3" s="25">
        <v>1.0286102294922017</v>
      </c>
      <c r="D3">
        <v>5.9408665704516324</v>
      </c>
      <c r="F3" s="14" t="s">
        <v>117</v>
      </c>
      <c r="G3" s="14"/>
    </row>
    <row r="4" spans="1:14" x14ac:dyDescent="0.25">
      <c r="A4" s="9">
        <v>-5.7913549410153149E-2</v>
      </c>
      <c r="B4" s="42">
        <v>2.4327664374301224E-2</v>
      </c>
      <c r="C4" s="25">
        <v>2.6227378845214986</v>
      </c>
      <c r="D4">
        <v>-4.1884694683058541</v>
      </c>
      <c r="F4" t="s">
        <v>118</v>
      </c>
      <c r="G4">
        <v>0.90255618496708157</v>
      </c>
    </row>
    <row r="5" spans="1:14" x14ac:dyDescent="0.25">
      <c r="A5" s="9">
        <v>-1.4434910115454443E-2</v>
      </c>
      <c r="B5" s="42">
        <v>3.8314156675365557E-2</v>
      </c>
      <c r="C5" s="25">
        <v>0.32201004028320313</v>
      </c>
      <c r="D5">
        <v>-4.1502986226508227</v>
      </c>
      <c r="F5" t="s">
        <v>119</v>
      </c>
      <c r="G5" s="46">
        <v>0.81460766702233278</v>
      </c>
    </row>
    <row r="6" spans="1:14" x14ac:dyDescent="0.25">
      <c r="A6" s="9">
        <v>8.6240329270084265E-2</v>
      </c>
      <c r="B6" s="42">
        <v>1.2547476294674259E-2</v>
      </c>
      <c r="C6" s="25">
        <v>5.7464294433593963</v>
      </c>
      <c r="D6">
        <v>29.675335626760187</v>
      </c>
      <c r="F6" t="s">
        <v>120</v>
      </c>
      <c r="G6">
        <v>0.77182482095056337</v>
      </c>
    </row>
    <row r="7" spans="1:14" x14ac:dyDescent="0.25">
      <c r="A7" s="9">
        <v>3.299476907418445E-2</v>
      </c>
      <c r="B7" s="42">
        <v>3.4458609673707216E-2</v>
      </c>
      <c r="C7" s="25">
        <v>0.45959091186520595</v>
      </c>
      <c r="D7">
        <v>7.8077670717552081</v>
      </c>
      <c r="F7" t="s">
        <v>121</v>
      </c>
      <c r="G7">
        <v>1.9437792621639249E-2</v>
      </c>
    </row>
    <row r="8" spans="1:14" ht="15.75" thickBot="1" x14ac:dyDescent="0.3">
      <c r="A8" s="9">
        <v>4.7335193758095443E-3</v>
      </c>
      <c r="B8" s="42">
        <v>4.5084002479668366E-2</v>
      </c>
      <c r="C8" s="25">
        <v>1.747440338134794</v>
      </c>
      <c r="D8">
        <v>0.31910712270446595</v>
      </c>
      <c r="F8" s="12" t="s">
        <v>122</v>
      </c>
      <c r="G8" s="47">
        <v>17</v>
      </c>
    </row>
    <row r="9" spans="1:14" x14ac:dyDescent="0.25">
      <c r="A9" s="9">
        <v>3.2000645038203282E-2</v>
      </c>
      <c r="B9" s="42">
        <v>4.5206366540080929E-2</v>
      </c>
      <c r="C9" s="25">
        <v>1.3192596435547017</v>
      </c>
      <c r="D9">
        <v>1.6712764155420388</v>
      </c>
    </row>
    <row r="10" spans="1:14" ht="15.75" thickBot="1" x14ac:dyDescent="0.3">
      <c r="A10" s="9">
        <v>1.0220811788075115E-2</v>
      </c>
      <c r="B10" s="42">
        <v>1.298801994834551E-2</v>
      </c>
      <c r="C10" s="25">
        <v>1.1507110595702983</v>
      </c>
      <c r="D10">
        <v>2.6831203913080088</v>
      </c>
      <c r="F10" t="s">
        <v>123</v>
      </c>
    </row>
    <row r="11" spans="1:14" x14ac:dyDescent="0.25">
      <c r="A11" s="9">
        <v>1.6540236975596098E-3</v>
      </c>
      <c r="B11" s="42">
        <v>-8.2362148283519395E-3</v>
      </c>
      <c r="C11" s="25">
        <v>0.8884201049804048</v>
      </c>
      <c r="D11">
        <v>-5.1278017991461269</v>
      </c>
      <c r="F11" s="13"/>
      <c r="G11" s="13" t="s">
        <v>128</v>
      </c>
      <c r="H11" s="13" t="s">
        <v>129</v>
      </c>
      <c r="I11" s="13" t="s">
        <v>130</v>
      </c>
      <c r="J11" s="13" t="s">
        <v>131</v>
      </c>
      <c r="K11" s="13" t="s">
        <v>132</v>
      </c>
    </row>
    <row r="12" spans="1:14" x14ac:dyDescent="0.25">
      <c r="A12" s="9">
        <v>2.9538255634357968E-2</v>
      </c>
      <c r="B12" s="42">
        <v>-2.3667099140445851E-3</v>
      </c>
      <c r="C12" s="25">
        <v>0.74551773071289773</v>
      </c>
      <c r="D12">
        <v>3.7010008068074569</v>
      </c>
      <c r="F12" t="s">
        <v>124</v>
      </c>
      <c r="G12">
        <v>3</v>
      </c>
      <c r="H12">
        <v>2.1582113133598507E-2</v>
      </c>
      <c r="I12">
        <v>7.1940377111995024E-3</v>
      </c>
      <c r="J12">
        <v>19.040520718416136</v>
      </c>
      <c r="K12">
        <v>4.8672019036150807E-5</v>
      </c>
    </row>
    <row r="13" spans="1:14" x14ac:dyDescent="0.25">
      <c r="A13" s="9">
        <v>4.8559426664513565E-2</v>
      </c>
      <c r="B13" s="42">
        <v>5.4918441126029546E-2</v>
      </c>
      <c r="C13" s="25">
        <v>1.4455909729003977</v>
      </c>
      <c r="D13">
        <v>10.406115334791167</v>
      </c>
      <c r="F13" t="s">
        <v>125</v>
      </c>
      <c r="G13">
        <v>13</v>
      </c>
      <c r="H13">
        <v>4.9117611660240926E-3</v>
      </c>
      <c r="I13">
        <v>3.7782778200185326E-4</v>
      </c>
    </row>
    <row r="14" spans="1:14" ht="15.75" thickBot="1" x14ac:dyDescent="0.3">
      <c r="A14" s="9">
        <v>2.7682989319762721E-2</v>
      </c>
      <c r="B14" s="42">
        <v>-5.5840588606452392E-2</v>
      </c>
      <c r="C14" s="25">
        <v>1.5284996032715057</v>
      </c>
      <c r="D14">
        <v>7.0287004412821261</v>
      </c>
      <c r="F14" s="12" t="s">
        <v>126</v>
      </c>
      <c r="G14" s="12">
        <v>16</v>
      </c>
      <c r="H14" s="12">
        <v>2.6493874299622598E-2</v>
      </c>
      <c r="I14" s="12"/>
      <c r="J14" s="12"/>
      <c r="K14" s="12"/>
    </row>
    <row r="15" spans="1:14" ht="15.75" thickBot="1" x14ac:dyDescent="0.3">
      <c r="A15" s="9">
        <v>-1.0909313190100821E-2</v>
      </c>
      <c r="B15" s="42">
        <v>5.8581391931573521E-4</v>
      </c>
      <c r="C15" s="25">
        <v>1.4892921447753977</v>
      </c>
      <c r="D15">
        <v>-1.4550979032228923</v>
      </c>
    </row>
    <row r="16" spans="1:14" x14ac:dyDescent="0.25">
      <c r="A16" s="9">
        <v>-2.1623002157920537E-2</v>
      </c>
      <c r="B16" s="42">
        <v>-0.12560028144945354</v>
      </c>
      <c r="C16" s="25">
        <v>1.0362510681151988</v>
      </c>
      <c r="D16">
        <v>7.5307063016974496</v>
      </c>
      <c r="F16" s="13"/>
      <c r="G16" s="13" t="s">
        <v>133</v>
      </c>
      <c r="H16" s="13" t="s">
        <v>121</v>
      </c>
      <c r="I16" s="13" t="s">
        <v>134</v>
      </c>
      <c r="J16" s="13" t="s">
        <v>135</v>
      </c>
      <c r="K16" s="13" t="s">
        <v>136</v>
      </c>
      <c r="L16" s="13" t="s">
        <v>137</v>
      </c>
      <c r="M16" s="13" t="s">
        <v>138</v>
      </c>
      <c r="N16" s="13" t="s">
        <v>139</v>
      </c>
    </row>
    <row r="17" spans="1:14" x14ac:dyDescent="0.25">
      <c r="A17" s="9">
        <v>0.11857828176694038</v>
      </c>
      <c r="B17" s="42">
        <v>0.25553572307777783</v>
      </c>
      <c r="C17" s="25">
        <v>3.5513191223145029</v>
      </c>
      <c r="D17">
        <v>13.303540009852924</v>
      </c>
      <c r="F17" t="s">
        <v>127</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5">
      <c r="A18" s="9">
        <v>7.9625886243627955E-3</v>
      </c>
      <c r="B18" s="42">
        <v>1.3535487559950652E-2</v>
      </c>
      <c r="C18" s="25">
        <v>1.2494697570800994</v>
      </c>
      <c r="D18">
        <v>2.6997624563978491</v>
      </c>
      <c r="F18" t="s">
        <v>160</v>
      </c>
      <c r="G18">
        <v>0.28086591243648851</v>
      </c>
      <c r="H18">
        <v>6.6019121440717352E-2</v>
      </c>
      <c r="I18">
        <v>4.2543115737869268</v>
      </c>
      <c r="J18">
        <v>9.3964046218829658E-4</v>
      </c>
      <c r="K18">
        <v>0.138240271748752</v>
      </c>
      <c r="L18">
        <v>0.42349155312422504</v>
      </c>
      <c r="M18">
        <v>0.138240271748752</v>
      </c>
      <c r="N18">
        <v>0.42349155312422504</v>
      </c>
    </row>
    <row r="19" spans="1:14" x14ac:dyDescent="0.25">
      <c r="F19" t="s">
        <v>154</v>
      </c>
      <c r="G19">
        <v>-1.3738151214681749E-3</v>
      </c>
      <c r="H19">
        <v>3.8326829660824892E-3</v>
      </c>
      <c r="I19">
        <v>-0.35844736797324939</v>
      </c>
      <c r="J19">
        <v>0.72576228588149083</v>
      </c>
      <c r="K19">
        <v>-9.6538232715516325E-3</v>
      </c>
      <c r="L19">
        <v>6.9061930286152835E-3</v>
      </c>
      <c r="M19">
        <v>-9.6538232715516325E-3</v>
      </c>
      <c r="N19">
        <v>6.9061930286152835E-3</v>
      </c>
    </row>
    <row r="20" spans="1:14" ht="15.75" thickBot="1" x14ac:dyDescent="0.3">
      <c r="F20" s="12" t="s">
        <v>71</v>
      </c>
      <c r="G20" s="12">
        <v>3.322412053943481E-3</v>
      </c>
      <c r="H20" s="12">
        <v>6.7523402500177694E-4</v>
      </c>
      <c r="I20" s="12">
        <v>4.9203860156998722</v>
      </c>
      <c r="J20" s="12">
        <v>2.7976643221786326E-4</v>
      </c>
      <c r="K20" s="12">
        <v>1.8636576305524285E-3</v>
      </c>
      <c r="L20" s="12">
        <v>4.7811664773345338E-3</v>
      </c>
      <c r="M20" s="12">
        <v>1.8636576305524285E-3</v>
      </c>
      <c r="N20" s="12">
        <v>4.7811664773345338E-3</v>
      </c>
    </row>
  </sheetData>
  <sheetProtection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workbookViewId="0">
      <selection activeCell="L25" sqref="L25"/>
    </sheetView>
  </sheetViews>
  <sheetFormatPr defaultRowHeight="15" x14ac:dyDescent="0.25"/>
  <sheetData/>
  <sheetProtection sheet="1" objects="1" scenarios="1" selectLockedCells="1" selectUnlockedCells="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defaultRowHeight="15" x14ac:dyDescent="0.25"/>
  <cols>
    <col min="1" max="1" width="15.85546875" customWidth="1"/>
    <col min="2" max="16" width="50.85546875" customWidth="1"/>
  </cols>
  <sheetData>
    <row r="1" spans="1:16" x14ac:dyDescent="0.25">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5">
      <c r="A2" t="s">
        <v>1</v>
      </c>
      <c r="B2" t="s">
        <v>52</v>
      </c>
      <c r="C2" t="s">
        <v>43</v>
      </c>
      <c r="D2" t="s">
        <v>31</v>
      </c>
      <c r="E2" t="s">
        <v>6</v>
      </c>
      <c r="F2" t="s">
        <v>15</v>
      </c>
      <c r="G2" t="s">
        <v>44</v>
      </c>
      <c r="H2" t="s">
        <v>82</v>
      </c>
      <c r="I2" t="s">
        <v>25</v>
      </c>
      <c r="J2" t="s">
        <v>66</v>
      </c>
      <c r="K2" t="s">
        <v>78</v>
      </c>
      <c r="L2" t="s">
        <v>70</v>
      </c>
      <c r="M2" t="s">
        <v>88</v>
      </c>
      <c r="N2" t="s">
        <v>21</v>
      </c>
      <c r="P2" t="s">
        <v>5</v>
      </c>
    </row>
    <row r="3" spans="1:16" x14ac:dyDescent="0.25">
      <c r="A3" t="s">
        <v>22</v>
      </c>
      <c r="B3" t="s">
        <v>52</v>
      </c>
      <c r="C3" t="s">
        <v>8</v>
      </c>
      <c r="D3" t="s">
        <v>96</v>
      </c>
      <c r="E3" t="s">
        <v>6</v>
      </c>
      <c r="F3" t="s">
        <v>69</v>
      </c>
      <c r="G3" t="s">
        <v>44</v>
      </c>
      <c r="H3" t="s">
        <v>86</v>
      </c>
      <c r="I3" t="s">
        <v>25</v>
      </c>
      <c r="J3" t="s">
        <v>53</v>
      </c>
      <c r="K3" t="s">
        <v>23</v>
      </c>
      <c r="L3" t="s">
        <v>70</v>
      </c>
      <c r="M3" t="s">
        <v>88</v>
      </c>
      <c r="N3" t="s">
        <v>21</v>
      </c>
      <c r="P3" t="s">
        <v>5</v>
      </c>
    </row>
    <row r="4" spans="1:16" x14ac:dyDescent="0.25">
      <c r="A4" t="s">
        <v>92</v>
      </c>
      <c r="B4" t="s">
        <v>52</v>
      </c>
      <c r="C4" t="s">
        <v>80</v>
      </c>
      <c r="D4" t="s">
        <v>72</v>
      </c>
      <c r="E4" t="s">
        <v>6</v>
      </c>
      <c r="F4" t="s">
        <v>79</v>
      </c>
      <c r="G4" t="s">
        <v>44</v>
      </c>
      <c r="H4" t="s">
        <v>82</v>
      </c>
      <c r="I4" t="s">
        <v>25</v>
      </c>
      <c r="J4" t="s">
        <v>66</v>
      </c>
      <c r="K4" t="s">
        <v>78</v>
      </c>
      <c r="L4" t="s">
        <v>70</v>
      </c>
      <c r="M4" t="s">
        <v>89</v>
      </c>
      <c r="P4" t="s">
        <v>5</v>
      </c>
    </row>
    <row r="5" spans="1:16" x14ac:dyDescent="0.25">
      <c r="A5" t="s">
        <v>59</v>
      </c>
      <c r="B5" t="s">
        <v>52</v>
      </c>
      <c r="C5" t="s">
        <v>40</v>
      </c>
      <c r="D5" t="s">
        <v>102</v>
      </c>
      <c r="E5" t="s">
        <v>6</v>
      </c>
      <c r="F5" t="s">
        <v>69</v>
      </c>
      <c r="G5" t="s">
        <v>44</v>
      </c>
      <c r="H5" t="s">
        <v>86</v>
      </c>
      <c r="I5" t="s">
        <v>25</v>
      </c>
      <c r="J5" t="s">
        <v>53</v>
      </c>
      <c r="K5" t="s">
        <v>23</v>
      </c>
      <c r="L5" t="s">
        <v>70</v>
      </c>
      <c r="M5" t="s">
        <v>89</v>
      </c>
      <c r="P5" t="s">
        <v>5</v>
      </c>
    </row>
    <row r="6" spans="1:16" x14ac:dyDescent="0.25">
      <c r="A6" t="s">
        <v>42</v>
      </c>
      <c r="B6" t="s">
        <v>52</v>
      </c>
      <c r="C6" t="s">
        <v>73</v>
      </c>
      <c r="D6" t="s">
        <v>45</v>
      </c>
      <c r="E6" t="s">
        <v>56</v>
      </c>
      <c r="F6" t="s">
        <v>94</v>
      </c>
      <c r="G6" t="s">
        <v>44</v>
      </c>
      <c r="H6" t="s">
        <v>14</v>
      </c>
      <c r="I6" t="s">
        <v>25</v>
      </c>
      <c r="J6" t="s">
        <v>57</v>
      </c>
      <c r="K6" t="s">
        <v>58</v>
      </c>
      <c r="L6" t="s">
        <v>105</v>
      </c>
      <c r="M6" t="s">
        <v>61</v>
      </c>
      <c r="P6" t="s">
        <v>5</v>
      </c>
    </row>
    <row r="7" spans="1:16" x14ac:dyDescent="0.25">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5">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5">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5">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5">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5">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5">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5">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Country Assigned</vt:lpstr>
      <vt:lpstr>sg</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2026-07-04T16:16:54Z</dcterms:modified>
</cp:coreProperties>
</file>