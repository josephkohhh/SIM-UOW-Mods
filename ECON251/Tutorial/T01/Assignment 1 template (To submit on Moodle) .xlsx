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sep\Desktop\SIM-UOW-Mods\ECON251\Tutorial\T01\"/>
    </mc:Choice>
  </mc:AlternateContent>
  <xr:revisionPtr revIDLastSave="0" documentId="13_ncr:1_{078FA24D-C896-4797-A938-BF6842968644}" xr6:coauthVersionLast="47" xr6:coauthVersionMax="47" xr10:uidLastSave="{00000000-0000-0000-0000-000000000000}"/>
  <bookViews>
    <workbookView xWindow="-120" yWindow="-120" windowWidth="29040" windowHeight="15720" firstSheet="2" activeTab="3" xr2:uid="{00000000-000D-0000-FFFF-FFFF00000000}"/>
  </bookViews>
  <sheets>
    <sheet name="Data" sheetId="1" r:id="rId1"/>
    <sheet name="RAW_DATA Japan" sheetId="24" r:id="rId2"/>
    <sheet name="Country Assigned (Japan)" sheetId="16" r:id="rId3"/>
    <sheet name="Japan_Charts" sheetId="25" r:id="rId4"/>
    <sheet name="sg" sheetId="10" r:id="rId5"/>
    <sheet name="reg1" sheetId="19" r:id="rId6"/>
    <sheet name="reg2" sheetId="21" r:id="rId7"/>
    <sheet name="reg3" sheetId="23" r:id="rId8"/>
    <sheet name="regression 1 _SG" sheetId="11" r:id="rId9"/>
    <sheet name="regression 2_SG" sheetId="12" r:id="rId10"/>
    <sheet name="regression 3_sg" sheetId="17" r:id="rId11"/>
    <sheet name="SG_Charts " sheetId="13" r:id="rId12"/>
    <sheet name="Series - Metadata" sheetId="2"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0" l="1"/>
  <c r="K4" i="10"/>
  <c r="Q5" i="16"/>
  <c r="Q6" i="16"/>
  <c r="Q7" i="16"/>
  <c r="Q8" i="16"/>
  <c r="Q9" i="16"/>
  <c r="Q10" i="16"/>
  <c r="Q11" i="16"/>
  <c r="Q12" i="16"/>
  <c r="Q13" i="16"/>
  <c r="Q14" i="16"/>
  <c r="Q15" i="16"/>
  <c r="Q16" i="16"/>
  <c r="Q17" i="16"/>
  <c r="Q18" i="16"/>
  <c r="Q19" i="16"/>
  <c r="Q20" i="16"/>
  <c r="Q21" i="16"/>
  <c r="Q22" i="16"/>
  <c r="Q23" i="16"/>
  <c r="Q24" i="16"/>
  <c r="Q25" i="16"/>
  <c r="Q26" i="16"/>
  <c r="Q27" i="16"/>
  <c r="Q4" i="16"/>
  <c r="O5" i="16"/>
  <c r="O6" i="16"/>
  <c r="O7" i="16"/>
  <c r="O8" i="16"/>
  <c r="O9" i="16"/>
  <c r="O10" i="16"/>
  <c r="O11" i="16"/>
  <c r="O12" i="16"/>
  <c r="O13" i="16"/>
  <c r="O14" i="16"/>
  <c r="O15" i="16"/>
  <c r="O16" i="16"/>
  <c r="O17" i="16"/>
  <c r="O18" i="16"/>
  <c r="O19" i="16"/>
  <c r="O20" i="16"/>
  <c r="O21" i="16"/>
  <c r="O22" i="16"/>
  <c r="O23" i="16"/>
  <c r="O24" i="16"/>
  <c r="O25" i="16"/>
  <c r="O26" i="16"/>
  <c r="O27" i="16"/>
  <c r="O4" i="16"/>
  <c r="M5" i="16"/>
  <c r="M6" i="16"/>
  <c r="M7" i="16"/>
  <c r="M8" i="16"/>
  <c r="M9" i="16"/>
  <c r="M10" i="16"/>
  <c r="M11" i="16"/>
  <c r="M12" i="16"/>
  <c r="M13" i="16"/>
  <c r="M14" i="16"/>
  <c r="M15" i="16"/>
  <c r="M16" i="16"/>
  <c r="M17" i="16"/>
  <c r="M18" i="16"/>
  <c r="M19" i="16"/>
  <c r="M20" i="16"/>
  <c r="M21" i="16"/>
  <c r="M22" i="16"/>
  <c r="M23" i="16"/>
  <c r="M24" i="16"/>
  <c r="M25" i="16"/>
  <c r="M26" i="16"/>
  <c r="M27" i="16"/>
  <c r="M4" i="16"/>
  <c r="O5" i="10"/>
  <c r="O6" i="10"/>
  <c r="O7" i="10"/>
  <c r="O8" i="10"/>
  <c r="O9" i="10"/>
  <c r="O10" i="10"/>
  <c r="O11" i="10"/>
  <c r="O12" i="10"/>
  <c r="O13" i="10"/>
  <c r="O14" i="10"/>
  <c r="O15" i="10"/>
  <c r="O16" i="10"/>
  <c r="O17" i="10"/>
  <c r="O18" i="10"/>
  <c r="O19" i="10"/>
  <c r="O20" i="10"/>
  <c r="O21" i="10"/>
  <c r="O22" i="10"/>
  <c r="O23" i="10"/>
  <c r="O24" i="10"/>
  <c r="O25" i="10"/>
  <c r="O26" i="10"/>
  <c r="O27" i="10"/>
  <c r="O4" i="10"/>
  <c r="M5" i="10"/>
  <c r="M6" i="10"/>
  <c r="M7" i="10"/>
  <c r="M8" i="10"/>
  <c r="M9" i="10"/>
  <c r="M10" i="10"/>
  <c r="M11" i="10"/>
  <c r="M12" i="10"/>
  <c r="M13" i="10"/>
  <c r="M14" i="10"/>
  <c r="M15" i="10"/>
  <c r="M16" i="10"/>
  <c r="M17" i="10"/>
  <c r="M18" i="10"/>
  <c r="M19" i="10"/>
  <c r="M20" i="10"/>
  <c r="M21" i="10"/>
  <c r="M22" i="10"/>
  <c r="M23" i="10"/>
  <c r="M24" i="10"/>
  <c r="M25" i="10"/>
  <c r="M26" i="10"/>
  <c r="M27" i="10"/>
  <c r="M4" i="10"/>
  <c r="AF5" i="16"/>
  <c r="AF6" i="16"/>
  <c r="AF7" i="16"/>
  <c r="AF8" i="16"/>
  <c r="AF9" i="16"/>
  <c r="AF10" i="16"/>
  <c r="AF11" i="16"/>
  <c r="AF12" i="16"/>
  <c r="AF13" i="16"/>
  <c r="AF14" i="16"/>
  <c r="AF15" i="16"/>
  <c r="AF16" i="16"/>
  <c r="AF17" i="16"/>
  <c r="AF18" i="16"/>
  <c r="AF19" i="16"/>
  <c r="AF20" i="16"/>
  <c r="AF21" i="16"/>
  <c r="AF22" i="16"/>
  <c r="AF23" i="16"/>
  <c r="AF24" i="16"/>
  <c r="AF4" i="16"/>
  <c r="AB4" i="10"/>
  <c r="Y4" i="10"/>
  <c r="AC28" i="16"/>
  <c r="N3" i="10"/>
  <c r="J3" i="10"/>
  <c r="K4" i="16"/>
  <c r="L4" i="16" s="1"/>
  <c r="K5" i="16"/>
  <c r="L5" i="16" s="1"/>
  <c r="K6" i="16"/>
  <c r="L6" i="16" s="1"/>
  <c r="K7" i="16"/>
  <c r="L7" i="16" s="1"/>
  <c r="K8" i="16"/>
  <c r="L8" i="16" s="1"/>
  <c r="K9" i="16"/>
  <c r="L9" i="16" s="1"/>
  <c r="K10" i="16"/>
  <c r="L10" i="16" s="1"/>
  <c r="K11" i="16"/>
  <c r="L11" i="16" s="1"/>
  <c r="K12" i="16"/>
  <c r="L12" i="16" s="1"/>
  <c r="K13" i="16"/>
  <c r="L13" i="16" s="1"/>
  <c r="K14" i="16"/>
  <c r="L14" i="16" s="1"/>
  <c r="K15" i="16"/>
  <c r="L15" i="16" s="1"/>
  <c r="K16" i="16"/>
  <c r="L16" i="16" s="1"/>
  <c r="K17" i="16"/>
  <c r="L17" i="16" s="1"/>
  <c r="K18" i="16"/>
  <c r="L18" i="16" s="1"/>
  <c r="K19" i="16"/>
  <c r="L19" i="16" s="1"/>
  <c r="K20" i="16"/>
  <c r="L20" i="16" s="1"/>
  <c r="K21" i="16"/>
  <c r="L21" i="16" s="1"/>
  <c r="K22" i="16"/>
  <c r="L22" i="16" s="1"/>
  <c r="K23" i="16"/>
  <c r="L23" i="16" s="1"/>
  <c r="K24" i="16"/>
  <c r="L24" i="16" s="1"/>
  <c r="K25" i="16"/>
  <c r="L25" i="16" s="1"/>
  <c r="K26" i="16"/>
  <c r="L26" i="16" s="1"/>
  <c r="K27" i="16"/>
  <c r="L27" i="16" s="1"/>
  <c r="K3" i="16"/>
  <c r="L3" i="16" s="1"/>
  <c r="E27" i="23"/>
  <c r="E26" i="23"/>
  <c r="E25" i="23"/>
  <c r="E24" i="23"/>
  <c r="E23" i="23"/>
  <c r="E22" i="23"/>
  <c r="E21" i="23"/>
  <c r="E20" i="23"/>
  <c r="E19" i="23"/>
  <c r="E18" i="23"/>
  <c r="E17" i="23"/>
  <c r="E16" i="23"/>
  <c r="E15" i="23"/>
  <c r="E14" i="23"/>
  <c r="E13" i="23"/>
  <c r="E12" i="23"/>
  <c r="E11" i="23"/>
  <c r="Y5" i="10"/>
  <c r="Y6" i="10"/>
  <c r="Y7" i="10"/>
  <c r="Y8" i="10"/>
  <c r="Y9" i="10"/>
  <c r="Y10" i="10"/>
  <c r="Y11" i="10"/>
  <c r="Y12" i="10"/>
  <c r="Y13" i="10"/>
  <c r="Y14" i="10"/>
  <c r="Y15" i="10"/>
  <c r="Y16" i="10"/>
  <c r="Y17" i="10"/>
  <c r="Y18" i="10"/>
  <c r="Y19" i="10"/>
  <c r="Y20" i="10"/>
  <c r="Y21" i="10"/>
  <c r="Y22" i="10"/>
  <c r="Y23" i="10"/>
  <c r="Y24" i="10"/>
  <c r="Y25" i="10"/>
  <c r="Y26" i="10"/>
  <c r="Y27" i="10"/>
  <c r="AB5" i="10"/>
  <c r="AB6" i="10"/>
  <c r="AB7" i="10"/>
  <c r="AB8" i="10"/>
  <c r="AB9" i="10"/>
  <c r="AB10" i="10"/>
  <c r="AB11" i="10"/>
  <c r="AB12" i="10"/>
  <c r="AB13" i="10"/>
  <c r="AB14" i="10"/>
  <c r="AB15" i="10"/>
  <c r="AB16" i="10"/>
  <c r="AB17" i="10"/>
  <c r="AB18" i="10"/>
  <c r="AB19" i="10"/>
  <c r="AB20" i="10"/>
  <c r="AB21" i="10"/>
  <c r="AB22" i="10"/>
  <c r="AB23" i="10"/>
  <c r="AB24" i="10"/>
  <c r="AB25" i="10"/>
  <c r="AB26" i="10"/>
  <c r="AB27" i="10"/>
  <c r="R9" i="10"/>
  <c r="R10" i="10"/>
  <c r="R11" i="10"/>
  <c r="R12" i="10"/>
  <c r="R13" i="10"/>
  <c r="R14" i="10"/>
  <c r="R15" i="10"/>
  <c r="R16" i="10"/>
  <c r="R17" i="10"/>
  <c r="R18" i="10"/>
  <c r="R19" i="10"/>
  <c r="R20" i="10"/>
  <c r="R21" i="10"/>
  <c r="R22" i="10"/>
  <c r="R23" i="10"/>
  <c r="R24" i="10"/>
  <c r="R25" i="10"/>
  <c r="N4" i="10"/>
  <c r="N5" i="10"/>
  <c r="N6" i="10"/>
  <c r="N7" i="10"/>
  <c r="N8" i="10"/>
  <c r="N9" i="10"/>
  <c r="N10" i="10"/>
  <c r="N11" i="10"/>
  <c r="N12" i="10"/>
  <c r="N13" i="10"/>
  <c r="N14" i="10"/>
  <c r="N15" i="10"/>
  <c r="N16" i="10"/>
  <c r="N17" i="10"/>
  <c r="N18" i="10"/>
  <c r="N19" i="10"/>
  <c r="N20" i="10"/>
  <c r="N21" i="10"/>
  <c r="N22" i="10"/>
  <c r="N23" i="10"/>
  <c r="N24" i="10"/>
  <c r="N25" i="10"/>
  <c r="N26" i="10"/>
  <c r="N27" i="10"/>
  <c r="L4" i="10"/>
  <c r="L5" i="10"/>
  <c r="L6" i="10"/>
  <c r="L7" i="10"/>
  <c r="L8" i="10"/>
  <c r="L9" i="10"/>
  <c r="L10" i="10"/>
  <c r="L11" i="10"/>
  <c r="L12" i="10"/>
  <c r="L13" i="10"/>
  <c r="L14" i="10"/>
  <c r="L15" i="10"/>
  <c r="L16" i="10"/>
  <c r="L17" i="10"/>
  <c r="L18" i="10"/>
  <c r="L19" i="10"/>
  <c r="L20" i="10"/>
  <c r="L21" i="10"/>
  <c r="L22" i="10"/>
  <c r="L23" i="10"/>
  <c r="L24" i="10"/>
  <c r="L25" i="10"/>
  <c r="L26" i="10"/>
  <c r="L27" i="10"/>
  <c r="K5" i="10"/>
  <c r="K6" i="10"/>
  <c r="K7" i="10"/>
  <c r="K8" i="10"/>
  <c r="K9" i="10"/>
  <c r="K10" i="10"/>
  <c r="K11" i="10"/>
  <c r="K12" i="10"/>
  <c r="K13" i="10"/>
  <c r="K14" i="10"/>
  <c r="K15" i="10"/>
  <c r="K16" i="10"/>
  <c r="K17" i="10"/>
  <c r="K18" i="10"/>
  <c r="K19" i="10"/>
  <c r="K20" i="10"/>
  <c r="K21" i="10"/>
  <c r="K22" i="10"/>
  <c r="K23" i="10"/>
  <c r="K24" i="10"/>
  <c r="K25" i="10"/>
  <c r="K26" i="10"/>
  <c r="K27" i="10"/>
  <c r="J4" i="10"/>
  <c r="J5" i="10"/>
  <c r="J6" i="10"/>
  <c r="J7" i="10"/>
  <c r="J8" i="10"/>
  <c r="J9" i="10"/>
  <c r="J10" i="10"/>
  <c r="J11" i="10"/>
  <c r="J12" i="10"/>
  <c r="J13" i="10"/>
  <c r="J14" i="10"/>
  <c r="J15" i="10"/>
  <c r="J16" i="10"/>
  <c r="J17" i="10"/>
  <c r="J18" i="10"/>
  <c r="J19" i="10"/>
  <c r="J20" i="10"/>
  <c r="J21" i="10"/>
  <c r="J22" i="10"/>
  <c r="J23" i="10"/>
  <c r="J24" i="10"/>
  <c r="J25" i="10"/>
  <c r="J26" i="10"/>
  <c r="J27" i="10"/>
  <c r="I4" i="10"/>
  <c r="I5" i="10"/>
  <c r="I6" i="10"/>
  <c r="I7" i="10"/>
  <c r="I8" i="10"/>
  <c r="I9" i="10"/>
  <c r="I10" i="10"/>
  <c r="I11" i="10"/>
  <c r="I12" i="10"/>
  <c r="I13" i="10"/>
  <c r="I14" i="10"/>
  <c r="I15" i="10"/>
  <c r="I16" i="10"/>
  <c r="I17" i="10"/>
  <c r="I18" i="10"/>
  <c r="I19" i="10"/>
  <c r="I20" i="10"/>
  <c r="I21" i="10"/>
  <c r="I22" i="10"/>
  <c r="I23" i="10"/>
  <c r="I24" i="10"/>
  <c r="I25" i="10"/>
  <c r="I26" i="10"/>
  <c r="I27" i="10"/>
  <c r="I3" i="10"/>
  <c r="AA28" i="16"/>
  <c r="Z28" i="16"/>
  <c r="Y28" i="16"/>
  <c r="X28" i="16"/>
  <c r="AB4" i="16" l="1"/>
  <c r="N4" i="16"/>
  <c r="P4" i="16"/>
  <c r="AB5" i="16"/>
  <c r="N5" i="16"/>
  <c r="P5" i="16"/>
  <c r="AB6" i="16"/>
  <c r="N6" i="16"/>
  <c r="P6" i="16"/>
  <c r="AB7" i="16"/>
  <c r="N7" i="16"/>
  <c r="P7" i="16"/>
  <c r="AB8" i="16"/>
  <c r="N8" i="16"/>
  <c r="P8" i="16"/>
  <c r="AB9" i="16"/>
  <c r="N9" i="16"/>
  <c r="P9" i="16"/>
  <c r="AB10" i="16"/>
  <c r="N10" i="16"/>
  <c r="P10" i="16"/>
  <c r="AB11" i="16"/>
  <c r="N11" i="16"/>
  <c r="P11" i="16"/>
  <c r="AB12" i="16"/>
  <c r="N12" i="16"/>
  <c r="P12" i="16"/>
  <c r="AB13" i="16"/>
  <c r="N13" i="16"/>
  <c r="P13" i="16"/>
  <c r="AB14" i="16"/>
  <c r="N14" i="16"/>
  <c r="P14" i="16"/>
  <c r="AB15" i="16"/>
  <c r="N15" i="16"/>
  <c r="P15" i="16"/>
  <c r="AB16" i="16"/>
  <c r="N16" i="16"/>
  <c r="P16" i="16"/>
  <c r="AB17" i="16"/>
  <c r="N17" i="16"/>
  <c r="P17" i="16"/>
  <c r="AB18" i="16"/>
  <c r="N18" i="16"/>
  <c r="P18" i="16"/>
  <c r="AB19" i="16"/>
  <c r="N19" i="16"/>
  <c r="P19" i="16"/>
  <c r="AB20" i="16"/>
  <c r="N20" i="16"/>
  <c r="P20" i="16"/>
  <c r="AB21" i="16"/>
  <c r="N21" i="16"/>
  <c r="P21" i="16"/>
  <c r="AB22" i="16"/>
  <c r="N22" i="16"/>
  <c r="P22" i="16"/>
  <c r="AB23" i="16"/>
  <c r="N23" i="16"/>
  <c r="P23" i="16"/>
  <c r="AB24" i="16"/>
  <c r="N24" i="16"/>
  <c r="P24" i="16"/>
  <c r="AB25" i="16"/>
  <c r="N25" i="16"/>
  <c r="P25" i="16"/>
  <c r="AB26" i="16"/>
  <c r="N26" i="16"/>
  <c r="P26" i="16"/>
  <c r="AB27" i="16"/>
  <c r="N27" i="16"/>
  <c r="P27" i="16"/>
  <c r="N3" i="16"/>
  <c r="P3" i="16"/>
</calcChain>
</file>

<file path=xl/sharedStrings.xml><?xml version="1.0" encoding="utf-8"?>
<sst xmlns="http://schemas.openxmlformats.org/spreadsheetml/2006/main" count="892" uniqueCount="230">
  <si>
    <t>Development relevance</t>
  </si>
  <si>
    <t>NY.GDP.MKTP.KD</t>
  </si>
  <si>
    <t>Aggregation method</t>
  </si>
  <si>
    <t>% of total employment</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</si>
  <si>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</si>
  <si>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</si>
  <si>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</si>
  <si>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</si>
  <si>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GDP (annual % growth)</t>
  </si>
  <si>
    <t>Social Protection &amp; Labor: Unemployment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</si>
  <si>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</si>
  <si>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</si>
  <si>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</si>
  <si>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</si>
  <si>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Persons</t>
  </si>
  <si>
    <t>Economic Policy &amp; Debt: National accounts: US$ at constant 2015 prices: Aggregate indicators</t>
  </si>
  <si>
    <t>Code</t>
  </si>
  <si>
    <t>SL.IND.EMPL.ZS</t>
  </si>
  <si>
    <t>SL.UEM.TOTL.ZS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</si>
  <si>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</si>
  <si>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SL.AGR.EMPL.ZS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</si>
  <si>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</si>
  <si>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NY.GDP.MKTP.KD.ZG</t>
  </si>
  <si>
    <t>Weighted average</t>
  </si>
  <si>
    <t>SL.SRV.EMPL.ZS</t>
  </si>
  <si>
    <t>Annual</t>
  </si>
  <si>
    <t>Dataset</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</si>
  <si>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</si>
  <si>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Country Name</t>
  </si>
  <si>
    <t>GDP growth (annual %)</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</si>
  <si>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</si>
  <si>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</si>
  <si>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Reference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</si>
  <si>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</si>
  <si>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ILO Modelled Estimates database (ILOEST), International Labour Organization (ILO), uri: https://ilostat.ilo.org/data/bulk/, publisher: ILOSTAT, type: external database, date accessed: January 17, 2026</t>
  </si>
  <si>
    <t>NV.IND.MANF.ZS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</si>
  <si>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</si>
  <si>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National estimates are also available in the WDI database. Caution should be used when comparing ILO estimates with national estimates.</t>
  </si>
  <si>
    <t>Agriculture, forestry, and fishing, value added (% of GDP)</t>
  </si>
  <si>
    <t>Manufacturing, value added (% of GDP)</t>
  </si>
  <si>
    <t>Gross fixed capital formation (annual % growth)</t>
  </si>
  <si>
    <t>Limitations and exceptions</t>
  </si>
  <si>
    <t>SL.TLF.TOTL.IN</t>
  </si>
  <si>
    <t>GDP (constant 2015 US$)</t>
  </si>
  <si>
    <t>WB_WDI</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</si>
  <si>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</si>
  <si>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</si>
  <si>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License Type</t>
  </si>
  <si>
    <t>Note: Data for OECD countries are based on ISIC, revision 4.</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</si>
  <si>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</si>
  <si>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</si>
  <si>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</si>
  <si>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CC BY-4.0</t>
  </si>
  <si>
    <t>1961-2024</t>
  </si>
  <si>
    <t>Social Protection &amp; Labor: Economic activity</t>
  </si>
  <si>
    <t>Topic</t>
  </si>
  <si>
    <t>International Labour Organization (ILO), type: estimates based on external database;
United Nations (UN), publisher: UN Population Division;
Staff estimates, World Bank (WB)</t>
  </si>
  <si>
    <t>1990-2025</t>
  </si>
  <si>
    <t>Sum</t>
  </si>
  <si>
    <t>NE.GDI.FTOT.KD.ZG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</si>
  <si>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</si>
  <si>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</si>
  <si>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</si>
  <si>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Unemployment, total (% of total labor force) (modeled ILO estimate)</t>
  </si>
  <si>
    <t>NV.AGR.TOTL.ZS</t>
  </si>
  <si>
    <t>Long definition</t>
  </si>
  <si>
    <t>1960-2024</t>
  </si>
  <si>
    <t>Periodicity</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</si>
  <si>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</si>
  <si>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</si>
  <si>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</si>
  <si>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Manufacturing, value added (annual % growth)</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</si>
  <si>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</si>
  <si>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Labor force, total</t>
  </si>
  <si>
    <t>Time</t>
  </si>
  <si>
    <t>Singapore</t>
  </si>
  <si>
    <t>NV.IND.MANF.KD</t>
  </si>
  <si>
    <t>Unemployment refers to the share of the labor force that is without work but available for and seeking employment.</t>
  </si>
  <si>
    <t>Gap-filled total</t>
  </si>
  <si>
    <t>Economic Policy &amp; Debt: National accounts: US$ at constant 2015 prices: Expenditure on GDP</t>
  </si>
  <si>
    <t>Gross fixed capital formation (constant 2015 US$)</t>
  </si>
  <si>
    <t>Employment in agriculture (% of total employment) (modeled ILO estimate)</t>
  </si>
  <si>
    <t>constant 2015 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</si>
  <si>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</si>
  <si>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Employment in services (% of total employment) (modeled ILO estimate)</t>
  </si>
  <si>
    <t>Economic Policy &amp; Debt: National accounts: US$ at constant 2015 prices: Value added</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</si>
  <si>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</si>
  <si>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</si>
  <si>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</si>
  <si>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</si>
  <si>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</si>
  <si>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License URL</t>
  </si>
  <si>
    <t>NE.GDI.FTOT.KD</t>
  </si>
  <si>
    <t>Source</t>
  </si>
  <si>
    <t>Social Protection &amp; Labor: Labor force structure</t>
  </si>
  <si>
    <t>NV.IND.MANF.KD.ZG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</si>
  <si>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</si>
  <si>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Unit of measure</t>
  </si>
  <si>
    <t>Other notes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</si>
  <si>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</si>
  <si>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</si>
  <si>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Indicator Name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</si>
  <si>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</si>
  <si>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value added (constant 2015 US$)</t>
  </si>
  <si>
    <t>Economic Policy &amp; Debt: National accounts: Shares of GDP &amp; other</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</si>
  <si>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</si>
  <si>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t>
  </si>
  <si>
    <t xml:space="preserve">Employment Rate </t>
  </si>
  <si>
    <t xml:space="preserve">Number employed </t>
  </si>
  <si>
    <t xml:space="preserve">Labour productivity </t>
  </si>
  <si>
    <t xml:space="preserve">Capital per employed </t>
  </si>
  <si>
    <t>E % =100 - U</t>
  </si>
  <si>
    <t>L = E% X Labour force</t>
  </si>
  <si>
    <t xml:space="preserve">Average </t>
  </si>
  <si>
    <t>% labour productivity</t>
  </si>
  <si>
    <t>%capital per employed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</si>
  <si>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</si>
  <si>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</si>
  <si>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</si>
  <si>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</si>
  <si>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</si>
  <si>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</si>
  <si>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</si>
  <si>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</si>
  <si>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</si>
  <si>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</si>
  <si>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</si>
  <si>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</si>
  <si>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</si>
  <si>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</si>
  <si>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</si>
  <si>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</si>
  <si>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</si>
  <si>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</si>
  <si>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</si>
  <si>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</si>
  <si>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</si>
  <si>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</si>
  <si>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</si>
  <si>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</si>
  <si>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 natural resources rents (% of GDP) [NY.GDP.TOTL.RT.ZS]</t>
  </si>
  <si>
    <t>Educational attainment, at least completed post-secondary, population 25+, total (%) (cumulative) [SE.SEC.CUAT.PO.ZS]</t>
  </si>
  <si>
    <t xml:space="preserve"> labour productivity growth</t>
  </si>
  <si>
    <t>=% change of Y/L</t>
  </si>
  <si>
    <t>K</t>
  </si>
  <si>
    <t>= K /L</t>
  </si>
  <si>
    <t>=% change of K/L</t>
  </si>
  <si>
    <t>H</t>
  </si>
  <si>
    <t>N</t>
  </si>
  <si>
    <t xml:space="preserve">Growth of L </t>
  </si>
  <si>
    <t>=% change in L</t>
  </si>
  <si>
    <t>Y/L</t>
  </si>
  <si>
    <t>Note you only take the year to year % point change</t>
  </si>
  <si>
    <t>Growth of N</t>
  </si>
  <si>
    <t xml:space="preserve">Growth of H </t>
  </si>
  <si>
    <t>Sectoral growth and employment to discuss evidence of industrialisation</t>
  </si>
  <si>
    <r>
      <t xml:space="preserve">at least completed  upper seondary </t>
    </r>
    <r>
      <rPr>
        <b/>
        <u/>
        <sz val="11"/>
        <color theme="1"/>
        <rFont val="Calibri"/>
        <family val="2"/>
        <scheme val="minor"/>
      </rPr>
      <t>OR</t>
    </r>
    <r>
      <rPr>
        <b/>
        <sz val="11"/>
        <color theme="1"/>
        <rFont val="Calibri"/>
        <family val="2"/>
        <scheme val="minor"/>
      </rPr>
      <t xml:space="preserve"> post-secondary, population 25+, total (%) </t>
    </r>
  </si>
  <si>
    <t>Cleaning data</t>
  </si>
  <si>
    <t xml:space="preserve">Enrolement rate for 2013 - 2016 </t>
  </si>
  <si>
    <t>Average rate =</t>
  </si>
  <si>
    <t xml:space="preserve"> growth of capital per employed</t>
  </si>
  <si>
    <t>General government final consumption expenditure (% of GDP) [NE.CON.GOVT.ZS]</t>
  </si>
  <si>
    <t>Households and NPISHs final consumption expenditure (% of GDP) [NE.CON.PRVT.ZS]</t>
  </si>
  <si>
    <t>Gross fixed capital formation (% of GDP) [NE.GDI.FTOT.ZS]</t>
  </si>
  <si>
    <t>External balance on goods and services (% of GDP) [NE.RSB.GNFS.ZS]</t>
  </si>
  <si>
    <t>G</t>
  </si>
  <si>
    <t>C</t>
  </si>
  <si>
    <t>I</t>
  </si>
  <si>
    <t>NX</t>
  </si>
  <si>
    <t>..</t>
  </si>
  <si>
    <t xml:space="preserve">Growth of employment in industry </t>
  </si>
  <si>
    <t>k</t>
  </si>
  <si>
    <t>y/L</t>
  </si>
  <si>
    <t>=k/L</t>
  </si>
  <si>
    <t>h</t>
  </si>
  <si>
    <r>
      <t xml:space="preserve">at least completed  upper seondary </t>
    </r>
    <r>
      <rPr>
        <u/>
        <sz val="11"/>
        <color theme="1"/>
        <rFont val="Calibri"/>
        <family val="2"/>
        <scheme val="minor"/>
      </rPr>
      <t>OR</t>
    </r>
    <r>
      <rPr>
        <sz val="11"/>
        <color theme="1"/>
        <rFont val="Calibri"/>
        <family val="2"/>
        <scheme val="minor"/>
      </rPr>
      <t xml:space="preserve"> post-secondary, population 25+, total (%) </t>
    </r>
  </si>
  <si>
    <t>X Variable 1</t>
  </si>
  <si>
    <t>X Variable 2</t>
  </si>
  <si>
    <t>Measure</t>
  </si>
  <si>
    <t>Interpretation</t>
  </si>
  <si>
    <t>R² = 0.962</t>
  </si>
  <si>
    <r>
      <t xml:space="preserve">The model explains </t>
    </r>
    <r>
      <rPr>
        <b/>
        <sz val="11"/>
        <color theme="1"/>
        <rFont val="Calibri"/>
        <family val="2"/>
        <scheme val="minor"/>
      </rPr>
      <t>96.2%</t>
    </r>
    <r>
      <rPr>
        <sz val="11"/>
        <color theme="1"/>
        <rFont val="Calibri"/>
        <family val="2"/>
        <scheme val="minor"/>
      </rPr>
      <t xml:space="preserve"> of the variation in GDP. ✅ Very good fit.</t>
    </r>
  </si>
  <si>
    <t>Capital (K) = 1.839, p = 0.050</t>
  </si>
  <si>
    <r>
      <t xml:space="preserve">Capital has a positive effect on GDP and is </t>
    </r>
    <r>
      <rPr>
        <b/>
        <sz val="11"/>
        <color theme="1"/>
        <rFont val="Calibri"/>
        <family val="2"/>
        <scheme val="minor"/>
      </rPr>
      <t>borderline statistically significant</t>
    </r>
    <r>
      <rPr>
        <sz val="11"/>
        <color theme="1"/>
        <rFont val="Calibri"/>
        <family val="2"/>
        <scheme val="minor"/>
      </rPr>
      <t xml:space="preserve"> at the 5% level.</t>
    </r>
  </si>
  <si>
    <t>Labour (L) = 88,424.07, p = 0.020</t>
  </si>
  <si>
    <t>Labour has a positive and statistically significant effect on GDP.</t>
  </si>
  <si>
    <t>Conclusion</t>
  </si>
  <si>
    <r>
      <t xml:space="preserve">Both variables significantly influence GDP, but </t>
    </r>
    <r>
      <rPr>
        <b/>
        <sz val="11"/>
        <color theme="1"/>
        <rFont val="Calibri"/>
        <family val="2"/>
        <scheme val="minor"/>
      </rPr>
      <t>labour is the stronger driver</t>
    </r>
    <r>
      <rPr>
        <sz val="11"/>
        <color theme="1"/>
        <rFont val="Calibri"/>
        <family val="2"/>
        <scheme val="minor"/>
      </rPr>
      <t xml:space="preserve"> due to its lower p-value.</t>
    </r>
  </si>
  <si>
    <t>X Variable 3</t>
  </si>
  <si>
    <t>X Variable 4</t>
  </si>
  <si>
    <t>R² = 0.561</t>
  </si>
  <si>
    <r>
      <t xml:space="preserve">The model explains </t>
    </r>
    <r>
      <rPr>
        <b/>
        <sz val="11"/>
        <color theme="1"/>
        <rFont val="Calibri"/>
        <family val="2"/>
        <scheme val="minor"/>
      </rPr>
      <t>56.1%</t>
    </r>
    <r>
      <rPr>
        <sz val="11"/>
        <color theme="1"/>
        <rFont val="Calibri"/>
        <family val="2"/>
        <scheme val="minor"/>
      </rPr>
      <t xml:space="preserve"> of the variation in GDP growth. ✅ </t>
    </r>
    <r>
      <rPr>
        <b/>
        <sz val="11"/>
        <color theme="1"/>
        <rFont val="Calibri"/>
        <family val="2"/>
        <scheme val="minor"/>
      </rPr>
      <t>Moderate fit.</t>
    </r>
  </si>
  <si>
    <t>Capital Growth (K) = 0.277, p = 0.034</t>
  </si>
  <si>
    <r>
      <t xml:space="preserve">Capital growth has a </t>
    </r>
    <r>
      <rPr>
        <b/>
        <sz val="11"/>
        <color theme="1"/>
        <rFont val="Calibri"/>
        <family val="2"/>
        <scheme val="minor"/>
      </rPr>
      <t>positive and statistically significant</t>
    </r>
    <r>
      <rPr>
        <sz val="11"/>
        <color theme="1"/>
        <rFont val="Calibri"/>
        <family val="2"/>
        <scheme val="minor"/>
      </rPr>
      <t xml:space="preserve"> effect on GDP growth.</t>
    </r>
  </si>
  <si>
    <t>Labour Growth (L) = 21.781, p = 0.525</t>
  </si>
  <si>
    <r>
      <t xml:space="preserve">Labour growth has a positive effect on GDP growth but is </t>
    </r>
    <r>
      <rPr>
        <b/>
        <sz val="11"/>
        <color theme="1"/>
        <rFont val="Calibri"/>
        <family val="2"/>
        <scheme val="minor"/>
      </rPr>
      <t>not statistically significant</t>
    </r>
    <r>
      <rPr>
        <sz val="11"/>
        <color theme="1"/>
        <rFont val="Calibri"/>
        <family val="2"/>
        <scheme val="minor"/>
      </rPr>
      <t>.</t>
    </r>
  </si>
  <si>
    <t>Human Capital Growth (H) = 0.795, p = 0.194</t>
  </si>
  <si>
    <r>
      <t xml:space="preserve">Human capital growth has a positive effect on GDP growth but is </t>
    </r>
    <r>
      <rPr>
        <b/>
        <sz val="11"/>
        <color theme="1"/>
        <rFont val="Calibri"/>
        <family val="2"/>
        <scheme val="minor"/>
      </rPr>
      <t>not statistically significant</t>
    </r>
    <r>
      <rPr>
        <sz val="11"/>
        <color theme="1"/>
        <rFont val="Calibri"/>
        <family val="2"/>
        <scheme val="minor"/>
      </rPr>
      <t>.</t>
    </r>
  </si>
  <si>
    <t>Natural Resources Growth (N) = 17.682, p = 0.465</t>
  </si>
  <si>
    <r>
      <t xml:space="preserve">Natural resource growth has a positive effect on GDP growth but is </t>
    </r>
    <r>
      <rPr>
        <b/>
        <sz val="11"/>
        <color theme="1"/>
        <rFont val="Calibri"/>
        <family val="2"/>
        <scheme val="minor"/>
      </rPr>
      <t>not statistically significant</t>
    </r>
    <r>
      <rPr>
        <sz val="11"/>
        <color theme="1"/>
        <rFont val="Calibri"/>
        <family val="2"/>
        <scheme val="minor"/>
      </rPr>
      <t>.</t>
    </r>
  </si>
  <si>
    <t>Capital growth is the only statistically significant driver of GDP growth during 2006–2021. Labour growth, human capital growth, and natural resource growth do not have statistically significant effects on GDP growth in this model.</t>
  </si>
  <si>
    <t>Regression 2 — GDP Growth from Input Growth Rates</t>
  </si>
  <si>
    <t>Regression 1 — Output from Capital &amp; Labour (raw levels)</t>
  </si>
  <si>
    <t>Regression 3 — Labour Productivity Growth</t>
  </si>
  <si>
    <t>R² = 0.814</t>
  </si>
  <si>
    <r>
      <t xml:space="preserve">The model explains </t>
    </r>
    <r>
      <rPr>
        <b/>
        <sz val="11"/>
        <color theme="1"/>
        <rFont val="Calibri"/>
        <family val="2"/>
        <scheme val="minor"/>
      </rPr>
      <t>81.4%</t>
    </r>
    <r>
      <rPr>
        <sz val="11"/>
        <color theme="1"/>
        <rFont val="Calibri"/>
        <family val="2"/>
        <scheme val="minor"/>
      </rPr>
      <t xml:space="preserve"> of the variation in labour productivity growth. ✅ </t>
    </r>
    <r>
      <rPr>
        <b/>
        <sz val="11"/>
        <color theme="1"/>
        <rFont val="Calibri"/>
        <family val="2"/>
        <scheme val="minor"/>
      </rPr>
      <t>Very good fit.</t>
    </r>
  </si>
  <si>
    <t>Capital Deepening (Growth of K/L) = 0.279, p = 0.001</t>
  </si>
  <si>
    <r>
      <t xml:space="preserve">Capital deepening has a </t>
    </r>
    <r>
      <rPr>
        <b/>
        <sz val="11"/>
        <color theme="1"/>
        <rFont val="Calibri"/>
        <family val="2"/>
        <scheme val="minor"/>
      </rPr>
      <t>positive and highly statistically significant</t>
    </r>
    <r>
      <rPr>
        <sz val="11"/>
        <color theme="1"/>
        <rFont val="Calibri"/>
        <family val="2"/>
        <scheme val="minor"/>
      </rPr>
      <t xml:space="preserve"> effect on labour productivity growth.</t>
    </r>
  </si>
  <si>
    <t>Manufacturing Growth = 0.003, p = 0.003</t>
  </si>
  <si>
    <r>
      <t xml:space="preserve">Manufacturing value added growth has a </t>
    </r>
    <r>
      <rPr>
        <b/>
        <sz val="11"/>
        <color theme="1"/>
        <rFont val="Calibri"/>
        <family val="2"/>
        <scheme val="minor"/>
      </rPr>
      <t>positive and statistically significant</t>
    </r>
    <r>
      <rPr>
        <sz val="11"/>
        <color theme="1"/>
        <rFont val="Calibri"/>
        <family val="2"/>
        <scheme val="minor"/>
      </rPr>
      <t xml:space="preserve"> effect on labour productivity growth.</t>
    </r>
  </si>
  <si>
    <t>Human Capital Growth (H) = 0.00014, p = 0.816</t>
  </si>
  <si>
    <r>
      <t xml:space="preserve">Human capital growth has </t>
    </r>
    <r>
      <rPr>
        <b/>
        <sz val="11"/>
        <color theme="1"/>
        <rFont val="Calibri"/>
        <family val="2"/>
        <scheme val="minor"/>
      </rPr>
      <t>no statistically significant</t>
    </r>
    <r>
      <rPr>
        <sz val="11"/>
        <color theme="1"/>
        <rFont val="Calibri"/>
        <family val="2"/>
        <scheme val="minor"/>
      </rPr>
      <t xml:space="preserve"> effect on labour productivity growth.</t>
    </r>
  </si>
  <si>
    <r>
      <t>Capital deepening is the strongest driver of labour productivity growth</t>
    </r>
    <r>
      <rPr>
        <sz val="11"/>
        <color theme="1"/>
        <rFont val="Calibri"/>
        <family val="2"/>
        <scheme val="minor"/>
      </rPr>
      <t xml:space="preserve"> because it has the </t>
    </r>
    <r>
      <rPr>
        <b/>
        <sz val="11"/>
        <color theme="1"/>
        <rFont val="Calibri"/>
        <family val="2"/>
        <scheme val="minor"/>
      </rPr>
      <t>lowest p-value (0.001)</t>
    </r>
    <r>
      <rPr>
        <sz val="11"/>
        <color theme="1"/>
        <rFont val="Calibri"/>
        <family val="2"/>
        <scheme val="minor"/>
      </rPr>
      <t>. Manufacturing growth is also a significant positive driver (p = 0.003), while human capital growth is not statistically significant (p = 0.816).</t>
    </r>
  </si>
  <si>
    <t>GDP (constant 2015 US$) [NY.GDP.MKTP.KD]</t>
  </si>
  <si>
    <t>GDP growth (annual %) [NY.GDP.MKTP.KD.ZG]</t>
  </si>
  <si>
    <t>Gross fixed capital formation (constant 2015 US$) [NE.GDI.FTOT.KD]</t>
  </si>
  <si>
    <t>Gross fixed capital formation (annual % growth) [NE.GDI.FTOT.KD.ZG]</t>
  </si>
  <si>
    <t>Labor force, total [SL.TLF.TOTL.IN]</t>
  </si>
  <si>
    <t>Unemployment, total (% of total labor force) (modeled ILO estimate) [SL.UEM.TOTL.ZS]</t>
  </si>
  <si>
    <t>Manufacturing, value added (% of GDP) [NV.IND.MANF.ZS]</t>
  </si>
  <si>
    <t>Manufacturing, value added (annual % growth) [NV.IND.MANF.KD.ZG]</t>
  </si>
  <si>
    <t>Manufacturing, value added (constant 2015 US$) [NV.IND.MANF.KD]</t>
  </si>
  <si>
    <t>Agriculture, forestry, and fishing, value added (% of GDP) [NV.AGR.TOTL.ZS]</t>
  </si>
  <si>
    <t>Employment in agriculture (% of total employment) (modeled ILO estimate) [SL.AGR.EMPL.ZS]</t>
  </si>
  <si>
    <t>Employment in industry (% of total employment) (modeled ILO estimate) [SL.IND.EMPL.ZS]</t>
  </si>
  <si>
    <t>Employment in services (% of total employment) (modeled ILO estimate) [SL.SRV.EMPL.ZS]</t>
  </si>
  <si>
    <t>Japan</t>
  </si>
  <si>
    <t>Malaysia</t>
  </si>
  <si>
    <t>Data from database: World Development Indicators</t>
  </si>
  <si>
    <t>Last Updated: 07/01/2026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</si>
</sst>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8"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b/>
      <u/>
      <sz val="11"/>
      <color theme="1"/>
      <name val="Calibri"/>
      <family val="2"/>
      <scheme val="minor"/>
    </font>
    <font>
      <sz val="14"/>
      <color theme="1"/>
      <name val="Calibri"/>
      <family val="2"/>
      <scheme val="minor"/>
    </font>
    <font>
      <u/>
      <sz val="11"/>
      <color theme="1"/>
      <name val="Calibri"/>
      <family val="2"/>
      <scheme val="minor"/>
    </font>
    <font>
      <sz val="11"/>
      <color rgb="FF000000"/>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8"/>
        <bgColor indexed="64"/>
      </patternFill>
    </fill>
    <fill>
      <patternFill patternType="solid">
        <fgColor theme="3" tint="0.59999389629810485"/>
        <bgColor indexed="64"/>
      </patternFill>
    </fill>
    <fill>
      <patternFill patternType="solid">
        <fgColor theme="9"/>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double">
        <color indexed="64"/>
      </bottom>
      <diagonal/>
    </border>
  </borders>
  <cellStyleXfs count="2">
    <xf numFmtId="0" fontId="0" fillId="0" borderId="0"/>
    <xf numFmtId="9" fontId="2" fillId="0" borderId="0" applyFont="0" applyFill="0" applyBorder="0" applyAlignment="0" applyProtection="0"/>
  </cellStyleXfs>
  <cellXfs count="8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3" borderId="0" xfId="0" applyFill="1" applyAlignment="1">
      <alignment horizontal="center" vertical="center" wrapText="1"/>
    </xf>
    <xf numFmtId="0" fontId="0" fillId="3" borderId="0" xfId="0" quotePrefix="1" applyFill="1" applyAlignment="1">
      <alignment horizontal="center" vertical="center"/>
    </xf>
    <xf numFmtId="0" fontId="0" fillId="3" borderId="0" xfId="0" applyFill="1" applyAlignment="1">
      <alignment horizontal="center" vertical="center"/>
    </xf>
    <xf numFmtId="164" fontId="0" fillId="3" borderId="0" xfId="1" applyNumberFormat="1" applyFont="1" applyFill="1" applyAlignment="1">
      <alignment horizontal="center" vertical="center" wrapText="1"/>
    </xf>
    <xf numFmtId="164" fontId="0" fillId="3" borderId="0" xfId="1" applyNumberFormat="1" applyFont="1" applyFill="1" applyAlignment="1">
      <alignment horizontal="center" vertical="center"/>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4" borderId="0" xfId="0" applyFill="1"/>
    <xf numFmtId="0" fontId="0" fillId="4" borderId="1" xfId="0" applyFill="1" applyBorder="1"/>
    <xf numFmtId="0" fontId="3" fillId="4" borderId="2" xfId="0" applyFont="1" applyFill="1" applyBorder="1" applyAlignment="1">
      <alignment horizontal="center"/>
    </xf>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0" fontId="0" fillId="2" borderId="0" xfId="0" applyFill="1" applyAlignment="1">
      <alignment horizontal="center" vertical="center"/>
    </xf>
    <xf numFmtId="0" fontId="0" fillId="6" borderId="0" xfId="0" quotePrefix="1" applyFill="1" applyAlignment="1">
      <alignment horizontal="center" vertical="center" wrapText="1"/>
    </xf>
    <xf numFmtId="0" fontId="0" fillId="6" borderId="0" xfId="0" applyFill="1"/>
    <xf numFmtId="0" fontId="0" fillId="7" borderId="0" xfId="0" applyFill="1" applyAlignment="1">
      <alignment horizontal="center"/>
    </xf>
    <xf numFmtId="0" fontId="0" fillId="7" borderId="0" xfId="0" applyFill="1"/>
    <xf numFmtId="10" fontId="0" fillId="7" borderId="0" xfId="1" quotePrefix="1" applyNumberFormat="1" applyFont="1" applyFill="1" applyAlignment="1">
      <alignment horizontal="center" vertical="center"/>
    </xf>
    <xf numFmtId="10" fontId="0" fillId="7" borderId="0" xfId="1" applyNumberFormat="1" applyFont="1" applyFill="1" applyAlignment="1">
      <alignment horizontal="center" vertical="center"/>
    </xf>
    <xf numFmtId="0" fontId="0" fillId="7" borderId="0" xfId="0" quotePrefix="1" applyFill="1" applyAlignment="1">
      <alignment horizontal="center" vertical="center" wrapText="1"/>
    </xf>
    <xf numFmtId="0" fontId="0" fillId="7" borderId="0" xfId="0" applyFill="1" applyAlignment="1">
      <alignment horizontal="center" vertical="center"/>
    </xf>
    <xf numFmtId="0" fontId="1" fillId="0" borderId="0" xfId="0" applyFont="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xf numFmtId="10" fontId="1" fillId="7" borderId="0" xfId="1" applyNumberFormat="1" applyFont="1" applyFill="1" applyAlignment="1">
      <alignment horizontal="center" vertical="center" wrapText="1"/>
    </xf>
    <xf numFmtId="0" fontId="1" fillId="6" borderId="0" xfId="0" applyFont="1" applyFill="1" applyAlignment="1">
      <alignment horizontal="center" vertical="center" wrapText="1"/>
    </xf>
    <xf numFmtId="10" fontId="0" fillId="6" borderId="0" xfId="1" applyNumberFormat="1" applyFont="1" applyFill="1" applyAlignment="1">
      <alignment horizontal="center" vertical="center" wrapText="1"/>
    </xf>
    <xf numFmtId="10" fontId="0" fillId="6" borderId="0" xfId="1" applyNumberFormat="1" applyFont="1" applyFill="1" applyAlignment="1">
      <alignment horizontal="center" vertical="center"/>
    </xf>
    <xf numFmtId="0" fontId="0" fillId="8" borderId="0" xfId="0" applyFill="1"/>
    <xf numFmtId="10" fontId="0" fillId="8" borderId="0" xfId="1" applyNumberFormat="1" applyFont="1" applyFill="1" applyAlignment="1">
      <alignment horizontal="center" vertical="center"/>
    </xf>
    <xf numFmtId="0" fontId="3" fillId="0" borderId="2" xfId="0" applyFont="1" applyBorder="1" applyAlignment="1">
      <alignment horizontal="left" vertical="top"/>
    </xf>
    <xf numFmtId="0" fontId="0" fillId="9" borderId="0" xfId="0" applyFill="1"/>
    <xf numFmtId="0" fontId="0" fillId="9" borderId="1" xfId="0" applyFill="1" applyBorder="1"/>
    <xf numFmtId="0" fontId="0" fillId="2" borderId="0" xfId="0" quotePrefix="1" applyFill="1" applyAlignment="1">
      <alignment horizontal="center" vertical="center"/>
    </xf>
    <xf numFmtId="10" fontId="0" fillId="10" borderId="0" xfId="1" applyNumberFormat="1" applyFont="1" applyFill="1" applyAlignment="1">
      <alignment horizontal="center" vertical="center"/>
    </xf>
    <xf numFmtId="10" fontId="0" fillId="10" borderId="0" xfId="1" applyNumberFormat="1" applyFont="1"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vertical="center"/>
    </xf>
    <xf numFmtId="0" fontId="5" fillId="6" borderId="3" xfId="0" quotePrefix="1" applyFont="1" applyFill="1" applyBorder="1" applyAlignment="1">
      <alignment horizontal="center" vertical="center" wrapText="1"/>
    </xf>
    <xf numFmtId="0" fontId="5" fillId="0" borderId="3" xfId="0" applyFont="1" applyBorder="1" applyAlignment="1">
      <alignment horizontal="center" vertical="center" wrapText="1"/>
    </xf>
    <xf numFmtId="0" fontId="5" fillId="3"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3" borderId="3" xfId="0" quotePrefix="1" applyFont="1" applyFill="1" applyBorder="1" applyAlignment="1">
      <alignment horizontal="center" vertical="center" wrapText="1"/>
    </xf>
    <xf numFmtId="10" fontId="5" fillId="10" borderId="3" xfId="1" quotePrefix="1" applyNumberFormat="1" applyFont="1" applyFill="1" applyBorder="1" applyAlignment="1">
      <alignment horizontal="center" vertical="center" wrapText="1"/>
    </xf>
    <xf numFmtId="165" fontId="0" fillId="0" borderId="0" xfId="0" applyNumberFormat="1"/>
    <xf numFmtId="165" fontId="0" fillId="3" borderId="0" xfId="0" applyNumberFormat="1" applyFill="1" applyAlignment="1">
      <alignment horizontal="center" vertical="center"/>
    </xf>
    <xf numFmtId="0" fontId="1" fillId="0" borderId="0" xfId="0" applyFont="1"/>
    <xf numFmtId="0" fontId="7" fillId="0" borderId="0" xfId="0" applyFont="1"/>
    <xf numFmtId="0" fontId="7" fillId="0" borderId="0" xfId="0" applyFont="1" applyAlignment="1">
      <alignment horizontal="center" vertical="center"/>
    </xf>
    <xf numFmtId="165" fontId="0" fillId="0" borderId="0" xfId="0" applyNumberFormat="1" applyAlignment="1">
      <alignment horizontal="center" vertical="center"/>
    </xf>
    <xf numFmtId="165" fontId="1" fillId="0" borderId="0" xfId="0" applyNumberFormat="1" applyFont="1" applyAlignment="1">
      <alignment horizontal="center" vertical="center" wrapText="1"/>
    </xf>
    <xf numFmtId="165" fontId="0" fillId="5" borderId="0" xfId="0" applyNumberFormat="1" applyFill="1"/>
    <xf numFmtId="0" fontId="0" fillId="2" borderId="0" xfId="0" applyFill="1" applyAlignment="1">
      <alignment vertical="center"/>
    </xf>
    <xf numFmtId="2" fontId="1" fillId="3" borderId="0" xfId="0" applyNumberFormat="1" applyFont="1" applyFill="1" applyAlignment="1">
      <alignment horizontal="center" vertical="center" wrapText="1"/>
    </xf>
    <xf numFmtId="2" fontId="0" fillId="3" borderId="0" xfId="0" quotePrefix="1" applyNumberFormat="1" applyFill="1" applyAlignment="1">
      <alignment horizontal="center" vertical="center" wrapText="1"/>
    </xf>
    <xf numFmtId="2" fontId="0" fillId="9" borderId="0" xfId="0" applyNumberFormat="1" applyFill="1" applyAlignment="1">
      <alignment horizontal="center" vertical="center"/>
    </xf>
    <xf numFmtId="2" fontId="0" fillId="3" borderId="0" xfId="0" applyNumberFormat="1" applyFill="1" applyAlignment="1">
      <alignment horizontal="center" vertical="center"/>
    </xf>
    <xf numFmtId="2" fontId="0" fillId="5" borderId="0" xfId="0" applyNumberFormat="1" applyFill="1" applyAlignment="1">
      <alignment horizontal="center" vertical="center"/>
    </xf>
    <xf numFmtId="2" fontId="0" fillId="6" borderId="0" xfId="1" applyNumberFormat="1" applyFont="1" applyFill="1" applyAlignment="1">
      <alignment horizontal="center" vertical="center" wrapText="1"/>
    </xf>
    <xf numFmtId="2" fontId="0" fillId="9" borderId="0" xfId="1" applyNumberFormat="1" applyFont="1" applyFill="1" applyAlignment="1">
      <alignment horizontal="center" vertical="center"/>
    </xf>
    <xf numFmtId="2" fontId="0" fillId="6" borderId="0" xfId="1" applyNumberFormat="1" applyFont="1" applyFill="1" applyAlignment="1">
      <alignment horizontal="center" vertical="center"/>
    </xf>
    <xf numFmtId="2" fontId="0" fillId="3" borderId="0" xfId="1" applyNumberFormat="1" applyFont="1" applyFill="1" applyAlignment="1">
      <alignment horizontal="center" vertical="center" wrapText="1"/>
    </xf>
    <xf numFmtId="2" fontId="0" fillId="3" borderId="0" xfId="1" quotePrefix="1" applyNumberFormat="1" applyFont="1" applyFill="1" applyAlignment="1">
      <alignment horizontal="center" vertical="center" wrapText="1"/>
    </xf>
    <xf numFmtId="2" fontId="0" fillId="3" borderId="0" xfId="1" applyNumberFormat="1" applyFont="1" applyFill="1" applyAlignment="1">
      <alignment horizontal="center" vertical="center"/>
    </xf>
    <xf numFmtId="2" fontId="0" fillId="0" borderId="0" xfId="0" applyNumberFormat="1" applyAlignment="1">
      <alignment horizontal="center" vertical="center"/>
    </xf>
    <xf numFmtId="2" fontId="0" fillId="3" borderId="0" xfId="1" quotePrefix="1" applyNumberFormat="1" applyFont="1" applyFill="1" applyAlignment="1">
      <alignment horizontal="center" vertical="center"/>
    </xf>
    <xf numFmtId="2" fontId="1" fillId="3" borderId="0" xfId="1" applyNumberFormat="1" applyFont="1" applyFill="1" applyAlignment="1">
      <alignment horizontal="center" vertical="center" wrapText="1"/>
    </xf>
    <xf numFmtId="2" fontId="0" fillId="5" borderId="0" xfId="1" applyNumberFormat="1" applyFont="1" applyFill="1" applyAlignment="1">
      <alignment horizontal="center" vertical="center"/>
    </xf>
    <xf numFmtId="10" fontId="1" fillId="6" borderId="0" xfId="0" applyNumberFormat="1" applyFont="1" applyFill="1" applyAlignment="1">
      <alignment horizontal="center" vertical="center" wrapText="1"/>
    </xf>
    <xf numFmtId="10" fontId="0" fillId="6" borderId="0" xfId="0" quotePrefix="1" applyNumberFormat="1" applyFill="1" applyAlignment="1">
      <alignment horizontal="center" vertical="center" wrapText="1"/>
    </xf>
    <xf numFmtId="10" fontId="0" fillId="9" borderId="0" xfId="0" applyNumberFormat="1" applyFill="1"/>
    <xf numFmtId="10" fontId="0" fillId="6" borderId="0" xfId="0" applyNumberFormat="1" applyFill="1"/>
    <xf numFmtId="10" fontId="5" fillId="6" borderId="3" xfId="0" quotePrefix="1" applyNumberFormat="1" applyFont="1" applyFill="1" applyBorder="1" applyAlignment="1">
      <alignment horizontal="center" vertical="center" wrapText="1"/>
    </xf>
    <xf numFmtId="0" fontId="7" fillId="0" borderId="0" xfId="0" applyFont="1" applyAlignment="1">
      <alignment horizontal="center" vertical="center" wrapText="1"/>
    </xf>
    <xf numFmtId="0" fontId="0" fillId="2" borderId="0" xfId="0"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Chart 1. Components of Spending in Japan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stacked"/>
        <c:varyColors val="0"/>
        <c:ser>
          <c:idx val="1"/>
          <c:order val="0"/>
          <c:tx>
            <c:v>General government final consumption</c:v>
          </c:tx>
          <c:spPr>
            <a:solidFill>
              <a:schemeClr val="accent2"/>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(Japan)'!$AH$3:$AH$27</c:f>
              <c:numCache>
                <c:formatCode>General</c:formatCode>
                <c:ptCount val="25"/>
                <c:pt idx="0">
                  <c:v>16.298849381701849</c:v>
                </c:pt>
                <c:pt idx="1">
                  <c:v>16.987121497489255</c:v>
                </c:pt>
                <c:pt idx="2">
                  <c:v>17.523067641289067</c:v>
                </c:pt>
                <c:pt idx="3">
                  <c:v>17.6035501284581</c:v>
                </c:pt>
                <c:pt idx="4">
                  <c:v>17.501726881992749</c:v>
                </c:pt>
                <c:pt idx="5">
                  <c:v>17.516075991672267</c:v>
                </c:pt>
                <c:pt idx="6">
                  <c:v>17.334812030353369</c:v>
                </c:pt>
                <c:pt idx="7">
                  <c:v>17.32974812655317</c:v>
                </c:pt>
                <c:pt idx="8">
                  <c:v>17.6813434344154</c:v>
                </c:pt>
                <c:pt idx="9">
                  <c:v>19.044472173176278</c:v>
                </c:pt>
                <c:pt idx="10">
                  <c:v>18.95277292725364</c:v>
                </c:pt>
                <c:pt idx="11">
                  <c:v>19.675521109785251</c:v>
                </c:pt>
                <c:pt idx="12">
                  <c:v>19.729504957783011</c:v>
                </c:pt>
                <c:pt idx="13">
                  <c:v>19.631066402644777</c:v>
                </c:pt>
                <c:pt idx="14">
                  <c:v>19.569565912101044</c:v>
                </c:pt>
                <c:pt idx="15">
                  <c:v>19.160699674438256</c:v>
                </c:pt>
                <c:pt idx="16">
                  <c:v>19.195223632328759</c:v>
                </c:pt>
                <c:pt idx="17">
                  <c:v>18.987894585034301</c:v>
                </c:pt>
                <c:pt idx="18">
                  <c:v>19.104933906230919</c:v>
                </c:pt>
                <c:pt idx="19">
                  <c:v>19.445157544619278</c:v>
                </c:pt>
                <c:pt idx="20">
                  <c:v>20.437616320118742</c:v>
                </c:pt>
                <c:pt idx="21">
                  <c:v>20.532497583550569</c:v>
                </c:pt>
                <c:pt idx="22">
                  <c:v>20.710356597343207</c:v>
                </c:pt>
                <c:pt idx="23">
                  <c:v>20.094621554364782</c:v>
                </c:pt>
                <c:pt idx="24">
                  <c:v>20.144396476965625</c:v>
                </c:pt>
              </c:numCache>
            </c:numRef>
          </c:val>
          <c:extLst>
            <c:ext xmlns:c16="http://schemas.microsoft.com/office/drawing/2014/chart" uri="{C3380CC4-5D6E-409C-BE32-E72D297353CC}">
              <c16:uniqueId val="{00000000-A43F-4523-907B-3F147EAC0DEC}"/>
            </c:ext>
          </c:extLst>
        </c:ser>
        <c:ser>
          <c:idx val="2"/>
          <c:order val="1"/>
          <c:tx>
            <c:v>Households and NPISHs final consumption</c:v>
          </c:tx>
          <c:spPr>
            <a:solidFill>
              <a:schemeClr val="accent3"/>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(Japan)'!$AI$3:$AI$27</c:f>
              <c:numCache>
                <c:formatCode>General</c:formatCode>
                <c:ptCount val="25"/>
                <c:pt idx="0">
                  <c:v>52.704736961045626</c:v>
                </c:pt>
                <c:pt idx="1">
                  <c:v>53.420221948029223</c:v>
                </c:pt>
                <c:pt idx="2">
                  <c:v>54.032845796734271</c:v>
                </c:pt>
                <c:pt idx="3">
                  <c:v>54.018356437936689</c:v>
                </c:pt>
                <c:pt idx="4">
                  <c:v>53.946072650435127</c:v>
                </c:pt>
                <c:pt idx="5">
                  <c:v>54.091422688976174</c:v>
                </c:pt>
                <c:pt idx="6">
                  <c:v>54.296533633265874</c:v>
                </c:pt>
                <c:pt idx="7">
                  <c:v>54.124264030904321</c:v>
                </c:pt>
                <c:pt idx="8">
                  <c:v>55.02436086706912</c:v>
                </c:pt>
                <c:pt idx="9">
                  <c:v>56.852017285266378</c:v>
                </c:pt>
                <c:pt idx="10">
                  <c:v>56.149532402503155</c:v>
                </c:pt>
                <c:pt idx="11">
                  <c:v>56.515219239257533</c:v>
                </c:pt>
                <c:pt idx="12">
                  <c:v>56.910196366238196</c:v>
                </c:pt>
                <c:pt idx="13">
                  <c:v>57.379750552566669</c:v>
                </c:pt>
                <c:pt idx="14">
                  <c:v>56.631080187711227</c:v>
                </c:pt>
                <c:pt idx="15">
                  <c:v>54.830544465532341</c:v>
                </c:pt>
                <c:pt idx="16">
                  <c:v>53.776206871370533</c:v>
                </c:pt>
                <c:pt idx="17">
                  <c:v>53.634703487230126</c:v>
                </c:pt>
                <c:pt idx="18">
                  <c:v>53.739984028913113</c:v>
                </c:pt>
                <c:pt idx="19">
                  <c:v>53.513180306310524</c:v>
                </c:pt>
                <c:pt idx="20">
                  <c:v>52.937746266566364</c:v>
                </c:pt>
                <c:pt idx="21">
                  <c:v>52.643763049873002</c:v>
                </c:pt>
                <c:pt idx="22">
                  <c:v>54.543763504431354</c:v>
                </c:pt>
                <c:pt idx="23">
                  <c:v>53.597729342421594</c:v>
                </c:pt>
                <c:pt idx="24">
                  <c:v>53.06955249390596</c:v>
                </c:pt>
              </c:numCache>
            </c:numRef>
          </c:val>
          <c:extLst>
            <c:ext xmlns:c16="http://schemas.microsoft.com/office/drawing/2014/chart" uri="{C3380CC4-5D6E-409C-BE32-E72D297353CC}">
              <c16:uniqueId val="{00000001-A43F-4523-907B-3F147EAC0DEC}"/>
            </c:ext>
          </c:extLst>
        </c:ser>
        <c:ser>
          <c:idx val="3"/>
          <c:order val="2"/>
          <c:tx>
            <c:v>Gross fixed capital formation</c:v>
          </c:tx>
          <c:spPr>
            <a:solidFill>
              <a:schemeClr val="accent4"/>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(Japan)'!$AJ$3:$AJ$27</c:f>
              <c:numCache>
                <c:formatCode>General</c:formatCode>
                <c:ptCount val="25"/>
                <c:pt idx="0">
                  <c:v>29.719754403244199</c:v>
                </c:pt>
                <c:pt idx="1">
                  <c:v>28.980356724435048</c:v>
                </c:pt>
                <c:pt idx="2">
                  <c:v>27.551321322607379</c:v>
                </c:pt>
                <c:pt idx="3">
                  <c:v>26.84197145367191</c:v>
                </c:pt>
                <c:pt idx="4">
                  <c:v>26.36550867219281</c:v>
                </c:pt>
                <c:pt idx="5">
                  <c:v>26.881220398328797</c:v>
                </c:pt>
                <c:pt idx="6">
                  <c:v>27.050091940669596</c:v>
                </c:pt>
                <c:pt idx="7">
                  <c:v>26.457940937372548</c:v>
                </c:pt>
                <c:pt idx="8">
                  <c:v>26.386945740120005</c:v>
                </c:pt>
                <c:pt idx="9">
                  <c:v>24.683991583655697</c:v>
                </c:pt>
                <c:pt idx="10">
                  <c:v>23.56351085075536</c:v>
                </c:pt>
                <c:pt idx="11">
                  <c:v>24.263482206640035</c:v>
                </c:pt>
                <c:pt idx="12">
                  <c:v>24.760777645049608</c:v>
                </c:pt>
                <c:pt idx="13">
                  <c:v>25.5195914592327</c:v>
                </c:pt>
                <c:pt idx="14">
                  <c:v>26.401397459673664</c:v>
                </c:pt>
                <c:pt idx="15">
                  <c:v>26.37270579541444</c:v>
                </c:pt>
                <c:pt idx="16">
                  <c:v>26.128395997917874</c:v>
                </c:pt>
                <c:pt idx="17">
                  <c:v>26.42029377883242</c:v>
                </c:pt>
                <c:pt idx="18">
                  <c:v>26.733420773130621</c:v>
                </c:pt>
                <c:pt idx="19">
                  <c:v>27.177854567202598</c:v>
                </c:pt>
                <c:pt idx="20">
                  <c:v>27.136698609428628</c:v>
                </c:pt>
                <c:pt idx="21">
                  <c:v>27.077884989560104</c:v>
                </c:pt>
                <c:pt idx="22">
                  <c:v>27.834661137294098</c:v>
                </c:pt>
                <c:pt idx="23">
                  <c:v>27.84769647080595</c:v>
                </c:pt>
                <c:pt idx="24">
                  <c:v>27.813618489308229</c:v>
                </c:pt>
              </c:numCache>
            </c:numRef>
          </c:val>
          <c:extLst>
            <c:ext xmlns:c16="http://schemas.microsoft.com/office/drawing/2014/chart" uri="{C3380CC4-5D6E-409C-BE32-E72D297353CC}">
              <c16:uniqueId val="{00000002-A43F-4523-907B-3F147EAC0DEC}"/>
            </c:ext>
          </c:extLst>
        </c:ser>
        <c:ser>
          <c:idx val="4"/>
          <c:order val="3"/>
          <c:tx>
            <c:v>External balance on goods and services</c:v>
          </c:tx>
          <c:spPr>
            <a:solidFill>
              <a:schemeClr val="accent5"/>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(Japan)'!$AK$3:$AK$27</c:f>
              <c:numCache>
                <c:formatCode>General</c:formatCode>
                <c:ptCount val="25"/>
                <c:pt idx="0">
                  <c:v>1.3445840850887789</c:v>
                </c:pt>
                <c:pt idx="1">
                  <c:v>0.58542018264813089</c:v>
                </c:pt>
                <c:pt idx="2">
                  <c:v>1.2449877045208144</c:v>
                </c:pt>
                <c:pt idx="3">
                  <c:v>1.5865735164702106</c:v>
                </c:pt>
                <c:pt idx="4">
                  <c:v>1.8891986126586391</c:v>
                </c:pt>
                <c:pt idx="5">
                  <c:v>1.3877940814149701</c:v>
                </c:pt>
                <c:pt idx="6">
                  <c:v>1.2835250459703347</c:v>
                </c:pt>
                <c:pt idx="7">
                  <c:v>1.7424538320156908</c:v>
                </c:pt>
                <c:pt idx="8">
                  <c:v>0.33636108306018836</c:v>
                </c:pt>
                <c:pt idx="9">
                  <c:v>0.44390669128209076</c:v>
                </c:pt>
                <c:pt idx="10">
                  <c:v>1.3254607170272608</c:v>
                </c:pt>
                <c:pt idx="11">
                  <c:v>-0.64233291162983752</c:v>
                </c:pt>
                <c:pt idx="12">
                  <c:v>-1.6264686310479837</c:v>
                </c:pt>
                <c:pt idx="13">
                  <c:v>-2.3839512835696515</c:v>
                </c:pt>
                <c:pt idx="14">
                  <c:v>-2.5485994733968478</c:v>
                </c:pt>
                <c:pt idx="15">
                  <c:v>-0.54341063139738666</c:v>
                </c:pt>
                <c:pt idx="16">
                  <c:v>0.78851291776939281</c:v>
                </c:pt>
                <c:pt idx="17">
                  <c:v>0.74281699960539282</c:v>
                </c:pt>
                <c:pt idx="18">
                  <c:v>1.8711999486957384E-2</c:v>
                </c:pt>
                <c:pt idx="19">
                  <c:v>-0.28270244369908964</c:v>
                </c:pt>
                <c:pt idx="20">
                  <c:v>-0.26184209196454483</c:v>
                </c:pt>
                <c:pt idx="21">
                  <c:v>-0.50142197413806322</c:v>
                </c:pt>
                <c:pt idx="22">
                  <c:v>-3.5648963259740198</c:v>
                </c:pt>
                <c:pt idx="23">
                  <c:v>-1.4764631115540887</c:v>
                </c:pt>
                <c:pt idx="24">
                  <c:v>-0.89312011806516911</c:v>
                </c:pt>
              </c:numCache>
            </c:numRef>
          </c:val>
          <c:extLst>
            <c:ext xmlns:c16="http://schemas.microsoft.com/office/drawing/2014/chart" uri="{C3380CC4-5D6E-409C-BE32-E72D297353CC}">
              <c16:uniqueId val="{00000003-A43F-4523-907B-3F147EAC0DEC}"/>
            </c:ext>
          </c:extLst>
        </c:ser>
        <c:dLbls>
          <c:showLegendKey val="0"/>
          <c:showVal val="0"/>
          <c:showCatName val="0"/>
          <c:showSerName val="0"/>
          <c:showPercent val="0"/>
          <c:showBubbleSize val="0"/>
        </c:dLbls>
        <c:gapWidth val="150"/>
        <c:overlap val="100"/>
        <c:axId val="216594224"/>
        <c:axId val="49067343"/>
      </c:barChart>
      <c:catAx>
        <c:axId val="21659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manualLayout>
              <c:xMode val="edge"/>
              <c:yMode val="edge"/>
              <c:x val="0.50376077449917012"/>
              <c:y val="0.768188417937119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067343"/>
        <c:crosses val="autoZero"/>
        <c:auto val="1"/>
        <c:lblAlgn val="ctr"/>
        <c:lblOffset val="100"/>
        <c:noMultiLvlLbl val="0"/>
      </c:catAx>
      <c:valAx>
        <c:axId val="49067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of</a:t>
                </a:r>
                <a:r>
                  <a:rPr lang="en-US" b="1" baseline="0"/>
                  <a:t> GDP</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94224"/>
        <c:crosses val="autoZero"/>
        <c:crossBetween val="between"/>
      </c:valAx>
      <c:spPr>
        <a:noFill/>
        <a:ln>
          <a:noFill/>
        </a:ln>
        <a:effectLst/>
      </c:spPr>
    </c:plotArea>
    <c:legend>
      <c:legendPos val="b"/>
      <c:layout>
        <c:manualLayout>
          <c:xMode val="edge"/>
          <c:yMode val="edge"/>
          <c:x val="0.33629920078579995"/>
          <c:y val="0.82402254214136039"/>
          <c:w val="0.37054230162958224"/>
          <c:h val="0.15349767927510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Chart 2 - Components of Spending in 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47307198703346"/>
          <c:y val="8.7413819722838917E-2"/>
          <c:w val="0.48585074948705353"/>
          <c:h val="0.8313106955380577"/>
        </c:manualLayout>
      </c:layout>
      <c:lineChart>
        <c:grouping val="standard"/>
        <c:varyColors val="0"/>
        <c:ser>
          <c:idx val="1"/>
          <c:order val="0"/>
          <c:tx>
            <c:v>General government final consumption</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3.9282062615057407E-2"/>
                  <c:y val="5.26979152846596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(Japan)'!$AH$3:$AH$27</c:f>
              <c:numCache>
                <c:formatCode>General</c:formatCode>
                <c:ptCount val="25"/>
                <c:pt idx="0">
                  <c:v>16.298849381701849</c:v>
                </c:pt>
                <c:pt idx="1">
                  <c:v>16.987121497489255</c:v>
                </c:pt>
                <c:pt idx="2">
                  <c:v>17.523067641289067</c:v>
                </c:pt>
                <c:pt idx="3">
                  <c:v>17.6035501284581</c:v>
                </c:pt>
                <c:pt idx="4">
                  <c:v>17.501726881992749</c:v>
                </c:pt>
                <c:pt idx="5">
                  <c:v>17.516075991672267</c:v>
                </c:pt>
                <c:pt idx="6">
                  <c:v>17.334812030353369</c:v>
                </c:pt>
                <c:pt idx="7">
                  <c:v>17.32974812655317</c:v>
                </c:pt>
                <c:pt idx="8">
                  <c:v>17.6813434344154</c:v>
                </c:pt>
                <c:pt idx="9">
                  <c:v>19.044472173176278</c:v>
                </c:pt>
                <c:pt idx="10">
                  <c:v>18.95277292725364</c:v>
                </c:pt>
                <c:pt idx="11">
                  <c:v>19.675521109785251</c:v>
                </c:pt>
                <c:pt idx="12">
                  <c:v>19.729504957783011</c:v>
                </c:pt>
                <c:pt idx="13">
                  <c:v>19.631066402644777</c:v>
                </c:pt>
                <c:pt idx="14">
                  <c:v>19.569565912101044</c:v>
                </c:pt>
                <c:pt idx="15">
                  <c:v>19.160699674438256</c:v>
                </c:pt>
                <c:pt idx="16">
                  <c:v>19.195223632328759</c:v>
                </c:pt>
                <c:pt idx="17">
                  <c:v>18.987894585034301</c:v>
                </c:pt>
                <c:pt idx="18">
                  <c:v>19.104933906230919</c:v>
                </c:pt>
                <c:pt idx="19">
                  <c:v>19.445157544619278</c:v>
                </c:pt>
                <c:pt idx="20">
                  <c:v>20.437616320118742</c:v>
                </c:pt>
                <c:pt idx="21">
                  <c:v>20.532497583550569</c:v>
                </c:pt>
                <c:pt idx="22">
                  <c:v>20.710356597343207</c:v>
                </c:pt>
                <c:pt idx="23">
                  <c:v>20.094621554364782</c:v>
                </c:pt>
                <c:pt idx="24">
                  <c:v>20.144396476965625</c:v>
                </c:pt>
              </c:numCache>
            </c:numRef>
          </c:val>
          <c:smooth val="0"/>
          <c:extLst>
            <c:ext xmlns:c16="http://schemas.microsoft.com/office/drawing/2014/chart" uri="{C3380CC4-5D6E-409C-BE32-E72D297353CC}">
              <c16:uniqueId val="{00000000-D0E3-48BB-953B-4BCB90BCF883}"/>
            </c:ext>
          </c:extLst>
        </c:ser>
        <c:ser>
          <c:idx val="2"/>
          <c:order val="1"/>
          <c:tx>
            <c:v>Households and NPISHs final consumption</c:v>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1"/>
            <c:dispEq val="1"/>
            <c:trendlineLbl>
              <c:layout>
                <c:manualLayout>
                  <c:x val="-4.6801802378689545E-3"/>
                  <c:y val="-5.10987161451680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(Japan)'!$AI$3:$AI$27</c:f>
              <c:numCache>
                <c:formatCode>General</c:formatCode>
                <c:ptCount val="25"/>
                <c:pt idx="0">
                  <c:v>52.704736961045626</c:v>
                </c:pt>
                <c:pt idx="1">
                  <c:v>53.420221948029223</c:v>
                </c:pt>
                <c:pt idx="2">
                  <c:v>54.032845796734271</c:v>
                </c:pt>
                <c:pt idx="3">
                  <c:v>54.018356437936689</c:v>
                </c:pt>
                <c:pt idx="4">
                  <c:v>53.946072650435127</c:v>
                </c:pt>
                <c:pt idx="5">
                  <c:v>54.091422688976174</c:v>
                </c:pt>
                <c:pt idx="6">
                  <c:v>54.296533633265874</c:v>
                </c:pt>
                <c:pt idx="7">
                  <c:v>54.124264030904321</c:v>
                </c:pt>
                <c:pt idx="8">
                  <c:v>55.02436086706912</c:v>
                </c:pt>
                <c:pt idx="9">
                  <c:v>56.852017285266378</c:v>
                </c:pt>
                <c:pt idx="10">
                  <c:v>56.149532402503155</c:v>
                </c:pt>
                <c:pt idx="11">
                  <c:v>56.515219239257533</c:v>
                </c:pt>
                <c:pt idx="12">
                  <c:v>56.910196366238196</c:v>
                </c:pt>
                <c:pt idx="13">
                  <c:v>57.379750552566669</c:v>
                </c:pt>
                <c:pt idx="14">
                  <c:v>56.631080187711227</c:v>
                </c:pt>
                <c:pt idx="15">
                  <c:v>54.830544465532341</c:v>
                </c:pt>
                <c:pt idx="16">
                  <c:v>53.776206871370533</c:v>
                </c:pt>
                <c:pt idx="17">
                  <c:v>53.634703487230126</c:v>
                </c:pt>
                <c:pt idx="18">
                  <c:v>53.739984028913113</c:v>
                </c:pt>
                <c:pt idx="19">
                  <c:v>53.513180306310524</c:v>
                </c:pt>
                <c:pt idx="20">
                  <c:v>52.937746266566364</c:v>
                </c:pt>
                <c:pt idx="21">
                  <c:v>52.643763049873002</c:v>
                </c:pt>
                <c:pt idx="22">
                  <c:v>54.543763504431354</c:v>
                </c:pt>
                <c:pt idx="23">
                  <c:v>53.597729342421594</c:v>
                </c:pt>
                <c:pt idx="24">
                  <c:v>53.06955249390596</c:v>
                </c:pt>
              </c:numCache>
            </c:numRef>
          </c:val>
          <c:smooth val="0"/>
          <c:extLst>
            <c:ext xmlns:c16="http://schemas.microsoft.com/office/drawing/2014/chart" uri="{C3380CC4-5D6E-409C-BE32-E72D297353CC}">
              <c16:uniqueId val="{00000001-D0E3-48BB-953B-4BCB90BCF883}"/>
            </c:ext>
          </c:extLst>
        </c:ser>
        <c:ser>
          <c:idx val="3"/>
          <c:order val="2"/>
          <c:tx>
            <c:v>Gross fixed capital formation</c:v>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1"/>
            <c:dispEq val="1"/>
            <c:trendlineLbl>
              <c:layout>
                <c:manualLayout>
                  <c:x val="-6.3309013114571489E-2"/>
                  <c:y val="-7.456807369144721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(Japan)'!$AJ$3:$AJ$27</c:f>
              <c:numCache>
                <c:formatCode>General</c:formatCode>
                <c:ptCount val="25"/>
                <c:pt idx="0">
                  <c:v>29.719754403244199</c:v>
                </c:pt>
                <c:pt idx="1">
                  <c:v>28.980356724435048</c:v>
                </c:pt>
                <c:pt idx="2">
                  <c:v>27.551321322607379</c:v>
                </c:pt>
                <c:pt idx="3">
                  <c:v>26.84197145367191</c:v>
                </c:pt>
                <c:pt idx="4">
                  <c:v>26.36550867219281</c:v>
                </c:pt>
                <c:pt idx="5">
                  <c:v>26.881220398328797</c:v>
                </c:pt>
                <c:pt idx="6">
                  <c:v>27.050091940669596</c:v>
                </c:pt>
                <c:pt idx="7">
                  <c:v>26.457940937372548</c:v>
                </c:pt>
                <c:pt idx="8">
                  <c:v>26.386945740120005</c:v>
                </c:pt>
                <c:pt idx="9">
                  <c:v>24.683991583655697</c:v>
                </c:pt>
                <c:pt idx="10">
                  <c:v>23.56351085075536</c:v>
                </c:pt>
                <c:pt idx="11">
                  <c:v>24.263482206640035</c:v>
                </c:pt>
                <c:pt idx="12">
                  <c:v>24.760777645049608</c:v>
                </c:pt>
                <c:pt idx="13">
                  <c:v>25.5195914592327</c:v>
                </c:pt>
                <c:pt idx="14">
                  <c:v>26.401397459673664</c:v>
                </c:pt>
                <c:pt idx="15">
                  <c:v>26.37270579541444</c:v>
                </c:pt>
                <c:pt idx="16">
                  <c:v>26.128395997917874</c:v>
                </c:pt>
                <c:pt idx="17">
                  <c:v>26.42029377883242</c:v>
                </c:pt>
                <c:pt idx="18">
                  <c:v>26.733420773130621</c:v>
                </c:pt>
                <c:pt idx="19">
                  <c:v>27.177854567202598</c:v>
                </c:pt>
                <c:pt idx="20">
                  <c:v>27.136698609428628</c:v>
                </c:pt>
                <c:pt idx="21">
                  <c:v>27.077884989560104</c:v>
                </c:pt>
                <c:pt idx="22">
                  <c:v>27.834661137294098</c:v>
                </c:pt>
                <c:pt idx="23">
                  <c:v>27.84769647080595</c:v>
                </c:pt>
                <c:pt idx="24">
                  <c:v>27.813618489308229</c:v>
                </c:pt>
              </c:numCache>
            </c:numRef>
          </c:val>
          <c:smooth val="0"/>
          <c:extLst>
            <c:ext xmlns:c16="http://schemas.microsoft.com/office/drawing/2014/chart" uri="{C3380CC4-5D6E-409C-BE32-E72D297353CC}">
              <c16:uniqueId val="{00000002-D0E3-48BB-953B-4BCB90BCF883}"/>
            </c:ext>
          </c:extLst>
        </c:ser>
        <c:ser>
          <c:idx val="4"/>
          <c:order val="3"/>
          <c:tx>
            <c:v>External balance on goods and services</c:v>
          </c:tx>
          <c:spPr>
            <a:ln w="28575" cap="rnd">
              <a:solidFill>
                <a:schemeClr val="accent5"/>
              </a:solidFill>
              <a:round/>
            </a:ln>
            <a:effectLst/>
          </c:spPr>
          <c:marker>
            <c:symbol val="none"/>
          </c:marker>
          <c:trendline>
            <c:spPr>
              <a:ln w="19050" cap="rnd">
                <a:solidFill>
                  <a:schemeClr val="accent5"/>
                </a:solidFill>
                <a:prstDash val="sysDot"/>
              </a:ln>
              <a:effectLst/>
            </c:spPr>
            <c:trendlineType val="linear"/>
            <c:dispRSqr val="1"/>
            <c:dispEq val="1"/>
            <c:trendlineLbl>
              <c:layout>
                <c:manualLayout>
                  <c:x val="-4.0613981033267285E-2"/>
                  <c:y val="-6.689060205982551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(Japan)'!$AK$3:$AK$27</c:f>
              <c:numCache>
                <c:formatCode>General</c:formatCode>
                <c:ptCount val="25"/>
                <c:pt idx="0">
                  <c:v>1.3445840850887789</c:v>
                </c:pt>
                <c:pt idx="1">
                  <c:v>0.58542018264813089</c:v>
                </c:pt>
                <c:pt idx="2">
                  <c:v>1.2449877045208144</c:v>
                </c:pt>
                <c:pt idx="3">
                  <c:v>1.5865735164702106</c:v>
                </c:pt>
                <c:pt idx="4">
                  <c:v>1.8891986126586391</c:v>
                </c:pt>
                <c:pt idx="5">
                  <c:v>1.3877940814149701</c:v>
                </c:pt>
                <c:pt idx="6">
                  <c:v>1.2835250459703347</c:v>
                </c:pt>
                <c:pt idx="7">
                  <c:v>1.7424538320156908</c:v>
                </c:pt>
                <c:pt idx="8">
                  <c:v>0.33636108306018836</c:v>
                </c:pt>
                <c:pt idx="9">
                  <c:v>0.44390669128209076</c:v>
                </c:pt>
                <c:pt idx="10">
                  <c:v>1.3254607170272608</c:v>
                </c:pt>
                <c:pt idx="11">
                  <c:v>-0.64233291162983752</c:v>
                </c:pt>
                <c:pt idx="12">
                  <c:v>-1.6264686310479837</c:v>
                </c:pt>
                <c:pt idx="13">
                  <c:v>-2.3839512835696515</c:v>
                </c:pt>
                <c:pt idx="14">
                  <c:v>-2.5485994733968478</c:v>
                </c:pt>
                <c:pt idx="15">
                  <c:v>-0.54341063139738666</c:v>
                </c:pt>
                <c:pt idx="16">
                  <c:v>0.78851291776939281</c:v>
                </c:pt>
                <c:pt idx="17">
                  <c:v>0.74281699960539282</c:v>
                </c:pt>
                <c:pt idx="18">
                  <c:v>1.8711999486957384E-2</c:v>
                </c:pt>
                <c:pt idx="19">
                  <c:v>-0.28270244369908964</c:v>
                </c:pt>
                <c:pt idx="20">
                  <c:v>-0.26184209196454483</c:v>
                </c:pt>
                <c:pt idx="21">
                  <c:v>-0.50142197413806322</c:v>
                </c:pt>
                <c:pt idx="22">
                  <c:v>-3.5648963259740198</c:v>
                </c:pt>
                <c:pt idx="23">
                  <c:v>-1.4764631115540887</c:v>
                </c:pt>
                <c:pt idx="24">
                  <c:v>-0.89312011806516911</c:v>
                </c:pt>
              </c:numCache>
            </c:numRef>
          </c:val>
          <c:smooth val="0"/>
          <c:extLst>
            <c:ext xmlns:c16="http://schemas.microsoft.com/office/drawing/2014/chart" uri="{C3380CC4-5D6E-409C-BE32-E72D297353CC}">
              <c16:uniqueId val="{00000003-D0E3-48BB-953B-4BCB90BCF883}"/>
            </c:ext>
          </c:extLst>
        </c:ser>
        <c:dLbls>
          <c:showLegendKey val="0"/>
          <c:showVal val="0"/>
          <c:showCatName val="0"/>
          <c:showSerName val="0"/>
          <c:showPercent val="0"/>
          <c:showBubbleSize val="0"/>
        </c:dLbls>
        <c:smooth val="0"/>
        <c:axId val="191494000"/>
        <c:axId val="49027503"/>
      </c:lineChart>
      <c:catAx>
        <c:axId val="19149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manualLayout>
              <c:xMode val="edge"/>
              <c:yMode val="edge"/>
              <c:x val="0.35670632050243117"/>
              <c:y val="0.923522974850304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027503"/>
        <c:crosses val="autoZero"/>
        <c:auto val="0"/>
        <c:lblAlgn val="ctr"/>
        <c:lblOffset val="100"/>
        <c:noMultiLvlLbl val="0"/>
      </c:catAx>
      <c:valAx>
        <c:axId val="49027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t>
                </a:r>
                <a:r>
                  <a:rPr lang="en-US" b="1" baseline="0"/>
                  <a:t> of GDP</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4000"/>
        <c:crosses val="autoZero"/>
        <c:crossBetween val="between"/>
      </c:valAx>
      <c:spPr>
        <a:noFill/>
        <a:ln>
          <a:noFill/>
        </a:ln>
        <a:effectLst/>
      </c:spPr>
    </c:plotArea>
    <c:legend>
      <c:legendPos val="tr"/>
      <c:layout>
        <c:manualLayout>
          <c:xMode val="edge"/>
          <c:yMode val="edge"/>
          <c:x val="0.64397168422454043"/>
          <c:y val="0.13260222648870257"/>
          <c:w val="0.33900704171448159"/>
          <c:h val="0.77285231996263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Chart 3. Trends in Japan's Sectoral Growth (2000–2024)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1"/>
          <c:tx>
            <c:v>Agriculture (Forestry&amp;Fishing) Value Added</c:v>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1"/>
            <c:dispEq val="1"/>
            <c:trendlineLbl>
              <c:layout>
                <c:manualLayout>
                  <c:x val="-4.8597855500620561E-2"/>
                  <c:y val="-3.6040859757395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(Japan)'!$Y$3:$Y$27</c:f>
              <c:numCache>
                <c:formatCode>General</c:formatCode>
                <c:ptCount val="25"/>
                <c:pt idx="0">
                  <c:v>1.3872050303020935</c:v>
                </c:pt>
                <c:pt idx="1">
                  <c:v>1.2672178044852307</c:v>
                </c:pt>
                <c:pt idx="2">
                  <c:v>1.2747966343520587</c:v>
                </c:pt>
                <c:pt idx="3">
                  <c:v>1.2076117506249389</c:v>
                </c:pt>
                <c:pt idx="4">
                  <c:v>1.1538358664365029</c:v>
                </c:pt>
                <c:pt idx="5">
                  <c:v>1.0490984865232611</c:v>
                </c:pt>
                <c:pt idx="6">
                  <c:v>1.0335648190970206</c:v>
                </c:pt>
                <c:pt idx="7">
                  <c:v>1.016653289166465</c:v>
                </c:pt>
                <c:pt idx="8">
                  <c:v>1.0301761264627676</c:v>
                </c:pt>
                <c:pt idx="9">
                  <c:v>1.0747920795687775</c:v>
                </c:pt>
                <c:pt idx="10">
                  <c:v>1.1114016633878256</c:v>
                </c:pt>
                <c:pt idx="11">
                  <c:v>1.1059540010615754</c:v>
                </c:pt>
                <c:pt idx="12">
                  <c:v>1.1366165977841101</c:v>
                </c:pt>
                <c:pt idx="13">
                  <c:v>1.0755931406911587</c:v>
                </c:pt>
                <c:pt idx="14">
                  <c:v>0.99105365309165427</c:v>
                </c:pt>
                <c:pt idx="15">
                  <c:v>1.020320598790198</c:v>
                </c:pt>
                <c:pt idx="16">
                  <c:v>1.1043749435671597</c:v>
                </c:pt>
                <c:pt idx="17">
                  <c:v>1.1081382859185411</c:v>
                </c:pt>
                <c:pt idx="18">
                  <c:v>1.0112561901139148</c:v>
                </c:pt>
                <c:pt idx="19">
                  <c:v>0.9811520045887121</c:v>
                </c:pt>
                <c:pt idx="20">
                  <c:v>1.0045762807305301</c:v>
                </c:pt>
                <c:pt idx="21">
                  <c:v>0.93864938260240094</c:v>
                </c:pt>
                <c:pt idx="22">
                  <c:v>0.84865701967137652</c:v>
                </c:pt>
                <c:pt idx="23">
                  <c:v>0.82534539545771091</c:v>
                </c:pt>
                <c:pt idx="24">
                  <c:v>0.95827039572644446</c:v>
                </c:pt>
              </c:numCache>
            </c:numRef>
          </c:val>
          <c:smooth val="0"/>
          <c:extLst>
            <c:ext xmlns:c16="http://schemas.microsoft.com/office/drawing/2014/chart" uri="{C3380CC4-5D6E-409C-BE32-E72D297353CC}">
              <c16:uniqueId val="{00000001-6637-496B-853D-242921E3336C}"/>
            </c:ext>
          </c:extLst>
        </c:ser>
        <c:ser>
          <c:idx val="1"/>
          <c:order val="2"/>
          <c:tx>
            <c:v>Manufacturing, Value Added </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2.0566847748682577E-2"/>
                  <c:y val="-9.606327587429949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(Japan)'!$V$3:$V$27</c:f>
              <c:numCache>
                <c:formatCode>General</c:formatCode>
                <c:ptCount val="25"/>
                <c:pt idx="0">
                  <c:v>22.176307171139658</c:v>
                </c:pt>
                <c:pt idx="1">
                  <c:v>21.134169111169772</c:v>
                </c:pt>
                <c:pt idx="2">
                  <c:v>20.583488670352683</c:v>
                </c:pt>
                <c:pt idx="3">
                  <c:v>20.728980381047723</c:v>
                </c:pt>
                <c:pt idx="4">
                  <c:v>20.968284664221752</c:v>
                </c:pt>
                <c:pt idx="5">
                  <c:v>21.074752337801637</c:v>
                </c:pt>
                <c:pt idx="6">
                  <c:v>21.149683849890671</c:v>
                </c:pt>
                <c:pt idx="7">
                  <c:v>21.746600214370538</c:v>
                </c:pt>
                <c:pt idx="8">
                  <c:v>21.291356570121913</c:v>
                </c:pt>
                <c:pt idx="9">
                  <c:v>19.056287256311407</c:v>
                </c:pt>
                <c:pt idx="10">
                  <c:v>20.874835045152345</c:v>
                </c:pt>
                <c:pt idx="11">
                  <c:v>19.681527391437957</c:v>
                </c:pt>
                <c:pt idx="12">
                  <c:v>19.732235591996549</c:v>
                </c:pt>
                <c:pt idx="13">
                  <c:v>19.180714612072258</c:v>
                </c:pt>
                <c:pt idx="14">
                  <c:v>19.407775915743496</c:v>
                </c:pt>
                <c:pt idx="15">
                  <c:v>20.074017971941092</c:v>
                </c:pt>
                <c:pt idx="16">
                  <c:v>20.02776765534005</c:v>
                </c:pt>
                <c:pt idx="17">
                  <c:v>20.143934286406935</c:v>
                </c:pt>
                <c:pt idx="18">
                  <c:v>20.330438097982352</c:v>
                </c:pt>
                <c:pt idx="19">
                  <c:v>20.053704021068906</c:v>
                </c:pt>
                <c:pt idx="20">
                  <c:v>19.783624726210054</c:v>
                </c:pt>
                <c:pt idx="21">
                  <c:v>19.676366636400029</c:v>
                </c:pt>
                <c:pt idx="22">
                  <c:v>18.823745436404067</c:v>
                </c:pt>
                <c:pt idx="23">
                  <c:v>19.488290400027271</c:v>
                </c:pt>
                <c:pt idx="24">
                  <c:v>18.81744047074702</c:v>
                </c:pt>
              </c:numCache>
            </c:numRef>
          </c:val>
          <c:smooth val="0"/>
          <c:extLst>
            <c:ext xmlns:c16="http://schemas.microsoft.com/office/drawing/2014/chart" uri="{C3380CC4-5D6E-409C-BE32-E72D297353CC}">
              <c16:uniqueId val="{00000002-6637-496B-853D-242921E3336C}"/>
            </c:ext>
          </c:extLst>
        </c:ser>
        <c:dLbls>
          <c:showLegendKey val="0"/>
          <c:showVal val="0"/>
          <c:showCatName val="0"/>
          <c:showSerName val="0"/>
          <c:showPercent val="0"/>
          <c:showBubbleSize val="0"/>
        </c:dLbls>
        <c:marker val="1"/>
        <c:smooth val="0"/>
        <c:axId val="420145408"/>
        <c:axId val="48992463"/>
      </c:lineChart>
      <c:lineChart>
        <c:grouping val="standard"/>
        <c:varyColors val="0"/>
        <c:ser>
          <c:idx val="0"/>
          <c:order val="0"/>
          <c:tx>
            <c:v>GDP Growth (Annual %)</c:v>
          </c:tx>
          <c:spPr>
            <a:ln w="28575" cap="rnd">
              <a:noFill/>
              <a:round/>
            </a:ln>
            <a:effectLst/>
          </c:spPr>
          <c:marker>
            <c:symbol val="none"/>
          </c:marker>
          <c:trendline>
            <c:spPr>
              <a:ln w="19050" cap="rnd">
                <a:noFill/>
                <a:prstDash val="sysDot"/>
              </a:ln>
              <a:effectLst/>
            </c:spPr>
            <c:trendlineType val="linear"/>
            <c:dispRSqr val="0"/>
            <c:dispEq val="0"/>
          </c:trendline>
          <c:cat>
            <c:numRef>
              <c:f>'Country Assigned (Japan)'!$D$3:$D$27</c:f>
              <c:numCache>
                <c:formatCode>General</c:formatCode>
                <c:ptCount val="25"/>
                <c:pt idx="0">
                  <c:v>2.9783268876851565</c:v>
                </c:pt>
                <c:pt idx="1">
                  <c:v>0.28460855637904103</c:v>
                </c:pt>
                <c:pt idx="2">
                  <c:v>8.4988805036331883E-2</c:v>
                </c:pt>
                <c:pt idx="3">
                  <c:v>1.3801093583079478</c:v>
                </c:pt>
                <c:pt idx="4">
                  <c:v>2.1129482372312651</c:v>
                </c:pt>
                <c:pt idx="5">
                  <c:v>1.8482813374833995</c:v>
                </c:pt>
                <c:pt idx="6">
                  <c:v>1.5463084307874055</c:v>
                </c:pt>
                <c:pt idx="7">
                  <c:v>1.7283791286557744</c:v>
                </c:pt>
                <c:pt idx="8">
                  <c:v>-1.1666220935514104</c:v>
                </c:pt>
                <c:pt idx="9">
                  <c:v>-5.9359411383964016</c:v>
                </c:pt>
                <c:pt idx="10">
                  <c:v>4.1364558922223864</c:v>
                </c:pt>
                <c:pt idx="11">
                  <c:v>-0.20035785332981959</c:v>
                </c:pt>
                <c:pt idx="12">
                  <c:v>1.6489345298122515</c:v>
                </c:pt>
                <c:pt idx="13">
                  <c:v>1.9972765339926468</c:v>
                </c:pt>
                <c:pt idx="14">
                  <c:v>0.90591548606586514</c:v>
                </c:pt>
                <c:pt idx="15">
                  <c:v>1.7999773578347487</c:v>
                </c:pt>
                <c:pt idx="16">
                  <c:v>0.70498649511125677</c:v>
                </c:pt>
                <c:pt idx="17">
                  <c:v>1.6234506224544134</c:v>
                </c:pt>
                <c:pt idx="18">
                  <c:v>0.83414384596558477</c:v>
                </c:pt>
                <c:pt idx="19">
                  <c:v>-0.30849692114325933</c:v>
                </c:pt>
                <c:pt idx="20">
                  <c:v>-4.2832794267557261</c:v>
                </c:pt>
                <c:pt idx="21">
                  <c:v>3.5641953147447509</c:v>
                </c:pt>
                <c:pt idx="22">
                  <c:v>1.3316475065374078</c:v>
                </c:pt>
                <c:pt idx="23">
                  <c:v>0.72078530474981051</c:v>
                </c:pt>
                <c:pt idx="24">
                  <c:v>-0.24008423604169593</c:v>
                </c:pt>
              </c:numCache>
            </c:numRef>
          </c:cat>
          <c:val>
            <c:numRef>
              <c:f>'Country Assigned (Japan)'!$D$3:$D$27</c:f>
              <c:numCache>
                <c:formatCode>General</c:formatCode>
                <c:ptCount val="25"/>
                <c:pt idx="0">
                  <c:v>2.9783268876851565</c:v>
                </c:pt>
                <c:pt idx="1">
                  <c:v>0.28460855637904103</c:v>
                </c:pt>
                <c:pt idx="2">
                  <c:v>8.4988805036331883E-2</c:v>
                </c:pt>
                <c:pt idx="3">
                  <c:v>1.3801093583079478</c:v>
                </c:pt>
                <c:pt idx="4">
                  <c:v>2.1129482372312651</c:v>
                </c:pt>
                <c:pt idx="5">
                  <c:v>1.8482813374833995</c:v>
                </c:pt>
                <c:pt idx="6">
                  <c:v>1.5463084307874055</c:v>
                </c:pt>
                <c:pt idx="7">
                  <c:v>1.7283791286557744</c:v>
                </c:pt>
                <c:pt idx="8">
                  <c:v>-1.1666220935514104</c:v>
                </c:pt>
                <c:pt idx="9">
                  <c:v>-5.9359411383964016</c:v>
                </c:pt>
                <c:pt idx="10">
                  <c:v>4.1364558922223864</c:v>
                </c:pt>
                <c:pt idx="11">
                  <c:v>-0.20035785332981959</c:v>
                </c:pt>
                <c:pt idx="12">
                  <c:v>1.6489345298122515</c:v>
                </c:pt>
                <c:pt idx="13">
                  <c:v>1.9972765339926468</c:v>
                </c:pt>
                <c:pt idx="14">
                  <c:v>0.90591548606586514</c:v>
                </c:pt>
                <c:pt idx="15">
                  <c:v>1.7999773578347487</c:v>
                </c:pt>
                <c:pt idx="16">
                  <c:v>0.70498649511125677</c:v>
                </c:pt>
                <c:pt idx="17">
                  <c:v>1.6234506224544134</c:v>
                </c:pt>
                <c:pt idx="18">
                  <c:v>0.83414384596558477</c:v>
                </c:pt>
                <c:pt idx="19">
                  <c:v>-0.30849692114325933</c:v>
                </c:pt>
                <c:pt idx="20">
                  <c:v>-4.2832794267557261</c:v>
                </c:pt>
                <c:pt idx="21">
                  <c:v>3.5641953147447509</c:v>
                </c:pt>
                <c:pt idx="22">
                  <c:v>1.3316475065374078</c:v>
                </c:pt>
                <c:pt idx="23">
                  <c:v>0.72078530474981051</c:v>
                </c:pt>
                <c:pt idx="24">
                  <c:v>-0.24008423604169593</c:v>
                </c:pt>
              </c:numCache>
            </c:numRef>
          </c:val>
          <c:smooth val="0"/>
          <c:extLst>
            <c:ext xmlns:c16="http://schemas.microsoft.com/office/drawing/2014/chart" uri="{C3380CC4-5D6E-409C-BE32-E72D297353CC}">
              <c16:uniqueId val="{00000003-6637-496B-853D-242921E3336C}"/>
            </c:ext>
          </c:extLst>
        </c:ser>
        <c:dLbls>
          <c:showLegendKey val="0"/>
          <c:showVal val="0"/>
          <c:showCatName val="0"/>
          <c:showSerName val="0"/>
          <c:showPercent val="0"/>
          <c:showBubbleSize val="0"/>
        </c:dLbls>
        <c:marker val="1"/>
        <c:smooth val="0"/>
        <c:axId val="419981616"/>
        <c:axId val="49057743"/>
      </c:lineChart>
      <c:catAx>
        <c:axId val="42014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2463"/>
        <c:crosses val="autoZero"/>
        <c:auto val="1"/>
        <c:lblAlgn val="ctr"/>
        <c:lblOffset val="100"/>
        <c:noMultiLvlLbl val="0"/>
      </c:catAx>
      <c:valAx>
        <c:axId val="4899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 of GDP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45408"/>
        <c:crosses val="autoZero"/>
        <c:crossBetween val="between"/>
      </c:valAx>
      <c:valAx>
        <c:axId val="49057743"/>
        <c:scaling>
          <c:orientation val="minMax"/>
        </c:scaling>
        <c:delete val="0"/>
        <c:axPos val="r"/>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GDP Growth Rate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81616"/>
        <c:crosses val="max"/>
        <c:crossBetween val="between"/>
      </c:valAx>
      <c:catAx>
        <c:axId val="419981616"/>
        <c:scaling>
          <c:orientation val="minMax"/>
        </c:scaling>
        <c:delete val="1"/>
        <c:axPos val="b"/>
        <c:numFmt formatCode="General" sourceLinked="1"/>
        <c:majorTickMark val="out"/>
        <c:minorTickMark val="none"/>
        <c:tickLblPos val="nextTo"/>
        <c:crossAx val="49057743"/>
        <c:crosses val="autoZero"/>
        <c:auto val="1"/>
        <c:lblAlgn val="ctr"/>
        <c:lblOffset val="100"/>
        <c:noMultiLvlLbl val="0"/>
      </c:cat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a:t>
            </a:r>
            <a:r>
              <a:rPr lang="en-US" baseline="0"/>
              <a:t> </a:t>
            </a:r>
            <a:r>
              <a:rPr lang="en-US" sz="1400" b="0" i="0" u="none" strike="noStrike" baseline="0"/>
              <a:t>Relationship Between Manufacturing Value Added and Agricultural Employment in Japan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 Employment in agriculture (% of total employment)</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1364391951006123E-2"/>
                  <c:y val="0.133425925925925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'Country Assigned (Japan)'!$V$3:$V$27</c:f>
              <c:numCache>
                <c:formatCode>General</c:formatCode>
                <c:ptCount val="25"/>
                <c:pt idx="0">
                  <c:v>22.176307171139658</c:v>
                </c:pt>
                <c:pt idx="1">
                  <c:v>21.134169111169772</c:v>
                </c:pt>
                <c:pt idx="2">
                  <c:v>20.583488670352683</c:v>
                </c:pt>
                <c:pt idx="3">
                  <c:v>20.728980381047723</c:v>
                </c:pt>
                <c:pt idx="4">
                  <c:v>20.968284664221752</c:v>
                </c:pt>
                <c:pt idx="5">
                  <c:v>21.074752337801637</c:v>
                </c:pt>
                <c:pt idx="6">
                  <c:v>21.149683849890671</c:v>
                </c:pt>
                <c:pt idx="7">
                  <c:v>21.746600214370538</c:v>
                </c:pt>
                <c:pt idx="8">
                  <c:v>21.291356570121913</c:v>
                </c:pt>
                <c:pt idx="9">
                  <c:v>19.056287256311407</c:v>
                </c:pt>
                <c:pt idx="10">
                  <c:v>20.874835045152345</c:v>
                </c:pt>
                <c:pt idx="11">
                  <c:v>19.681527391437957</c:v>
                </c:pt>
                <c:pt idx="12">
                  <c:v>19.732235591996549</c:v>
                </c:pt>
                <c:pt idx="13">
                  <c:v>19.180714612072258</c:v>
                </c:pt>
                <c:pt idx="14">
                  <c:v>19.407775915743496</c:v>
                </c:pt>
                <c:pt idx="15">
                  <c:v>20.074017971941092</c:v>
                </c:pt>
                <c:pt idx="16">
                  <c:v>20.02776765534005</c:v>
                </c:pt>
                <c:pt idx="17">
                  <c:v>20.143934286406935</c:v>
                </c:pt>
                <c:pt idx="18">
                  <c:v>20.330438097982352</c:v>
                </c:pt>
                <c:pt idx="19">
                  <c:v>20.053704021068906</c:v>
                </c:pt>
                <c:pt idx="20">
                  <c:v>19.783624726210054</c:v>
                </c:pt>
                <c:pt idx="21">
                  <c:v>19.676366636400029</c:v>
                </c:pt>
                <c:pt idx="22">
                  <c:v>18.823745436404067</c:v>
                </c:pt>
                <c:pt idx="23">
                  <c:v>19.488290400027271</c:v>
                </c:pt>
                <c:pt idx="24">
                  <c:v>18.81744047074702</c:v>
                </c:pt>
              </c:numCache>
            </c:numRef>
          </c:xVal>
          <c:yVal>
            <c:numRef>
              <c:f>'Country Assigned (Japan)'!$Z$3:$Z$27</c:f>
              <c:numCache>
                <c:formatCode>General</c:formatCode>
                <c:ptCount val="25"/>
                <c:pt idx="0">
                  <c:v>5.4506411103569103</c:v>
                </c:pt>
                <c:pt idx="1">
                  <c:v>5.2258096594338799</c:v>
                </c:pt>
                <c:pt idx="2">
                  <c:v>4.9902712363516404</c:v>
                </c:pt>
                <c:pt idx="3">
                  <c:v>4.9765918405302099</c:v>
                </c:pt>
                <c:pt idx="4">
                  <c:v>4.9385207330691303</c:v>
                </c:pt>
                <c:pt idx="5">
                  <c:v>4.7663078188352399</c:v>
                </c:pt>
                <c:pt idx="6">
                  <c:v>4.6176054680227896</c:v>
                </c:pt>
                <c:pt idx="7">
                  <c:v>4.5882607780789204</c:v>
                </c:pt>
                <c:pt idx="8">
                  <c:v>4.5758736182003004</c:v>
                </c:pt>
                <c:pt idx="9">
                  <c:v>4.5675950073722298</c:v>
                </c:pt>
                <c:pt idx="10">
                  <c:v>4.4259377078792497</c:v>
                </c:pt>
                <c:pt idx="11">
                  <c:v>4.1566854604195598</c:v>
                </c:pt>
                <c:pt idx="12">
                  <c:v>4.0601899788929403</c:v>
                </c:pt>
                <c:pt idx="13">
                  <c:v>3.8866416737988501</c:v>
                </c:pt>
                <c:pt idx="14">
                  <c:v>3.81313828581695</c:v>
                </c:pt>
                <c:pt idx="15">
                  <c:v>3.7833056923664299</c:v>
                </c:pt>
                <c:pt idx="16">
                  <c:v>3.6604770381459502</c:v>
                </c:pt>
                <c:pt idx="17">
                  <c:v>3.5973366882553401</c:v>
                </c:pt>
                <c:pt idx="18">
                  <c:v>3.5126589666988401</c:v>
                </c:pt>
                <c:pt idx="19">
                  <c:v>3.3754388764429901</c:v>
                </c:pt>
                <c:pt idx="20">
                  <c:v>3.2570569194557102</c:v>
                </c:pt>
                <c:pt idx="21">
                  <c:v>3.1665180734956899</c:v>
                </c:pt>
                <c:pt idx="22">
                  <c:v>3.0950261039242402</c:v>
                </c:pt>
                <c:pt idx="23">
                  <c:v>3.0051346759508801</c:v>
                </c:pt>
                <c:pt idx="24">
                  <c:v>2.8824500761338601</c:v>
                </c:pt>
              </c:numCache>
            </c:numRef>
          </c:yVal>
          <c:smooth val="0"/>
          <c:extLst>
            <c:ext xmlns:c16="http://schemas.microsoft.com/office/drawing/2014/chart" uri="{C3380CC4-5D6E-409C-BE32-E72D297353CC}">
              <c16:uniqueId val="{00000001-0933-4158-A126-D22003924B4A}"/>
            </c:ext>
          </c:extLst>
        </c:ser>
        <c:dLbls>
          <c:showLegendKey val="0"/>
          <c:showVal val="0"/>
          <c:showCatName val="0"/>
          <c:showSerName val="0"/>
          <c:showPercent val="0"/>
          <c:showBubbleSize val="0"/>
        </c:dLbls>
        <c:axId val="420110144"/>
        <c:axId val="49067823"/>
      </c:scatterChart>
      <c:valAx>
        <c:axId val="42011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Manufacturing value added (% of GDP)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7823"/>
        <c:crosses val="autoZero"/>
        <c:crossBetween val="midCat"/>
      </c:valAx>
      <c:valAx>
        <c:axId val="4906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Employment in Agriculture (% of total employment)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10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1 :</a:t>
            </a:r>
            <a:r>
              <a:rPr lang="en-SG" baseline="0"/>
              <a:t> Component od spending in SG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1"/>
          <c:tx>
            <c:strRef>
              <c:f>'[1]spedning _SG'!$B$1</c:f>
              <c:strCache>
                <c:ptCount val="1"/>
                <c:pt idx="0">
                  <c:v>General government final consumption expenditure (% of GDP) [NE.CON.GOVT.ZS]</c:v>
                </c:pt>
              </c:strCache>
            </c:strRef>
          </c:tx>
          <c:spPr>
            <a:solidFill>
              <a:schemeClr val="accent2"/>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extLst>
            <c:ext xmlns:c16="http://schemas.microsoft.com/office/drawing/2014/chart" uri="{C3380CC4-5D6E-409C-BE32-E72D297353CC}">
              <c16:uniqueId val="{00000000-1A1F-4798-95C5-91771F425D4D}"/>
            </c:ext>
          </c:extLst>
        </c:ser>
        <c:ser>
          <c:idx val="2"/>
          <c:order val="2"/>
          <c:tx>
            <c:strRef>
              <c:f>'[1]spedning _SG'!$C$1</c:f>
              <c:strCache>
                <c:ptCount val="1"/>
                <c:pt idx="0">
                  <c:v>Households and NPISHs final consumption expenditure (% of GDP) [NE.CON.PRVT.ZS]</c:v>
                </c:pt>
              </c:strCache>
            </c:strRef>
          </c:tx>
          <c:spPr>
            <a:solidFill>
              <a:schemeClr val="accent3"/>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extLst>
            <c:ext xmlns:c16="http://schemas.microsoft.com/office/drawing/2014/chart" uri="{C3380CC4-5D6E-409C-BE32-E72D297353CC}">
              <c16:uniqueId val="{00000001-1A1F-4798-95C5-91771F425D4D}"/>
            </c:ext>
          </c:extLst>
        </c:ser>
        <c:ser>
          <c:idx val="3"/>
          <c:order val="3"/>
          <c:tx>
            <c:strRef>
              <c:f>'[1]spedning _SG'!$D$1</c:f>
              <c:strCache>
                <c:ptCount val="1"/>
                <c:pt idx="0">
                  <c:v>Gross fixed capital formation (% of GDP) [NE.GDI.FTOT.ZS]</c:v>
                </c:pt>
              </c:strCache>
            </c:strRef>
          </c:tx>
          <c:spPr>
            <a:solidFill>
              <a:schemeClr val="accent4"/>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extLst>
            <c:ext xmlns:c16="http://schemas.microsoft.com/office/drawing/2014/chart" uri="{C3380CC4-5D6E-409C-BE32-E72D297353CC}">
              <c16:uniqueId val="{00000002-1A1F-4798-95C5-91771F425D4D}"/>
            </c:ext>
          </c:extLst>
        </c:ser>
        <c:ser>
          <c:idx val="4"/>
          <c:order val="4"/>
          <c:tx>
            <c:strRef>
              <c:f>'[1]spedning _SG'!$E$1</c:f>
              <c:strCache>
                <c:ptCount val="1"/>
                <c:pt idx="0">
                  <c:v>External balance on goods and services (% of GDP) [NE.RSB.GNFS.ZS]</c:v>
                </c:pt>
              </c:strCache>
            </c:strRef>
          </c:tx>
          <c:spPr>
            <a:solidFill>
              <a:schemeClr val="accent5"/>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extLst>
            <c:ext xmlns:c16="http://schemas.microsoft.com/office/drawing/2014/chart" uri="{C3380CC4-5D6E-409C-BE32-E72D297353CC}">
              <c16:uniqueId val="{00000003-1A1F-4798-95C5-91771F425D4D}"/>
            </c:ext>
          </c:extLst>
        </c:ser>
        <c:dLbls>
          <c:showLegendKey val="0"/>
          <c:showVal val="0"/>
          <c:showCatName val="0"/>
          <c:showSerName val="0"/>
          <c:showPercent val="0"/>
          <c:showBubbleSize val="0"/>
        </c:dLbls>
        <c:gapWidth val="150"/>
        <c:shape val="box"/>
        <c:axId val="1909330031"/>
        <c:axId val="1101060703"/>
        <c:axId val="0"/>
        <c:extLst>
          <c:ext xmlns:c15="http://schemas.microsoft.com/office/drawing/2012/chart" uri="{02D57815-91ED-43cb-92C2-25804820EDAC}">
            <c15:filteredBarSeries>
              <c15:ser>
                <c:idx val="0"/>
                <c:order val="0"/>
                <c:tx>
                  <c:strRef>
                    <c:extLst>
                      <c:ext uri="{02D57815-91ED-43cb-92C2-25804820EDAC}">
                        <c15:formulaRef>
                          <c15:sqref>'[1]spedning _SG'!$A$1</c15:sqref>
                        </c15:formulaRef>
                      </c:ext>
                    </c:extLst>
                    <c:strCache>
                      <c:ptCount val="1"/>
                      <c:pt idx="0">
                        <c:v>Time</c:v>
                      </c:pt>
                    </c:strCache>
                  </c:strRef>
                </c:tx>
                <c:spPr>
                  <a:solidFill>
                    <a:schemeClr val="accent1"/>
                  </a:solidFill>
                  <a:ln>
                    <a:noFill/>
                  </a:ln>
                  <a:effectLst/>
                  <a:sp3d/>
                </c:spPr>
                <c:invertIfNegative val="0"/>
                <c:cat>
                  <c:numRef>
                    <c:extLst>
                      <c:ext uri="{02D57815-91ED-43cb-92C2-25804820EDAC}">
                        <c15:formulaRef>
                          <c15:sqref>'[1]spedning _SG'!$A$3:$A$27</c15:sqref>
                        </c15:formulaRef>
                      </c:ext>
                    </c:extLst>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extLst>
                      <c:ext uri="{02D57815-91ED-43cb-92C2-25804820EDAC}">
                        <c15:formulaRef>
                          <c15:sqref>'[1]spedning _SG'!$A$2:$A$27</c15:sqref>
                        </c15:formulaRef>
                      </c:ext>
                    </c:extLst>
                    <c:numCache>
                      <c:formatCode>General</c:formatCode>
                      <c:ptCount val="26"/>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val>
                <c:extLst>
                  <c:ext xmlns:c16="http://schemas.microsoft.com/office/drawing/2014/chart" uri="{C3380CC4-5D6E-409C-BE32-E72D297353CC}">
                    <c16:uniqueId val="{00000004-1A1F-4798-95C5-91771F425D4D}"/>
                  </c:ext>
                </c:extLst>
              </c15:ser>
            </c15:filteredBarSeries>
          </c:ext>
        </c:extLst>
      </c:bar3DChart>
      <c:catAx>
        <c:axId val="190933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60703"/>
        <c:crosses val="autoZero"/>
        <c:auto val="1"/>
        <c:lblAlgn val="ctr"/>
        <c:lblOffset val="100"/>
        <c:noMultiLvlLbl val="0"/>
      </c:catAx>
      <c:valAx>
        <c:axId val="11010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2</a:t>
            </a:r>
            <a:r>
              <a:rPr lang="en-SG" baseline="0"/>
              <a:t> Components of spending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manualLayout>
          <c:layoutTarget val="inner"/>
          <c:xMode val="edge"/>
          <c:yMode val="edge"/>
          <c:x val="3.2939519078143339E-2"/>
          <c:y val="0.12808744865174593"/>
          <c:w val="0.70543313263399277"/>
          <c:h val="0.76135036707018"/>
        </c:manualLayout>
      </c:layout>
      <c:lineChart>
        <c:grouping val="standard"/>
        <c:varyColors val="0"/>
        <c:ser>
          <c:idx val="0"/>
          <c:order val="0"/>
          <c:tx>
            <c:strRef>
              <c:f>'[1]spedning _SG'!$B$1</c:f>
              <c:strCache>
                <c:ptCount val="1"/>
                <c:pt idx="0">
                  <c:v>General government final consumption expenditure (% of GDP) [NE.CON.GOVT.ZS]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smooth val="0"/>
          <c:extLst>
            <c:ext xmlns:c16="http://schemas.microsoft.com/office/drawing/2014/chart" uri="{C3380CC4-5D6E-409C-BE32-E72D297353CC}">
              <c16:uniqueId val="{00000002-5C02-475E-A0BB-F337821CA6D3}"/>
            </c:ext>
          </c:extLst>
        </c:ser>
        <c:ser>
          <c:idx val="1"/>
          <c:order val="1"/>
          <c:tx>
            <c:strRef>
              <c:f>'[1]spedning _SG'!$C$1</c:f>
              <c:strCache>
                <c:ptCount val="1"/>
                <c:pt idx="0">
                  <c:v>Households and NPISHs final consumption expenditure (% of GDP) [NE.CON.PRVT.ZS]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smooth val="0"/>
          <c:extLst>
            <c:ext xmlns:c16="http://schemas.microsoft.com/office/drawing/2014/chart" uri="{C3380CC4-5D6E-409C-BE32-E72D297353CC}">
              <c16:uniqueId val="{00000005-5C02-475E-A0BB-F337821CA6D3}"/>
            </c:ext>
          </c:extLst>
        </c:ser>
        <c:ser>
          <c:idx val="2"/>
          <c:order val="2"/>
          <c:tx>
            <c:strRef>
              <c:f>'[1]spedning _SG'!$D$1</c:f>
              <c:strCache>
                <c:ptCount val="1"/>
                <c:pt idx="0">
                  <c:v>Gross fixed capital formation (% of GDP) [NE.GDI.FTOT.ZS]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smooth val="0"/>
          <c:extLst>
            <c:ext xmlns:c16="http://schemas.microsoft.com/office/drawing/2014/chart" uri="{C3380CC4-5D6E-409C-BE32-E72D297353CC}">
              <c16:uniqueId val="{00000008-5C02-475E-A0BB-F337821CA6D3}"/>
            </c:ext>
          </c:extLst>
        </c:ser>
        <c:ser>
          <c:idx val="3"/>
          <c:order val="3"/>
          <c:tx>
            <c:strRef>
              <c:f>'[1]spedning _SG'!$E$1</c:f>
              <c:strCache>
                <c:ptCount val="1"/>
                <c:pt idx="0">
                  <c:v>External balance on goods and services (% of GDP) [NE.RSB.GNFS.ZS]</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trendline>
            <c:spPr>
              <a:ln w="19050" cap="rnd">
                <a:solidFill>
                  <a:schemeClr val="accent4"/>
                </a:solidFill>
                <a:prstDash val="sysDot"/>
              </a:ln>
              <a:effectLst/>
            </c:spPr>
            <c:trendlineType val="linear"/>
            <c:dispRSqr val="1"/>
            <c:dispEq val="1"/>
            <c:trendlineLbl>
              <c:layout>
                <c:manualLayout>
                  <c:x val="-1.4053987182176052E-2"/>
                  <c:y val="-8.1718708681451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smooth val="0"/>
          <c:extLst>
            <c:ext xmlns:c16="http://schemas.microsoft.com/office/drawing/2014/chart" uri="{C3380CC4-5D6E-409C-BE32-E72D297353CC}">
              <c16:uniqueId val="{0000000B-5C02-475E-A0BB-F337821CA6D3}"/>
            </c:ext>
          </c:extLst>
        </c:ser>
        <c:dLbls>
          <c:showLegendKey val="0"/>
          <c:showVal val="0"/>
          <c:showCatName val="0"/>
          <c:showSerName val="0"/>
          <c:showPercent val="0"/>
          <c:showBubbleSize val="0"/>
        </c:dLbls>
        <c:smooth val="0"/>
        <c:axId val="1862092607"/>
        <c:axId val="1508785919"/>
      </c:lineChart>
      <c:catAx>
        <c:axId val="18620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5919"/>
        <c:crosses val="autoZero"/>
        <c:auto val="1"/>
        <c:lblAlgn val="ctr"/>
        <c:lblOffset val="100"/>
        <c:noMultiLvlLbl val="0"/>
      </c:catAx>
      <c:valAx>
        <c:axId val="150878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92607"/>
        <c:crosses val="autoZero"/>
        <c:crossBetween val="between"/>
      </c:valAx>
      <c:spPr>
        <a:noFill/>
        <a:ln>
          <a:noFill/>
        </a:ln>
        <a:effectLst/>
      </c:spPr>
    </c:plotArea>
    <c:legend>
      <c:legendPos val="r"/>
      <c:layout>
        <c:manualLayout>
          <c:xMode val="edge"/>
          <c:yMode val="edge"/>
          <c:x val="0.74841119452223026"/>
          <c:y val="9.6617065546241637E-2"/>
          <c:w val="0.24298434021197474"/>
          <c:h val="0.82051928396028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3 Trend</a:t>
            </a:r>
            <a:r>
              <a:rPr lang="en-SG" baseline="0"/>
              <a:t> of sectoral growth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lineChart>
        <c:grouping val="standard"/>
        <c:varyColors val="0"/>
        <c:ser>
          <c:idx val="1"/>
          <c:order val="1"/>
          <c:tx>
            <c:strRef>
              <c:f>'[1]chart 1_sg'!$C$1</c:f>
              <c:strCache>
                <c:ptCount val="1"/>
                <c:pt idx="0">
                  <c:v>Agriculture, forestry, and fishing, value added (% of GDP)</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1_sg'!$C$2:$C$26</c:f>
              <c:numCache>
                <c:formatCode>General</c:formatCode>
                <c:ptCount val="25"/>
                <c:pt idx="0">
                  <c:v>9.2131732680321002E-2</c:v>
                </c:pt>
                <c:pt idx="1">
                  <c:v>8.2356655909540694E-2</c:v>
                </c:pt>
                <c:pt idx="2">
                  <c:v>7.1032800014001363E-2</c:v>
                </c:pt>
                <c:pt idx="3">
                  <c:v>6.1134072311026647E-2</c:v>
                </c:pt>
                <c:pt idx="4">
                  <c:v>5.5648989626246571E-2</c:v>
                </c:pt>
                <c:pt idx="5">
                  <c:v>5.5048114214259862E-2</c:v>
                </c:pt>
                <c:pt idx="6">
                  <c:v>4.8865424451682515E-2</c:v>
                </c:pt>
                <c:pt idx="7">
                  <c:v>4.286799737144735E-2</c:v>
                </c:pt>
                <c:pt idx="8">
                  <c:v>4.1432188466446869E-2</c:v>
                </c:pt>
                <c:pt idx="9">
                  <c:v>4.0687761270138054E-2</c:v>
                </c:pt>
                <c:pt idx="10">
                  <c:v>3.614898888342135E-2</c:v>
                </c:pt>
                <c:pt idx="11">
                  <c:v>3.4607600751235389E-2</c:v>
                </c:pt>
                <c:pt idx="12">
                  <c:v>3.3272726533169004E-2</c:v>
                </c:pt>
                <c:pt idx="13">
                  <c:v>3.4375216793813404E-2</c:v>
                </c:pt>
                <c:pt idx="14">
                  <c:v>3.4540851073536168E-2</c:v>
                </c:pt>
                <c:pt idx="15">
                  <c:v>3.2613513802648333E-2</c:v>
                </c:pt>
                <c:pt idx="16">
                  <c:v>3.1521289438126224E-2</c:v>
                </c:pt>
                <c:pt idx="17">
                  <c:v>3.0763583755226389E-2</c:v>
                </c:pt>
                <c:pt idx="18">
                  <c:v>3.0117148236328394E-2</c:v>
                </c:pt>
                <c:pt idx="19">
                  <c:v>3.2252130199608528E-2</c:v>
                </c:pt>
                <c:pt idx="20">
                  <c:v>3.281725211869508E-2</c:v>
                </c:pt>
                <c:pt idx="21">
                  <c:v>3.0551368665513827E-2</c:v>
                </c:pt>
                <c:pt idx="22">
                  <c:v>2.597731637364643E-2</c:v>
                </c:pt>
                <c:pt idx="23">
                  <c:v>2.8849802007551339E-2</c:v>
                </c:pt>
                <c:pt idx="24">
                  <c:v>2.7439170694473516E-2</c:v>
                </c:pt>
              </c:numCache>
            </c:numRef>
          </c:val>
          <c:smooth val="0"/>
          <c:extLst>
            <c:ext xmlns:c16="http://schemas.microsoft.com/office/drawing/2014/chart" uri="{C3380CC4-5D6E-409C-BE32-E72D297353CC}">
              <c16:uniqueId val="{00000002-D884-457C-98E9-E096E964112D}"/>
            </c:ext>
          </c:extLst>
        </c:ser>
        <c:dLbls>
          <c:showLegendKey val="0"/>
          <c:showVal val="0"/>
          <c:showCatName val="0"/>
          <c:showSerName val="0"/>
          <c:showPercent val="0"/>
          <c:showBubbleSize val="0"/>
        </c:dLbls>
        <c:marker val="1"/>
        <c:smooth val="0"/>
        <c:axId val="1775022287"/>
        <c:axId val="1160156799"/>
      </c:lineChart>
      <c:lineChart>
        <c:grouping val="standard"/>
        <c:varyColors val="0"/>
        <c:ser>
          <c:idx val="0"/>
          <c:order val="0"/>
          <c:tx>
            <c:strRef>
              <c:f>'[1]chart 1_sg'!$B$1</c:f>
              <c:strCache>
                <c:ptCount val="1"/>
                <c:pt idx="0">
                  <c:v>Manufacturing, value added (% of GDP)</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1_sg'!$B$2:$B$26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val>
          <c:smooth val="0"/>
          <c:extLst>
            <c:ext xmlns:c16="http://schemas.microsoft.com/office/drawing/2014/chart" uri="{C3380CC4-5D6E-409C-BE32-E72D297353CC}">
              <c16:uniqueId val="{00000006-D884-457C-98E9-E096E964112D}"/>
            </c:ext>
          </c:extLst>
        </c:ser>
        <c:dLbls>
          <c:showLegendKey val="0"/>
          <c:showVal val="0"/>
          <c:showCatName val="0"/>
          <c:showSerName val="0"/>
          <c:showPercent val="0"/>
          <c:showBubbleSize val="0"/>
        </c:dLbls>
        <c:marker val="1"/>
        <c:smooth val="0"/>
        <c:axId val="1775029247"/>
        <c:axId val="1160150079"/>
      </c:lineChart>
      <c:catAx>
        <c:axId val="177502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56799"/>
        <c:crosses val="autoZero"/>
        <c:auto val="1"/>
        <c:lblAlgn val="ctr"/>
        <c:lblOffset val="100"/>
        <c:noMultiLvlLbl val="0"/>
      </c:catAx>
      <c:valAx>
        <c:axId val="11601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2287"/>
        <c:crosses val="autoZero"/>
        <c:crossBetween val="between"/>
      </c:valAx>
      <c:valAx>
        <c:axId val="1160150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9247"/>
        <c:crosses val="max"/>
        <c:crossBetween val="between"/>
      </c:valAx>
      <c:catAx>
        <c:axId val="1775029247"/>
        <c:scaling>
          <c:orientation val="minMax"/>
        </c:scaling>
        <c:delete val="1"/>
        <c:axPos val="b"/>
        <c:numFmt formatCode="General" sourceLinked="1"/>
        <c:majorTickMark val="out"/>
        <c:minorTickMark val="none"/>
        <c:tickLblPos val="nextTo"/>
        <c:crossAx val="1160150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 : Employment in agriculture (% of total employment) (modeled ILO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97986201137776E-2"/>
          <c:y val="0.25331180345118481"/>
          <c:w val="0.88967037966922158"/>
          <c:h val="0.66879302900972992"/>
        </c:manualLayout>
      </c:layout>
      <c:scatterChart>
        <c:scatterStyle val="lineMarker"/>
        <c:varyColors val="0"/>
        <c:ser>
          <c:idx val="0"/>
          <c:order val="0"/>
          <c:tx>
            <c:strRef>
              <c:f>'[1]chart 2 and 3'!$O$1</c:f>
              <c:strCache>
                <c:ptCount val="1"/>
                <c:pt idx="0">
                  <c:v>Employment in agriculture (% of total employment) (modeled ILO estimate)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9767033169664385E-2"/>
                  <c:y val="0.208472487217053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'[1]chart 2 and 3'!$N$2:$N$26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xVal>
          <c:yVal>
            <c:numRef>
              <c:f>'[1]chart 2 and 3'!$O$2:$O$26</c:f>
              <c:numCache>
                <c:formatCode>General</c:formatCode>
                <c:ptCount val="25"/>
                <c:pt idx="0">
                  <c:v>0.17689908365402099</c:v>
                </c:pt>
                <c:pt idx="1">
                  <c:v>0.173741005150197</c:v>
                </c:pt>
                <c:pt idx="2">
                  <c:v>0.16944763175838501</c:v>
                </c:pt>
                <c:pt idx="3">
                  <c:v>0.16459654177274699</c:v>
                </c:pt>
                <c:pt idx="4">
                  <c:v>0.15970081754349399</c:v>
                </c:pt>
                <c:pt idx="5">
                  <c:v>0.155212233759282</c:v>
                </c:pt>
                <c:pt idx="6">
                  <c:v>0.15069969562712299</c:v>
                </c:pt>
                <c:pt idx="7">
                  <c:v>0.14645508484910399</c:v>
                </c:pt>
                <c:pt idx="8">
                  <c:v>0.14231124802675299</c:v>
                </c:pt>
                <c:pt idx="9">
                  <c:v>0.13906365808080101</c:v>
                </c:pt>
                <c:pt idx="10">
                  <c:v>0.13561924621409599</c:v>
                </c:pt>
                <c:pt idx="11">
                  <c:v>0.13246039834856399</c:v>
                </c:pt>
                <c:pt idx="12">
                  <c:v>0.12955873329242601</c:v>
                </c:pt>
                <c:pt idx="13">
                  <c:v>0.12679854020966699</c:v>
                </c:pt>
                <c:pt idx="14">
                  <c:v>0.124092213197688</c:v>
                </c:pt>
                <c:pt idx="15">
                  <c:v>0.12145966005548101</c:v>
                </c:pt>
                <c:pt idx="16">
                  <c:v>0.11897925916280699</c:v>
                </c:pt>
                <c:pt idx="17">
                  <c:v>0.117077595142899</c:v>
                </c:pt>
                <c:pt idx="18">
                  <c:v>0.115089283007242</c:v>
                </c:pt>
                <c:pt idx="19">
                  <c:v>0.113041897035994</c:v>
                </c:pt>
                <c:pt idx="20">
                  <c:v>0.108162685533748</c:v>
                </c:pt>
                <c:pt idx="21">
                  <c:v>0.107777556138585</c:v>
                </c:pt>
                <c:pt idx="22">
                  <c:v>9.0952445633474793E-2</c:v>
                </c:pt>
                <c:pt idx="23">
                  <c:v>7.9580186024164501E-2</c:v>
                </c:pt>
                <c:pt idx="24">
                  <c:v>9.7983733027354095E-2</c:v>
                </c:pt>
              </c:numCache>
            </c:numRef>
          </c:yVal>
          <c:smooth val="0"/>
          <c:extLst>
            <c:ext xmlns:c16="http://schemas.microsoft.com/office/drawing/2014/chart" uri="{C3380CC4-5D6E-409C-BE32-E72D297353CC}">
              <c16:uniqueId val="{00000002-6B86-4E67-8F72-3099E766A6C5}"/>
            </c:ext>
          </c:extLst>
        </c:ser>
        <c:dLbls>
          <c:showLegendKey val="0"/>
          <c:showVal val="0"/>
          <c:showCatName val="0"/>
          <c:showSerName val="0"/>
          <c:showPercent val="0"/>
          <c:showBubbleSize val="0"/>
        </c:dLbls>
        <c:axId val="1446838415"/>
        <c:axId val="2092640831"/>
      </c:scatterChart>
      <c:valAx>
        <c:axId val="1446838415"/>
        <c:scaling>
          <c:orientation val="minMax"/>
          <c:min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0831"/>
        <c:crosses val="autoZero"/>
        <c:crossBetween val="midCat"/>
      </c:valAx>
      <c:valAx>
        <c:axId val="20926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84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523875</xdr:colOff>
      <xdr:row>1</xdr:row>
      <xdr:rowOff>0</xdr:rowOff>
    </xdr:from>
    <xdr:to>
      <xdr:col>10</xdr:col>
      <xdr:colOff>209551</xdr:colOff>
      <xdr:row>19</xdr:row>
      <xdr:rowOff>152400</xdr:rowOff>
    </xdr:to>
    <xdr:graphicFrame macro="">
      <xdr:nvGraphicFramePr>
        <xdr:cNvPr id="3" name="Chart 2">
          <a:extLst>
            <a:ext uri="{FF2B5EF4-FFF2-40B4-BE49-F238E27FC236}">
              <a16:creationId xmlns:a16="http://schemas.microsoft.com/office/drawing/2014/main" id="{193055E5-0A47-400C-BC74-1B376B14D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9524</xdr:colOff>
      <xdr:row>0</xdr:row>
      <xdr:rowOff>189139</xdr:rowOff>
    </xdr:from>
    <xdr:to>
      <xdr:col>19</xdr:col>
      <xdr:colOff>628650</xdr:colOff>
      <xdr:row>20</xdr:row>
      <xdr:rowOff>27215</xdr:rowOff>
    </xdr:to>
    <xdr:graphicFrame macro="">
      <xdr:nvGraphicFramePr>
        <xdr:cNvPr id="4" name="Chart 3">
          <a:extLst>
            <a:ext uri="{FF2B5EF4-FFF2-40B4-BE49-F238E27FC236}">
              <a16:creationId xmlns:a16="http://schemas.microsoft.com/office/drawing/2014/main" id="{5C516AFF-1BF0-45AC-AF9B-5E87DEE00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530679</xdr:colOff>
      <xdr:row>25</xdr:row>
      <xdr:rowOff>119743</xdr:rowOff>
    </xdr:from>
    <xdr:to>
      <xdr:col>8</xdr:col>
      <xdr:colOff>578304</xdr:colOff>
      <xdr:row>44</xdr:row>
      <xdr:rowOff>24493</xdr:rowOff>
    </xdr:to>
    <xdr:graphicFrame macro="">
      <xdr:nvGraphicFramePr>
        <xdr:cNvPr id="5" name="Chart 4">
          <a:extLst>
            <a:ext uri="{FF2B5EF4-FFF2-40B4-BE49-F238E27FC236}">
              <a16:creationId xmlns:a16="http://schemas.microsoft.com/office/drawing/2014/main" id="{4E7E0D1B-94D9-47AF-87DD-A5162A6E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49787</xdr:colOff>
      <xdr:row>31</xdr:row>
      <xdr:rowOff>19049</xdr:rowOff>
    </xdr:from>
    <xdr:to>
      <xdr:col>17</xdr:col>
      <xdr:colOff>602237</xdr:colOff>
      <xdr:row>47</xdr:row>
      <xdr:rowOff>138111</xdr:rowOff>
    </xdr:to>
    <xdr:graphicFrame macro="">
      <xdr:nvGraphicFramePr>
        <xdr:cNvPr id="6" name="Chart 5">
          <a:extLst>
            <a:ext uri="{FF2B5EF4-FFF2-40B4-BE49-F238E27FC236}">
              <a16:creationId xmlns:a16="http://schemas.microsoft.com/office/drawing/2014/main" id="{2B4AB763-4D50-43C2-87DC-7AD0F6773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504825</xdr:colOff>
      <xdr:row>20</xdr:row>
      <xdr:rowOff>66675</xdr:rowOff>
    </xdr:from>
    <xdr:to>
      <xdr:col>8</xdr:col>
      <xdr:colOff>123825</xdr:colOff>
      <xdr:row>24</xdr:row>
      <xdr:rowOff>171450</xdr:rowOff>
    </xdr:to>
    <xdr:sp macro="" textlink="">
      <xdr:nvSpPr>
        <xdr:cNvPr id="7" name="TextBox 6">
          <a:extLst>
            <a:ext uri="{FF2B5EF4-FFF2-40B4-BE49-F238E27FC236}">
              <a16:creationId xmlns:a16="http://schemas.microsoft.com/office/drawing/2014/main" id="{03950F66-D8BF-8F94-FB52-B4B0B1CB8012}"/>
            </a:ext>
          </a:extLst>
        </xdr:cNvPr>
        <xdr:cNvSpPr txBox="1"/>
      </xdr:nvSpPr>
      <xdr:spPr>
        <a:xfrm>
          <a:off x="504825" y="3876675"/>
          <a:ext cx="571500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1 Analysis:</a:t>
          </a:r>
        </a:p>
        <a:p>
          <a:r>
            <a:rPr lang="en-US" sz="1100" baseline="0"/>
            <a:t>- Japan's economy is primarily driven by </a:t>
          </a:r>
          <a:r>
            <a:rPr lang="en-US" sz="1100" u="sng" baseline="0"/>
            <a:t>domestic household consumption</a:t>
          </a:r>
          <a:r>
            <a:rPr lang="en-US" sz="1100" baseline="0"/>
            <a:t> (green bar). </a:t>
          </a:r>
        </a:p>
        <a:p>
          <a:r>
            <a:rPr lang="en-US" sz="1100" baseline="0"/>
            <a:t>- </a:t>
          </a:r>
          <a:r>
            <a:rPr lang="en-US" sz="1100" u="sng" baseline="0"/>
            <a:t>Government spending</a:t>
          </a:r>
          <a:r>
            <a:rPr lang="en-US" sz="1100" baseline="0"/>
            <a:t> and </a:t>
          </a:r>
          <a:r>
            <a:rPr lang="en-US" sz="1100" u="sng" baseline="0"/>
            <a:t>investment</a:t>
          </a:r>
          <a:r>
            <a:rPr lang="en-US" sz="1100" baseline="0"/>
            <a:t> remains stable throughout the years. (red &amp; purple bar)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Net exports (X - M) </a:t>
          </a:r>
          <a:r>
            <a:rPr lang="en-US" sz="1100" baseline="0">
              <a:solidFill>
                <a:schemeClr val="dk1"/>
              </a:solidFill>
              <a:effectLst/>
              <a:latin typeface="+mn-lt"/>
              <a:ea typeface="+mn-ea"/>
              <a:cs typeface="+mn-cs"/>
            </a:rPr>
            <a:t>(blue bar)</a:t>
          </a:r>
          <a:r>
            <a:rPr lang="en-US" sz="1100" baseline="0"/>
            <a:t> contributes a little only to overall GDP </a:t>
          </a:r>
          <a:endParaRPr lang="en-US" sz="1100"/>
        </a:p>
      </xdr:txBody>
    </xdr:sp>
    <xdr:clientData/>
  </xdr:twoCellAnchor>
  <xdr:twoCellAnchor>
    <xdr:from>
      <xdr:col>11</xdr:col>
      <xdr:colOff>0</xdr:colOff>
      <xdr:row>20</xdr:row>
      <xdr:rowOff>95250</xdr:rowOff>
    </xdr:from>
    <xdr:to>
      <xdr:col>19</xdr:col>
      <xdr:colOff>152400</xdr:colOff>
      <xdr:row>30</xdr:row>
      <xdr:rowOff>0</xdr:rowOff>
    </xdr:to>
    <xdr:sp macro="" textlink="">
      <xdr:nvSpPr>
        <xdr:cNvPr id="9" name="TextBox 8">
          <a:extLst>
            <a:ext uri="{FF2B5EF4-FFF2-40B4-BE49-F238E27FC236}">
              <a16:creationId xmlns:a16="http://schemas.microsoft.com/office/drawing/2014/main" id="{72A8B174-AA7C-42A9-9C40-891975138419}"/>
            </a:ext>
          </a:extLst>
        </xdr:cNvPr>
        <xdr:cNvSpPr txBox="1"/>
      </xdr:nvSpPr>
      <xdr:spPr>
        <a:xfrm>
          <a:off x="8382000" y="3905250"/>
          <a:ext cx="62484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2 Analysis:</a:t>
          </a:r>
        </a:p>
        <a:p>
          <a:r>
            <a:rPr lang="en-US" sz="1100" baseline="0"/>
            <a:t>- </a:t>
          </a:r>
          <a:r>
            <a:rPr lang="en-US" sz="1100" u="sng" baseline="0"/>
            <a:t>Domestic household consumption</a:t>
          </a:r>
          <a:r>
            <a:rPr lang="en-US" sz="1100" baseline="0"/>
            <a:t> (green line) showing downtrend especially from 2014 onwards despite making biggest component of overall GDP possibly undergoing deflation</a:t>
          </a:r>
        </a:p>
        <a:p>
          <a:r>
            <a:rPr lang="en-US" sz="1100" baseline="0"/>
            <a:t>- </a:t>
          </a:r>
          <a:r>
            <a:rPr lang="en-US" sz="1100" u="sng" baseline="0"/>
            <a:t>Government spending</a:t>
          </a:r>
          <a:r>
            <a:rPr lang="en-US" sz="1100" baseline="0"/>
            <a:t> (red </a:t>
          </a:r>
          <a:r>
            <a:rPr lang="en-US" sz="1100" baseline="0">
              <a:solidFill>
                <a:schemeClr val="dk1"/>
              </a:solidFill>
              <a:effectLst/>
              <a:latin typeface="+mn-lt"/>
              <a:ea typeface="+mn-ea"/>
              <a:cs typeface="+mn-cs"/>
            </a:rPr>
            <a:t>line</a:t>
          </a:r>
          <a:r>
            <a:rPr lang="en-US" sz="1100" baseline="0"/>
            <a:t>) is showing uptrend suggesting govt involvement in supporting economic activity such as stimulus package (money printing) </a:t>
          </a:r>
        </a:p>
        <a:p>
          <a:r>
            <a:rPr lang="en-US" sz="1100" u="none" baseline="0"/>
            <a:t>- </a:t>
          </a:r>
          <a:r>
            <a:rPr lang="en-US" sz="1100" u="sng" baseline="0"/>
            <a:t>Investment</a:t>
          </a:r>
          <a:r>
            <a:rPr lang="en-US" sz="1100" baseline="0"/>
            <a:t> </a:t>
          </a:r>
          <a:r>
            <a:rPr lang="en-US" sz="1100" baseline="0">
              <a:solidFill>
                <a:schemeClr val="dk1"/>
              </a:solidFill>
              <a:effectLst/>
              <a:latin typeface="+mn-lt"/>
              <a:ea typeface="+mn-ea"/>
              <a:cs typeface="+mn-cs"/>
            </a:rPr>
            <a:t>(purple line) </a:t>
          </a:r>
          <a:r>
            <a:rPr lang="en-US" sz="1100" baseline="0"/>
            <a:t>remains stable especially from 2010 onwards. Notice the sharp drop in investment from 2008 to 2010 due to global finanical crisis (subprime morgatge/MBS crisis)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Net exports (X - M)</a:t>
          </a:r>
          <a:r>
            <a:rPr lang="en-US" sz="1100" u="none" baseline="0"/>
            <a:t> </a:t>
          </a:r>
          <a:r>
            <a:rPr lang="en-US" sz="1100" baseline="0"/>
            <a:t>(blue </a:t>
          </a:r>
          <a:r>
            <a:rPr lang="en-US" sz="1100" baseline="0">
              <a:solidFill>
                <a:schemeClr val="dk1"/>
              </a:solidFill>
              <a:effectLst/>
              <a:latin typeface="+mn-lt"/>
              <a:ea typeface="+mn-ea"/>
              <a:cs typeface="+mn-cs"/>
            </a:rPr>
            <a:t>line</a:t>
          </a:r>
          <a:r>
            <a:rPr lang="en-US" sz="1100" baseline="0"/>
            <a:t>)</a:t>
          </a:r>
          <a:r>
            <a:rPr lang="en-US" sz="1100" baseline="0">
              <a:solidFill>
                <a:schemeClr val="dk1"/>
              </a:solidFill>
              <a:effectLst/>
              <a:latin typeface="+mn-lt"/>
              <a:ea typeface="+mn-ea"/>
              <a:cs typeface="+mn-cs"/>
            </a:rPr>
            <a:t> is showing downtrend while being the lowest contributor to overall GDP</a:t>
          </a:r>
          <a:endParaRPr lang="en-US" sz="1100"/>
        </a:p>
      </xdr:txBody>
    </xdr:sp>
    <xdr:clientData/>
  </xdr:twoCellAnchor>
  <xdr:twoCellAnchor>
    <xdr:from>
      <xdr:col>0</xdr:col>
      <xdr:colOff>504825</xdr:colOff>
      <xdr:row>44</xdr:row>
      <xdr:rowOff>171451</xdr:rowOff>
    </xdr:from>
    <xdr:to>
      <xdr:col>8</xdr:col>
      <xdr:colOff>123825</xdr:colOff>
      <xdr:row>52</xdr:row>
      <xdr:rowOff>76201</xdr:rowOff>
    </xdr:to>
    <xdr:sp macro="" textlink="">
      <xdr:nvSpPr>
        <xdr:cNvPr id="10" name="TextBox 9">
          <a:extLst>
            <a:ext uri="{FF2B5EF4-FFF2-40B4-BE49-F238E27FC236}">
              <a16:creationId xmlns:a16="http://schemas.microsoft.com/office/drawing/2014/main" id="{A4307744-2616-4D6E-BC24-217211394030}"/>
            </a:ext>
          </a:extLst>
        </xdr:cNvPr>
        <xdr:cNvSpPr txBox="1"/>
      </xdr:nvSpPr>
      <xdr:spPr>
        <a:xfrm>
          <a:off x="504825" y="8553451"/>
          <a:ext cx="571500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3 Analysis: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Manufacturing</a:t>
          </a:r>
          <a:r>
            <a:rPr lang="en-US" sz="1100" u="none" baseline="0"/>
            <a:t> </a:t>
          </a:r>
          <a:r>
            <a:rPr lang="en-US" sz="1100" baseline="0">
              <a:solidFill>
                <a:schemeClr val="dk1"/>
              </a:solidFill>
              <a:effectLst/>
              <a:latin typeface="+mn-lt"/>
              <a:ea typeface="+mn-ea"/>
              <a:cs typeface="+mn-cs"/>
            </a:rPr>
            <a:t>(red line) </a:t>
          </a:r>
          <a:r>
            <a:rPr lang="en-US" sz="1100" u="none" baseline="0"/>
            <a:t>represents about 19-22% of GDP but is showing an overall gradual downtrend. Analysing with GDP growth rate, there were 2 sharp drops in 2008 and 2020 followed by recovery. 2008 was due to subprime mortgage crisis and 2008 was due to covid19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solidFill>
                <a:schemeClr val="dk1"/>
              </a:solidFill>
              <a:effectLst/>
              <a:latin typeface="+mn-lt"/>
              <a:ea typeface="+mn-ea"/>
              <a:cs typeface="+mn-cs"/>
            </a:rPr>
            <a:t>Agriculture (forestry &amp; mining)</a:t>
          </a:r>
          <a:r>
            <a:rPr lang="en-US" sz="1100" u="none" baseline="0">
              <a:solidFill>
                <a:schemeClr val="dk1"/>
              </a:solidFill>
              <a:effectLst/>
              <a:latin typeface="+mn-lt"/>
              <a:ea typeface="+mn-ea"/>
              <a:cs typeface="+mn-cs"/>
            </a:rPr>
            <a:t> (green line</a:t>
          </a:r>
          <a:r>
            <a:rPr lang="en-US" sz="1100" baseline="0"/>
            <a:t>) shows little contrubtion to GDP (&lt;5%) throughout the period</a:t>
          </a:r>
        </a:p>
      </xdr:txBody>
    </xdr:sp>
    <xdr:clientData/>
  </xdr:twoCellAnchor>
  <xdr:twoCellAnchor>
    <xdr:from>
      <xdr:col>11</xdr:col>
      <xdr:colOff>47625</xdr:colOff>
      <xdr:row>48</xdr:row>
      <xdr:rowOff>123826</xdr:rowOff>
    </xdr:from>
    <xdr:to>
      <xdr:col>18</xdr:col>
      <xdr:colOff>428625</xdr:colOff>
      <xdr:row>56</xdr:row>
      <xdr:rowOff>9526</xdr:rowOff>
    </xdr:to>
    <xdr:sp macro="" textlink="">
      <xdr:nvSpPr>
        <xdr:cNvPr id="11" name="TextBox 10">
          <a:extLst>
            <a:ext uri="{FF2B5EF4-FFF2-40B4-BE49-F238E27FC236}">
              <a16:creationId xmlns:a16="http://schemas.microsoft.com/office/drawing/2014/main" id="{D7696807-8849-4606-838B-5C5AC30BD64B}"/>
            </a:ext>
          </a:extLst>
        </xdr:cNvPr>
        <xdr:cNvSpPr txBox="1"/>
      </xdr:nvSpPr>
      <xdr:spPr>
        <a:xfrm>
          <a:off x="8429625" y="9267826"/>
          <a:ext cx="57150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4 Analysis:</a:t>
          </a:r>
        </a:p>
        <a:p>
          <a:r>
            <a:rPr lang="en-US" sz="1100" b="1" baseline="0"/>
            <a:t>- </a:t>
          </a:r>
          <a:r>
            <a:rPr lang="en-US" sz="1100" b="0" baseline="0"/>
            <a:t>Scatterplot to examine whether </a:t>
          </a:r>
          <a:r>
            <a:rPr lang="en-US"/>
            <a:t>manufacturing's contribution to GDP is associated with employment in agriculture</a:t>
          </a:r>
        </a:p>
        <a:p>
          <a:endParaRPr lang="en-US" sz="1100" b="1" baseline="0"/>
        </a:p>
        <a:p>
          <a:r>
            <a:rPr lang="en-US" sz="1100" b="1" baseline="0"/>
            <a:t>- </a:t>
          </a:r>
          <a:r>
            <a:rPr lang="en-US"/>
            <a:t>Trendline has a </a:t>
          </a:r>
          <a:r>
            <a:rPr lang="en-US" u="sng"/>
            <a:t>moderate fit</a:t>
          </a:r>
          <a:r>
            <a:rPr lang="en-US" u="none"/>
            <a:t> </a:t>
          </a:r>
          <a:r>
            <a:rPr lang="en-US"/>
            <a:t>(</a:t>
          </a:r>
          <a:r>
            <a:rPr lang="en-US" b="1"/>
            <a:t>R² ≈ 0.58</a:t>
          </a:r>
          <a:r>
            <a:rPr lang="en-US"/>
            <a:t>), suggesting that years with higher manufacturing value added tend to </a:t>
          </a:r>
          <a:r>
            <a:rPr lang="en-US" u="sng"/>
            <a:t>coincide</a:t>
          </a:r>
          <a:r>
            <a:rPr lang="en-US"/>
            <a:t> with slightly higher agricultural employment. However, </a:t>
          </a:r>
          <a:r>
            <a:rPr lang="en-US" u="sng"/>
            <a:t>correlation does not imply causation</a:t>
          </a:r>
          <a:r>
            <a:rPr lang="en-US"/>
            <a:t>. </a:t>
          </a:r>
          <a:r>
            <a:rPr lang="en-US" u="sng"/>
            <a:t>Other economic and demographic factors may influence both variables</a:t>
          </a:r>
          <a:endParaRPr lang="en-US" sz="1100" u="sng"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614596</xdr:colOff>
      <xdr:row>1</xdr:row>
      <xdr:rowOff>23812</xdr:rowOff>
    </xdr:from>
    <xdr:to>
      <xdr:col>8</xdr:col>
      <xdr:colOff>185738</xdr:colOff>
      <xdr:row>21</xdr:row>
      <xdr:rowOff>128587</xdr:rowOff>
    </xdr:to>
    <xdr:graphicFrame macro="">
      <xdr:nvGraphicFramePr>
        <xdr:cNvPr id="2" name="Chart 1">
          <a:extLst>
            <a:ext uri="{FF2B5EF4-FFF2-40B4-BE49-F238E27FC236}">
              <a16:creationId xmlns:a16="http://schemas.microsoft.com/office/drawing/2014/main" id="{334C884E-3DAC-431D-9588-A9053688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528636</xdr:colOff>
      <xdr:row>1</xdr:row>
      <xdr:rowOff>45515</xdr:rowOff>
    </xdr:from>
    <xdr:to>
      <xdr:col>16</xdr:col>
      <xdr:colOff>157163</xdr:colOff>
      <xdr:row>21</xdr:row>
      <xdr:rowOff>66675</xdr:rowOff>
    </xdr:to>
    <xdr:graphicFrame macro="">
      <xdr:nvGraphicFramePr>
        <xdr:cNvPr id="3" name="Chart 2">
          <a:extLst>
            <a:ext uri="{FF2B5EF4-FFF2-40B4-BE49-F238E27FC236}">
              <a16:creationId xmlns:a16="http://schemas.microsoft.com/office/drawing/2014/main" id="{E45A9739-C47C-4C19-948F-393DA545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10</xdr:col>
      <xdr:colOff>361950</xdr:colOff>
      <xdr:row>42</xdr:row>
      <xdr:rowOff>128586</xdr:rowOff>
    </xdr:to>
    <xdr:graphicFrame macro="">
      <xdr:nvGraphicFramePr>
        <xdr:cNvPr id="4" name="Chart 3">
          <a:extLst>
            <a:ext uri="{FF2B5EF4-FFF2-40B4-BE49-F238E27FC236}">
              <a16:creationId xmlns:a16="http://schemas.microsoft.com/office/drawing/2014/main" id="{529514BD-2571-4A78-8C58-42C176E1F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24</xdr:row>
      <xdr:rowOff>0</xdr:rowOff>
    </xdr:from>
    <xdr:to>
      <xdr:col>19</xdr:col>
      <xdr:colOff>154782</xdr:colOff>
      <xdr:row>40</xdr:row>
      <xdr:rowOff>71439</xdr:rowOff>
    </xdr:to>
    <xdr:graphicFrame macro="">
      <xdr:nvGraphicFramePr>
        <xdr:cNvPr id="5" name="Chart 4">
          <a:extLst>
            <a:ext uri="{FF2B5EF4-FFF2-40B4-BE49-F238E27FC236}">
              <a16:creationId xmlns:a16="http://schemas.microsoft.com/office/drawing/2014/main" id="{3241C420-CF49-426D-8B9D-A4BBF3A6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zlinkconsultingpteltd-my.sharepoint.com/personal/clare_kon_wizlink_biz/Documents/UOW2026/tutorial/tutorial%20assignment%201%20data_clare%20.xlsx" TargetMode="External"/><Relationship Id="rId1" Type="http://schemas.openxmlformats.org/officeDocument/2006/relationships/externalLinkPath" Target="https://wizlinkconsultingpteltd-my.sharepoint.com/personal/clare_kon_wizlink_biz/Documents/UOW2026/tutorial/tutorial%20assignment%201%20data_clare%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bangladesh"/>
      <sheetName val="japan"/>
      <sheetName val="kaza"/>
      <sheetName val="malaysia"/>
      <sheetName val="mauritius"/>
      <sheetName val="pakistan"/>
      <sheetName val="saudi"/>
      <sheetName val="sg"/>
      <sheetName val="sg regression 2"/>
      <sheetName val="Sheet5"/>
      <sheetName val="chart A_sg"/>
      <sheetName val="spedning _SG"/>
      <sheetName val="chart 2 and 3"/>
      <sheetName val="chart 1_sg"/>
      <sheetName val="regression 1_sg "/>
      <sheetName val="regression 3_sg"/>
      <sheetName val="Series - 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Time</v>
          </cell>
          <cell r="B1" t="str">
            <v>General government final consumption expenditure (% of GDP) [NE.CON.GOVT.ZS]</v>
          </cell>
          <cell r="C1" t="str">
            <v>Households and NPISHs final consumption expenditure (% of GDP) [NE.CON.PRVT.ZS]</v>
          </cell>
          <cell r="D1" t="str">
            <v>Gross fixed capital formation (% of GDP) [NE.GDI.FTOT.ZS]</v>
          </cell>
          <cell r="E1" t="str">
            <v>External balance on goods and services (% of GDP) [NE.RSB.GNFS.ZS]</v>
          </cell>
        </row>
        <row r="3">
          <cell r="A3">
            <v>2000</v>
          </cell>
          <cell r="B3">
            <v>10.504164644115525</v>
          </cell>
          <cell r="C3">
            <v>41.855216732958041</v>
          </cell>
          <cell r="D3">
            <v>32.326344362576407</v>
          </cell>
          <cell r="E3">
            <v>12.337260101284532</v>
          </cell>
        </row>
        <row r="4">
          <cell r="A4">
            <v>2001</v>
          </cell>
          <cell r="B4">
            <v>11.609926556509718</v>
          </cell>
          <cell r="C4">
            <v>46.244971582292017</v>
          </cell>
          <cell r="D4">
            <v>30.887040232314138</v>
          </cell>
          <cell r="E4">
            <v>16.496255724564534</v>
          </cell>
        </row>
        <row r="5">
          <cell r="A5">
            <v>2002</v>
          </cell>
          <cell r="B5">
            <v>11.84032888729563</v>
          </cell>
          <cell r="C5">
            <v>46.182484892705467</v>
          </cell>
          <cell r="D5">
            <v>26.751423220905973</v>
          </cell>
          <cell r="E5">
            <v>18.426222147387328</v>
          </cell>
        </row>
        <row r="6">
          <cell r="A6">
            <v>2003</v>
          </cell>
          <cell r="B6">
            <v>11.4140839970397</v>
          </cell>
          <cell r="C6">
            <v>45.535361064297177</v>
          </cell>
          <cell r="D6">
            <v>24.766294434624459</v>
          </cell>
          <cell r="E6">
            <v>27.953848478026121</v>
          </cell>
        </row>
        <row r="7">
          <cell r="A7">
            <v>2004</v>
          </cell>
          <cell r="B7">
            <v>10.318670184588006</v>
          </cell>
          <cell r="C7">
            <v>41.998426193084512</v>
          </cell>
          <cell r="D7">
            <v>24.281423420921346</v>
          </cell>
          <cell r="E7">
            <v>26.379678346782697</v>
          </cell>
        </row>
        <row r="8">
          <cell r="A8">
            <v>2005</v>
          </cell>
          <cell r="B8">
            <v>9.8971432332187881</v>
          </cell>
          <cell r="C8">
            <v>39.847877286424129</v>
          </cell>
          <cell r="D8">
            <v>23.187995656323011</v>
          </cell>
          <cell r="E8">
            <v>29.88882255327351</v>
          </cell>
        </row>
        <row r="9">
          <cell r="A9">
            <v>2006</v>
          </cell>
          <cell r="B9">
            <v>9.9069355027210513</v>
          </cell>
          <cell r="C9">
            <v>38.106096406316425</v>
          </cell>
          <cell r="D9">
            <v>23.086711145212458</v>
          </cell>
          <cell r="E9">
            <v>30.711834579105247</v>
          </cell>
        </row>
        <row r="10">
          <cell r="A10">
            <v>2007</v>
          </cell>
          <cell r="B10">
            <v>9.1361273439883615</v>
          </cell>
          <cell r="C10">
            <v>36.765963470158894</v>
          </cell>
          <cell r="D10">
            <v>24.375682074209674</v>
          </cell>
          <cell r="E10">
            <v>31.270315543664491</v>
          </cell>
        </row>
        <row r="11">
          <cell r="A11">
            <v>2008</v>
          </cell>
          <cell r="B11">
            <v>10.113213911286202</v>
          </cell>
          <cell r="C11">
            <v>39.95092384654248</v>
          </cell>
          <cell r="D11">
            <v>27.978919594541324</v>
          </cell>
          <cell r="E11">
            <v>20.660826979180964</v>
          </cell>
        </row>
        <row r="12">
          <cell r="A12">
            <v>2009</v>
          </cell>
          <cell r="B12">
            <v>9.9299738486408202</v>
          </cell>
          <cell r="C12">
            <v>39.102921622057082</v>
          </cell>
          <cell r="D12">
            <v>28.837459653073982</v>
          </cell>
          <cell r="E12">
            <v>23.497058193413821</v>
          </cell>
        </row>
        <row r="13">
          <cell r="A13">
            <v>2010</v>
          </cell>
          <cell r="B13">
            <v>9.6915683859659953</v>
          </cell>
          <cell r="C13">
            <v>36.337838296581353</v>
          </cell>
          <cell r="D13">
            <v>25.569721215450116</v>
          </cell>
          <cell r="E13">
            <v>26.312365798407917</v>
          </cell>
        </row>
        <row r="14">
          <cell r="A14">
            <v>2011</v>
          </cell>
          <cell r="B14">
            <v>9.2368426370194889</v>
          </cell>
          <cell r="C14">
            <v>36.615610020152666</v>
          </cell>
          <cell r="D14">
            <v>25.264914637905171</v>
          </cell>
          <cell r="E14">
            <v>27.556785921536942</v>
          </cell>
        </row>
        <row r="15">
          <cell r="A15">
            <v>2012</v>
          </cell>
          <cell r="B15">
            <v>8.8578668846884447</v>
          </cell>
          <cell r="C15">
            <v>37.306048070547945</v>
          </cell>
          <cell r="D15">
            <v>26.429988298955582</v>
          </cell>
          <cell r="E15">
            <v>24.226259963852854</v>
          </cell>
        </row>
        <row r="16">
          <cell r="A16">
            <v>2013</v>
          </cell>
          <cell r="B16">
            <v>9.7442177273746502</v>
          </cell>
          <cell r="C16">
            <v>37.333460129295503</v>
          </cell>
          <cell r="D16">
            <v>27.548215593668829</v>
          </cell>
          <cell r="E16">
            <v>23.113812627266899</v>
          </cell>
        </row>
        <row r="17">
          <cell r="A17">
            <v>2014</v>
          </cell>
          <cell r="B17">
            <v>9.6310320219758019</v>
          </cell>
          <cell r="C17">
            <v>37.584381318964205</v>
          </cell>
          <cell r="D17">
            <v>28.128209222306971</v>
          </cell>
          <cell r="E17">
            <v>23.439752408773177</v>
          </cell>
        </row>
        <row r="18">
          <cell r="A18">
            <v>2015</v>
          </cell>
          <cell r="B18">
            <v>10.19090831587924</v>
          </cell>
          <cell r="C18">
            <v>37.158080606153213</v>
          </cell>
          <cell r="D18">
            <v>27.222270897150295</v>
          </cell>
          <cell r="E18">
            <v>27.297818059101541</v>
          </cell>
        </row>
        <row r="19">
          <cell r="A19">
            <v>2016</v>
          </cell>
          <cell r="B19">
            <v>10.200372971650724</v>
          </cell>
          <cell r="C19">
            <v>36.336754045415525</v>
          </cell>
          <cell r="D19">
            <v>25.877029477577924</v>
          </cell>
          <cell r="E19">
            <v>26.253769658413212</v>
          </cell>
        </row>
        <row r="20">
          <cell r="A20">
            <v>2017</v>
          </cell>
          <cell r="B20">
            <v>10.140018759338188</v>
          </cell>
          <cell r="C20">
            <v>35.184722354653985</v>
          </cell>
          <cell r="D20">
            <v>25.115649681750725</v>
          </cell>
          <cell r="E20">
            <v>26.545597667222111</v>
          </cell>
        </row>
        <row r="21">
          <cell r="A21">
            <v>2018</v>
          </cell>
          <cell r="B21">
            <v>9.9398348941138064</v>
          </cell>
          <cell r="C21">
            <v>34.614491407338598</v>
          </cell>
          <cell r="D21">
            <v>22.351805620065026</v>
          </cell>
          <cell r="E21">
            <v>29.700268952184881</v>
          </cell>
        </row>
        <row r="22">
          <cell r="A22">
            <v>2019</v>
          </cell>
          <cell r="B22">
            <v>10.253396494246401</v>
          </cell>
          <cell r="C22">
            <v>35.845393881281687</v>
          </cell>
          <cell r="D22">
            <v>22.799478885505962</v>
          </cell>
          <cell r="E22">
            <v>29.367995967723893</v>
          </cell>
        </row>
        <row r="23">
          <cell r="A23">
            <v>2020</v>
          </cell>
          <cell r="B23">
            <v>12.190147791383446</v>
          </cell>
          <cell r="C23">
            <v>32.147432325908682</v>
          </cell>
          <cell r="D23">
            <v>20.999459350147131</v>
          </cell>
          <cell r="E23">
            <v>31.279400415186071</v>
          </cell>
        </row>
        <row r="24">
          <cell r="A24">
            <v>2021</v>
          </cell>
          <cell r="B24">
            <v>10.532697743092175</v>
          </cell>
          <cell r="C24">
            <v>28.780240455600087</v>
          </cell>
          <cell r="D24">
            <v>22.078228221894115</v>
          </cell>
          <cell r="E24">
            <v>35.785344863952751</v>
          </cell>
        </row>
        <row r="25">
          <cell r="A25">
            <v>2022</v>
          </cell>
          <cell r="B25">
            <v>9.1289494952629333</v>
          </cell>
          <cell r="C25">
            <v>28.099108159151914</v>
          </cell>
          <cell r="D25">
            <v>20.338964403941983</v>
          </cell>
          <cell r="E25">
            <v>39.774395154749833</v>
          </cell>
        </row>
        <row r="26">
          <cell r="A26">
            <v>2023</v>
          </cell>
          <cell r="B26">
            <v>9.8421032695316715</v>
          </cell>
          <cell r="C26">
            <v>31.513116296958909</v>
          </cell>
          <cell r="D26">
            <v>21.87302410554809</v>
          </cell>
          <cell r="E26">
            <v>37.158805824026295</v>
          </cell>
        </row>
        <row r="27">
          <cell r="A27">
            <v>2024</v>
          </cell>
          <cell r="B27">
            <v>10.05318763287927</v>
          </cell>
          <cell r="C27">
            <v>30.684280484260235</v>
          </cell>
          <cell r="D27">
            <v>21.037456033494557</v>
          </cell>
          <cell r="E27">
            <v>36.012331849548822</v>
          </cell>
        </row>
      </sheetData>
      <sheetData sheetId="13">
        <row r="1">
          <cell r="O1" t="str">
            <v>Employment in agriculture (% of total employment) (modeled ILO estimate)</v>
          </cell>
        </row>
        <row r="2">
          <cell r="N2">
            <v>25.861486037755899</v>
          </cell>
          <cell r="O2">
            <v>0.17689908365402099</v>
          </cell>
        </row>
        <row r="3">
          <cell r="N3">
            <v>23.394697847414562</v>
          </cell>
          <cell r="O3">
            <v>0.173741005150197</v>
          </cell>
        </row>
        <row r="4">
          <cell r="N4">
            <v>24.737640322972926</v>
          </cell>
          <cell r="O4">
            <v>0.16944763175838501</v>
          </cell>
        </row>
        <row r="5">
          <cell r="N5">
            <v>24.765412693196893</v>
          </cell>
          <cell r="O5">
            <v>0.16459654177274699</v>
          </cell>
        </row>
        <row r="6">
          <cell r="N6">
            <v>27.119367597064286</v>
          </cell>
          <cell r="O6">
            <v>0.15970081754349399</v>
          </cell>
        </row>
        <row r="7">
          <cell r="N7">
            <v>27.076761798207059</v>
          </cell>
          <cell r="O7">
            <v>0.155212233759282</v>
          </cell>
        </row>
        <row r="8">
          <cell r="N8">
            <v>26.578005985802772</v>
          </cell>
          <cell r="O8">
            <v>0.15069969562712299</v>
          </cell>
        </row>
        <row r="9">
          <cell r="N9">
            <v>23.822651904527213</v>
          </cell>
          <cell r="O9">
            <v>0.14645508484910399</v>
          </cell>
        </row>
        <row r="10">
          <cell r="N10">
            <v>20.585664973848445</v>
          </cell>
          <cell r="O10">
            <v>0.14231124802675299</v>
          </cell>
        </row>
        <row r="11">
          <cell r="N11">
            <v>20.273376429073512</v>
          </cell>
          <cell r="O11">
            <v>0.13906365808080101</v>
          </cell>
        </row>
        <row r="12">
          <cell r="N12">
            <v>20.773833025312548</v>
          </cell>
          <cell r="O12">
            <v>0.13561924621409599</v>
          </cell>
        </row>
        <row r="13">
          <cell r="N13">
            <v>19.582551507977822</v>
          </cell>
          <cell r="O13">
            <v>0.13246039834856399</v>
          </cell>
        </row>
        <row r="14">
          <cell r="N14">
            <v>19.116821980066192</v>
          </cell>
          <cell r="O14">
            <v>0.12955873329242601</v>
          </cell>
        </row>
        <row r="15">
          <cell r="N15">
            <v>17.638409614875453</v>
          </cell>
          <cell r="O15">
            <v>0.12679854020966699</v>
          </cell>
        </row>
        <row r="16">
          <cell r="N16">
            <v>17.999768892128522</v>
          </cell>
          <cell r="O16">
            <v>0.124092213197688</v>
          </cell>
        </row>
        <row r="17">
          <cell r="N17">
            <v>18.089329854873405</v>
          </cell>
          <cell r="O17">
            <v>0.12145966005548101</v>
          </cell>
        </row>
        <row r="18">
          <cell r="N18">
            <v>17.441961312599027</v>
          </cell>
          <cell r="O18">
            <v>0.11897925916280699</v>
          </cell>
        </row>
        <row r="19">
          <cell r="N19">
            <v>18.545847537786003</v>
          </cell>
          <cell r="O19">
            <v>0.117077595142899</v>
          </cell>
        </row>
        <row r="20">
          <cell r="N20">
            <v>20.717845766781217</v>
          </cell>
          <cell r="O20">
            <v>0.115089283007242</v>
          </cell>
        </row>
        <row r="21">
          <cell r="N21">
            <v>19.40403130191034</v>
          </cell>
          <cell r="O21">
            <v>0.113041897035994</v>
          </cell>
        </row>
        <row r="22">
          <cell r="N22">
            <v>19.653984525036179</v>
          </cell>
          <cell r="O22">
            <v>0.108162685533748</v>
          </cell>
        </row>
        <row r="23">
          <cell r="N23">
            <v>20.633068003561824</v>
          </cell>
          <cell r="O23">
            <v>0.107777556138585</v>
          </cell>
        </row>
        <row r="24">
          <cell r="N24">
            <v>19.655537649937781</v>
          </cell>
          <cell r="O24">
            <v>9.0952445633474793E-2</v>
          </cell>
        </row>
        <row r="25">
          <cell r="N25">
            <v>16.975559443779353</v>
          </cell>
          <cell r="O25">
            <v>7.9580186024164501E-2</v>
          </cell>
        </row>
        <row r="26">
          <cell r="N26">
            <v>16.332704934853503</v>
          </cell>
          <cell r="O26">
            <v>9.7983733027354095E-2</v>
          </cell>
        </row>
      </sheetData>
      <sheetData sheetId="14">
        <row r="1">
          <cell r="B1" t="str">
            <v>Manufacturing, value added (% of GDP)</v>
          </cell>
          <cell r="C1" t="str">
            <v>Agriculture, forestry, and fishing, value added (% of GDP)</v>
          </cell>
        </row>
        <row r="2">
          <cell r="A2">
            <v>2000</v>
          </cell>
          <cell r="B2">
            <v>25.861486037755899</v>
          </cell>
          <cell r="C2">
            <v>9.2131732680321002E-2</v>
          </cell>
        </row>
        <row r="3">
          <cell r="A3">
            <v>2001</v>
          </cell>
          <cell r="B3">
            <v>23.394697847414562</v>
          </cell>
          <cell r="C3">
            <v>8.2356655909540694E-2</v>
          </cell>
        </row>
        <row r="4">
          <cell r="A4">
            <v>2002</v>
          </cell>
          <cell r="B4">
            <v>24.737640322972926</v>
          </cell>
          <cell r="C4">
            <v>7.1032800014001363E-2</v>
          </cell>
        </row>
        <row r="5">
          <cell r="A5">
            <v>2003</v>
          </cell>
          <cell r="B5">
            <v>24.765412693196893</v>
          </cell>
          <cell r="C5">
            <v>6.1134072311026647E-2</v>
          </cell>
        </row>
        <row r="6">
          <cell r="A6">
            <v>2004</v>
          </cell>
          <cell r="B6">
            <v>27.119367597064286</v>
          </cell>
          <cell r="C6">
            <v>5.5648989626246571E-2</v>
          </cell>
        </row>
        <row r="7">
          <cell r="A7">
            <v>2005</v>
          </cell>
          <cell r="B7">
            <v>27.076761798207059</v>
          </cell>
          <cell r="C7">
            <v>5.5048114214259862E-2</v>
          </cell>
        </row>
        <row r="8">
          <cell r="A8">
            <v>2006</v>
          </cell>
          <cell r="B8">
            <v>26.578005985802772</v>
          </cell>
          <cell r="C8">
            <v>4.8865424451682515E-2</v>
          </cell>
        </row>
        <row r="9">
          <cell r="A9">
            <v>2007</v>
          </cell>
          <cell r="B9">
            <v>23.822651904527213</v>
          </cell>
          <cell r="C9">
            <v>4.286799737144735E-2</v>
          </cell>
        </row>
        <row r="10">
          <cell r="A10">
            <v>2008</v>
          </cell>
          <cell r="B10">
            <v>20.585664973848445</v>
          </cell>
          <cell r="C10">
            <v>4.1432188466446869E-2</v>
          </cell>
        </row>
        <row r="11">
          <cell r="A11">
            <v>2009</v>
          </cell>
          <cell r="B11">
            <v>20.273376429073512</v>
          </cell>
          <cell r="C11">
            <v>4.0687761270138054E-2</v>
          </cell>
        </row>
        <row r="12">
          <cell r="A12">
            <v>2010</v>
          </cell>
          <cell r="B12">
            <v>20.773833025312548</v>
          </cell>
          <cell r="C12">
            <v>3.614898888342135E-2</v>
          </cell>
        </row>
        <row r="13">
          <cell r="A13">
            <v>2011</v>
          </cell>
          <cell r="B13">
            <v>19.582551507977822</v>
          </cell>
          <cell r="C13">
            <v>3.4607600751235389E-2</v>
          </cell>
        </row>
        <row r="14">
          <cell r="A14">
            <v>2012</v>
          </cell>
          <cell r="B14">
            <v>19.116821980066192</v>
          </cell>
          <cell r="C14">
            <v>3.3272726533169004E-2</v>
          </cell>
        </row>
        <row r="15">
          <cell r="A15">
            <v>2013</v>
          </cell>
          <cell r="B15">
            <v>17.638409614875453</v>
          </cell>
          <cell r="C15">
            <v>3.4375216793813404E-2</v>
          </cell>
        </row>
        <row r="16">
          <cell r="A16">
            <v>2014</v>
          </cell>
          <cell r="B16">
            <v>17.999768892128522</v>
          </cell>
          <cell r="C16">
            <v>3.4540851073536168E-2</v>
          </cell>
        </row>
        <row r="17">
          <cell r="A17">
            <v>2015</v>
          </cell>
          <cell r="B17">
            <v>18.089329854873405</v>
          </cell>
          <cell r="C17">
            <v>3.2613513802648333E-2</v>
          </cell>
        </row>
        <row r="18">
          <cell r="A18">
            <v>2016</v>
          </cell>
          <cell r="B18">
            <v>17.441961312599027</v>
          </cell>
          <cell r="C18">
            <v>3.1521289438126224E-2</v>
          </cell>
        </row>
        <row r="19">
          <cell r="A19">
            <v>2017</v>
          </cell>
          <cell r="B19">
            <v>18.545847537786003</v>
          </cell>
          <cell r="C19">
            <v>3.0763583755226389E-2</v>
          </cell>
        </row>
        <row r="20">
          <cell r="A20">
            <v>2018</v>
          </cell>
          <cell r="B20">
            <v>20.717845766781217</v>
          </cell>
          <cell r="C20">
            <v>3.0117148236328394E-2</v>
          </cell>
        </row>
        <row r="21">
          <cell r="A21">
            <v>2019</v>
          </cell>
          <cell r="B21">
            <v>19.40403130191034</v>
          </cell>
          <cell r="C21">
            <v>3.2252130199608528E-2</v>
          </cell>
        </row>
        <row r="22">
          <cell r="A22">
            <v>2020</v>
          </cell>
          <cell r="B22">
            <v>19.653984525036179</v>
          </cell>
          <cell r="C22">
            <v>3.281725211869508E-2</v>
          </cell>
        </row>
        <row r="23">
          <cell r="A23">
            <v>2021</v>
          </cell>
          <cell r="B23">
            <v>20.633068003561824</v>
          </cell>
          <cell r="C23">
            <v>3.0551368665513827E-2</v>
          </cell>
        </row>
        <row r="24">
          <cell r="A24">
            <v>2022</v>
          </cell>
          <cell r="B24">
            <v>19.655537649937781</v>
          </cell>
          <cell r="C24">
            <v>2.597731637364643E-2</v>
          </cell>
        </row>
        <row r="25">
          <cell r="A25">
            <v>2023</v>
          </cell>
          <cell r="B25">
            <v>16.975559443779353</v>
          </cell>
          <cell r="C25">
            <v>2.8849802007551339E-2</v>
          </cell>
        </row>
        <row r="26">
          <cell r="A26">
            <v>2024</v>
          </cell>
          <cell r="B26">
            <v>16.332704934853503</v>
          </cell>
          <cell r="C26">
            <v>2.7439170694473516E-2</v>
          </cell>
        </row>
      </sheetData>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workbookViewId="0">
      <selection activeCell="G69" sqref="G69"/>
    </sheetView>
  </sheetViews>
  <sheetFormatPr defaultColWidth="8.85546875" defaultRowHeight="15" x14ac:dyDescent="0.25"/>
  <sheetData>
    <row r="1" spans="1:21" s="2" customFormat="1" ht="151.5" customHeight="1" x14ac:dyDescent="0.25">
      <c r="A1" s="2" t="s">
        <v>28</v>
      </c>
      <c r="B1" s="2" t="s">
        <v>74</v>
      </c>
      <c r="C1" s="2" t="s">
        <v>43</v>
      </c>
      <c r="D1" s="2" t="s">
        <v>29</v>
      </c>
      <c r="E1" s="2" t="s">
        <v>80</v>
      </c>
      <c r="F1" s="2" t="s">
        <v>40</v>
      </c>
      <c r="G1" s="2" t="s">
        <v>73</v>
      </c>
      <c r="H1" s="2" t="s">
        <v>63</v>
      </c>
      <c r="I1" s="2" t="s">
        <v>175</v>
      </c>
      <c r="J1" s="2" t="s">
        <v>39</v>
      </c>
      <c r="K1" s="2" t="s">
        <v>71</v>
      </c>
      <c r="L1" s="2" t="s">
        <v>103</v>
      </c>
      <c r="M1" s="2" t="s">
        <v>38</v>
      </c>
      <c r="N1" s="2" t="s">
        <v>81</v>
      </c>
      <c r="O1" s="2" t="s">
        <v>11</v>
      </c>
      <c r="P1" s="2" t="s">
        <v>84</v>
      </c>
      <c r="Q1" s="2" t="s">
        <v>140</v>
      </c>
      <c r="R1" s="2" t="s">
        <v>161</v>
      </c>
      <c r="S1" s="2" t="s">
        <v>162</v>
      </c>
      <c r="T1" s="2" t="s">
        <v>163</v>
      </c>
      <c r="U1" s="2" t="s">
        <v>164</v>
      </c>
    </row>
    <row r="2" spans="1:21" x14ac:dyDescent="0.25">
      <c r="A2" t="s">
        <v>227</v>
      </c>
      <c r="B2">
        <v>2000</v>
      </c>
      <c r="C2">
        <v>148271359064.94806</v>
      </c>
      <c r="D2">
        <v>8.8588681696938636</v>
      </c>
      <c r="E2">
        <v>36467072257.696457</v>
      </c>
      <c r="F2">
        <v>26.419483854516727</v>
      </c>
      <c r="G2">
        <v>9003136</v>
      </c>
      <c r="H2">
        <v>3</v>
      </c>
      <c r="I2" s="53">
        <v>11.397970000000001</v>
      </c>
      <c r="J2">
        <v>30.863549765573051</v>
      </c>
      <c r="K2">
        <v>18.312487781515657</v>
      </c>
      <c r="L2">
        <v>37219024123.452751</v>
      </c>
      <c r="M2">
        <v>8.5990218882663054</v>
      </c>
      <c r="N2">
        <v>15.269205079727</v>
      </c>
      <c r="O2">
        <v>33.435138873986901</v>
      </c>
      <c r="P2">
        <v>51.295678947952403</v>
      </c>
      <c r="Q2">
        <v>12.5675399788113</v>
      </c>
      <c r="R2">
        <v>10.165235226612721</v>
      </c>
      <c r="S2">
        <v>43.754366570239696</v>
      </c>
      <c r="T2">
        <v>25.292016576833397</v>
      </c>
      <c r="U2">
        <v>19.212628471861752</v>
      </c>
    </row>
    <row r="3" spans="1:21" x14ac:dyDescent="0.25">
      <c r="A3" t="s">
        <v>227</v>
      </c>
      <c r="B3">
        <v>2001</v>
      </c>
      <c r="C3">
        <v>149038923296.25912</v>
      </c>
      <c r="D3">
        <v>0.51767531919286114</v>
      </c>
      <c r="E3">
        <v>35715002865.194511</v>
      </c>
      <c r="F3">
        <v>-2.0623245737617992</v>
      </c>
      <c r="G3">
        <v>9319049</v>
      </c>
      <c r="H3">
        <v>3.53</v>
      </c>
      <c r="I3" s="53" t="s">
        <v>169</v>
      </c>
      <c r="J3">
        <v>29.336404039945656</v>
      </c>
      <c r="K3">
        <v>-4.2700775739182291</v>
      </c>
      <c r="L3">
        <v>35629742921.125977</v>
      </c>
      <c r="M3">
        <v>8.0109705909881193</v>
      </c>
      <c r="N3">
        <v>15.131823662631099</v>
      </c>
      <c r="O3">
        <v>33.107483392732398</v>
      </c>
      <c r="P3">
        <v>51.760692944636503</v>
      </c>
      <c r="Q3">
        <v>10.666951361764999</v>
      </c>
      <c r="R3">
        <v>12.039287649009159</v>
      </c>
      <c r="S3">
        <v>46.122429299532868</v>
      </c>
      <c r="T3">
        <v>25.123447511054259</v>
      </c>
      <c r="U3">
        <v>17.440346702441158</v>
      </c>
    </row>
    <row r="4" spans="1:21" x14ac:dyDescent="0.25">
      <c r="A4" t="s">
        <v>227</v>
      </c>
      <c r="B4">
        <v>2002</v>
      </c>
      <c r="C4">
        <v>157073594223.93179</v>
      </c>
      <c r="D4">
        <v>5.3909883069279658</v>
      </c>
      <c r="E4">
        <v>35921326367.419838</v>
      </c>
      <c r="F4">
        <v>0.57769420600102706</v>
      </c>
      <c r="G4">
        <v>9642825</v>
      </c>
      <c r="H4">
        <v>3.48</v>
      </c>
      <c r="I4" s="53" t="s">
        <v>169</v>
      </c>
      <c r="J4">
        <v>29.246398217179483</v>
      </c>
      <c r="K4">
        <v>4.1205686708043032</v>
      </c>
      <c r="L4">
        <v>37097890945.422005</v>
      </c>
      <c r="M4">
        <v>8.9850814038145899</v>
      </c>
      <c r="N4">
        <v>14.9274836627922</v>
      </c>
      <c r="O4">
        <v>31.983268584748998</v>
      </c>
      <c r="P4">
        <v>53.089237008183503</v>
      </c>
      <c r="Q4">
        <v>9.8154867153878094</v>
      </c>
      <c r="R4">
        <v>12.957806754990045</v>
      </c>
      <c r="S4">
        <v>45.010216250492547</v>
      </c>
      <c r="T4">
        <v>23.484328558791066</v>
      </c>
      <c r="U4">
        <v>17.254372894447737</v>
      </c>
    </row>
    <row r="5" spans="1:21" x14ac:dyDescent="0.25">
      <c r="A5" t="s">
        <v>227</v>
      </c>
      <c r="B5">
        <v>2003</v>
      </c>
      <c r="C5">
        <v>166165798103.90192</v>
      </c>
      <c r="D5">
        <v>5.7884992858874966</v>
      </c>
      <c r="E5">
        <v>36942829972.341522</v>
      </c>
      <c r="F5">
        <v>2.8437246288549431</v>
      </c>
      <c r="G5">
        <v>9976922</v>
      </c>
      <c r="H5">
        <v>3.61</v>
      </c>
      <c r="I5" s="53" t="s">
        <v>169</v>
      </c>
      <c r="J5">
        <v>29.928671893096194</v>
      </c>
      <c r="K5">
        <v>9.1636263856066336</v>
      </c>
      <c r="L5">
        <v>40497403068.600281</v>
      </c>
      <c r="M5">
        <v>9.3060852164319705</v>
      </c>
      <c r="N5">
        <v>14.267769461295799</v>
      </c>
      <c r="O5">
        <v>32.022932831987397</v>
      </c>
      <c r="P5">
        <v>53.709297706716796</v>
      </c>
      <c r="Q5">
        <v>12.1560364817758</v>
      </c>
      <c r="R5">
        <v>12.968008615728479</v>
      </c>
      <c r="S5">
        <v>44.576843080552763</v>
      </c>
      <c r="T5">
        <v>22.414266576561303</v>
      </c>
      <c r="U5">
        <v>19.691763239399286</v>
      </c>
    </row>
    <row r="6" spans="1:21" x14ac:dyDescent="0.25">
      <c r="A6" t="s">
        <v>227</v>
      </c>
      <c r="B6">
        <v>2004</v>
      </c>
      <c r="C6">
        <v>177437551536.37424</v>
      </c>
      <c r="D6">
        <v>6.7834377237030452</v>
      </c>
      <c r="E6">
        <v>38255613860.884178</v>
      </c>
      <c r="F6">
        <v>3.5535552894175026</v>
      </c>
      <c r="G6">
        <v>10324666</v>
      </c>
      <c r="H6">
        <v>3.54</v>
      </c>
      <c r="I6" s="53" t="s">
        <v>169</v>
      </c>
      <c r="J6">
        <v>30.378147360604835</v>
      </c>
      <c r="K6">
        <v>9.5582644636571956</v>
      </c>
      <c r="L6">
        <v>44368251954.810318</v>
      </c>
      <c r="M6">
        <v>9.2710020926150936</v>
      </c>
      <c r="N6">
        <v>14.5558364714209</v>
      </c>
      <c r="O6">
        <v>30.125751436551798</v>
      </c>
      <c r="P6">
        <v>55.318402050950198</v>
      </c>
      <c r="Q6">
        <v>11.9873010934205</v>
      </c>
      <c r="R6">
        <v>12.579949709734034</v>
      </c>
      <c r="S6">
        <v>43.99786519508573</v>
      </c>
      <c r="T6">
        <v>20.95484001620089</v>
      </c>
      <c r="U6">
        <v>20.372409545024979</v>
      </c>
    </row>
    <row r="7" spans="1:21" x14ac:dyDescent="0.25">
      <c r="A7" t="s">
        <v>227</v>
      </c>
      <c r="B7">
        <v>2005</v>
      </c>
      <c r="C7">
        <v>186898768708.90091</v>
      </c>
      <c r="D7">
        <v>5.3321391614148581</v>
      </c>
      <c r="E7">
        <v>40158975970.773483</v>
      </c>
      <c r="F7">
        <v>4.9753798666277902</v>
      </c>
      <c r="G7">
        <v>10688442</v>
      </c>
      <c r="H7">
        <v>3.53</v>
      </c>
      <c r="I7" s="53">
        <v>5.11517</v>
      </c>
      <c r="J7">
        <v>27.54968008271122</v>
      </c>
      <c r="K7">
        <v>5.1957262372533961</v>
      </c>
      <c r="L7">
        <v>46673504862.637093</v>
      </c>
      <c r="M7">
        <v>8.2622917042264401</v>
      </c>
      <c r="N7">
        <v>14.637553282447</v>
      </c>
      <c r="O7">
        <v>29.729035384044799</v>
      </c>
      <c r="P7">
        <v>55.633421031805803</v>
      </c>
      <c r="Q7">
        <v>13.884276518626001</v>
      </c>
      <c r="R7">
        <v>11.473606363760123</v>
      </c>
      <c r="S7">
        <v>44.186482896658809</v>
      </c>
      <c r="T7">
        <v>22.303514858953086</v>
      </c>
      <c r="U7">
        <v>21.943308963938936</v>
      </c>
    </row>
    <row r="8" spans="1:21" x14ac:dyDescent="0.25">
      <c r="A8" t="s">
        <v>227</v>
      </c>
      <c r="B8">
        <v>2006</v>
      </c>
      <c r="C8">
        <v>197336779111.68222</v>
      </c>
      <c r="D8">
        <v>5.5848470671515003</v>
      </c>
      <c r="E8">
        <v>42674418882.732895</v>
      </c>
      <c r="F8">
        <v>6.2637127843849356</v>
      </c>
      <c r="G8">
        <v>11067941</v>
      </c>
      <c r="H8">
        <v>3.32</v>
      </c>
      <c r="I8" s="53" t="s">
        <v>169</v>
      </c>
      <c r="J8">
        <v>27.566087562669239</v>
      </c>
      <c r="K8">
        <v>7.4295178243113185</v>
      </c>
      <c r="L8">
        <v>50141121225.637527</v>
      </c>
      <c r="M8">
        <v>8.6099828413630402</v>
      </c>
      <c r="N8">
        <v>14.632462797979899</v>
      </c>
      <c r="O8">
        <v>30.258586876953601</v>
      </c>
      <c r="P8">
        <v>55.108950325066502</v>
      </c>
      <c r="Q8">
        <v>13.4761141533839</v>
      </c>
      <c r="R8">
        <v>11.167692163328775</v>
      </c>
      <c r="S8">
        <v>44.33496876591866</v>
      </c>
      <c r="T8">
        <v>21.955012198718464</v>
      </c>
      <c r="U8">
        <v>21.793814847583047</v>
      </c>
    </row>
    <row r="9" spans="1:21" x14ac:dyDescent="0.25">
      <c r="A9" t="s">
        <v>227</v>
      </c>
      <c r="B9">
        <v>2007</v>
      </c>
      <c r="C9">
        <v>209766600383.97195</v>
      </c>
      <c r="D9">
        <v>6.2987859274094689</v>
      </c>
      <c r="E9">
        <v>47280689280.280556</v>
      </c>
      <c r="F9">
        <v>10.793985057430902</v>
      </c>
      <c r="G9">
        <v>11462139</v>
      </c>
      <c r="H9">
        <v>3.31</v>
      </c>
      <c r="I9" s="53" t="s">
        <v>169</v>
      </c>
      <c r="J9">
        <v>26.12258394204467</v>
      </c>
      <c r="K9">
        <v>9.010695559959629</v>
      </c>
      <c r="L9">
        <v>54659185009.630028</v>
      </c>
      <c r="M9">
        <v>9.9867736796224484</v>
      </c>
      <c r="N9">
        <v>14.7300461805556</v>
      </c>
      <c r="O9">
        <v>28.461644585760499</v>
      </c>
      <c r="P9">
        <v>56.8083092336839</v>
      </c>
      <c r="Q9">
        <v>12.628852352931</v>
      </c>
      <c r="R9">
        <v>11.566868067454234</v>
      </c>
      <c r="S9">
        <v>45.152553581627437</v>
      </c>
      <c r="T9">
        <v>22.404184326810352</v>
      </c>
      <c r="U9">
        <v>19.871043376318877</v>
      </c>
    </row>
    <row r="10" spans="1:21" x14ac:dyDescent="0.25">
      <c r="A10" t="s">
        <v>227</v>
      </c>
      <c r="B10">
        <v>2008</v>
      </c>
      <c r="C10">
        <v>219902039818.77838</v>
      </c>
      <c r="D10">
        <v>4.8317698891309675</v>
      </c>
      <c r="E10">
        <v>48458057521.020393</v>
      </c>
      <c r="F10">
        <v>2.4901672514975104</v>
      </c>
      <c r="G10">
        <v>11872645</v>
      </c>
      <c r="H10">
        <v>3.34</v>
      </c>
      <c r="I10" s="53" t="s">
        <v>169</v>
      </c>
      <c r="J10">
        <v>24.560717657922797</v>
      </c>
      <c r="K10">
        <v>-0.70700725529667352</v>
      </c>
      <c r="L10">
        <v>54272740605.925911</v>
      </c>
      <c r="M10">
        <v>9.9685823346741138</v>
      </c>
      <c r="N10">
        <v>13.958900396116499</v>
      </c>
      <c r="O10">
        <v>28.673523368294799</v>
      </c>
      <c r="P10">
        <v>57.367567521879501</v>
      </c>
      <c r="Q10">
        <v>13.3867719140126</v>
      </c>
      <c r="R10">
        <v>11.504787979463575</v>
      </c>
      <c r="S10">
        <v>44.706207813764287</v>
      </c>
      <c r="T10">
        <v>20.570323488958358</v>
      </c>
      <c r="U10">
        <v>22.330829704305092</v>
      </c>
    </row>
    <row r="11" spans="1:21" x14ac:dyDescent="0.25">
      <c r="A11" t="s">
        <v>227</v>
      </c>
      <c r="B11">
        <v>2009</v>
      </c>
      <c r="C11">
        <v>216573759299.07971</v>
      </c>
      <c r="D11">
        <v>-1.5135287159871353</v>
      </c>
      <c r="E11">
        <v>47252741599.398186</v>
      </c>
      <c r="F11">
        <v>-2.4873385011344311</v>
      </c>
      <c r="G11">
        <v>12298453</v>
      </c>
      <c r="H11">
        <v>3.62</v>
      </c>
      <c r="I11" s="53">
        <v>15.61159</v>
      </c>
      <c r="J11">
        <v>23.800145050129267</v>
      </c>
      <c r="K11">
        <v>-8.3158571391834357</v>
      </c>
      <c r="L11">
        <v>49759497031.617516</v>
      </c>
      <c r="M11">
        <v>9.2191000439078241</v>
      </c>
      <c r="N11">
        <v>13.496218054547001</v>
      </c>
      <c r="O11">
        <v>27.012278699645499</v>
      </c>
      <c r="P11">
        <v>59.491503245807401</v>
      </c>
      <c r="Q11">
        <v>9.6521551828716099</v>
      </c>
      <c r="R11">
        <v>13.048479568833582</v>
      </c>
      <c r="S11">
        <v>48.841212192627694</v>
      </c>
      <c r="T11">
        <v>21.976357109490401</v>
      </c>
      <c r="U11">
        <v>20.274613281485628</v>
      </c>
    </row>
    <row r="12" spans="1:21" x14ac:dyDescent="0.25">
      <c r="A12" t="s">
        <v>227</v>
      </c>
      <c r="B12">
        <v>2010</v>
      </c>
      <c r="C12">
        <v>232654030399.22736</v>
      </c>
      <c r="D12">
        <v>7.4248473832609676</v>
      </c>
      <c r="E12">
        <v>52467885291.847847</v>
      </c>
      <c r="F12">
        <v>11.036700762598883</v>
      </c>
      <c r="G12">
        <v>12720268</v>
      </c>
      <c r="H12">
        <v>3.32</v>
      </c>
      <c r="I12" s="53">
        <v>16.369540000000001</v>
      </c>
      <c r="J12">
        <v>23.433775568091896</v>
      </c>
      <c r="K12">
        <v>6.6427120658903362</v>
      </c>
      <c r="L12">
        <v>53064877144.863113</v>
      </c>
      <c r="M12">
        <v>10.089915927512132</v>
      </c>
      <c r="N12">
        <v>13.302480600085</v>
      </c>
      <c r="O12">
        <v>27.612686689013898</v>
      </c>
      <c r="P12">
        <v>59.084832710901097</v>
      </c>
      <c r="Q12">
        <v>9.6150378616856909</v>
      </c>
      <c r="R12">
        <v>12.581169028795983</v>
      </c>
      <c r="S12">
        <v>48.116586359951015</v>
      </c>
      <c r="T12">
        <v>22.435399557359446</v>
      </c>
      <c r="U12">
        <v>15.915825251937466</v>
      </c>
    </row>
    <row r="13" spans="1:21" x14ac:dyDescent="0.25">
      <c r="A13" t="s">
        <v>227</v>
      </c>
      <c r="B13">
        <v>2011</v>
      </c>
      <c r="C13">
        <v>244970531973.67609</v>
      </c>
      <c r="D13">
        <v>5.2939128341400306</v>
      </c>
      <c r="E13">
        <v>55800011112.550682</v>
      </c>
      <c r="F13">
        <v>6.3507911595220463</v>
      </c>
      <c r="G13">
        <v>13112179</v>
      </c>
      <c r="H13">
        <v>3.05</v>
      </c>
      <c r="I13" s="53" t="s">
        <v>169</v>
      </c>
      <c r="J13">
        <v>23.320204489691609</v>
      </c>
      <c r="K13">
        <v>5.4376003587564412</v>
      </c>
      <c r="L13">
        <v>55950333094.86586</v>
      </c>
      <c r="M13">
        <v>11.453353119827844</v>
      </c>
      <c r="N13">
        <v>11.8772375176897</v>
      </c>
      <c r="O13">
        <v>28.445712343821199</v>
      </c>
      <c r="P13">
        <v>59.677050138489101</v>
      </c>
      <c r="Q13">
        <v>9.9449061686596494</v>
      </c>
      <c r="R13">
        <v>13.270661476550702</v>
      </c>
      <c r="S13">
        <v>47.967990628835416</v>
      </c>
      <c r="T13">
        <v>22.183139142709543</v>
      </c>
      <c r="U13">
        <v>15.573199609973534</v>
      </c>
    </row>
    <row r="14" spans="1:21" x14ac:dyDescent="0.25">
      <c r="A14" t="s">
        <v>227</v>
      </c>
      <c r="B14">
        <v>2012</v>
      </c>
      <c r="C14">
        <v>258378881826.47321</v>
      </c>
      <c r="D14">
        <v>5.4734541925385258</v>
      </c>
      <c r="E14">
        <v>66392834504.418648</v>
      </c>
      <c r="F14">
        <v>18.983550685145659</v>
      </c>
      <c r="G14">
        <v>13636640</v>
      </c>
      <c r="H14">
        <v>3.04</v>
      </c>
      <c r="I14" s="53" t="s">
        <v>169</v>
      </c>
      <c r="J14">
        <v>23.138176292043671</v>
      </c>
      <c r="K14">
        <v>4.4151556779667516</v>
      </c>
      <c r="L14">
        <v>58420627403.345139</v>
      </c>
      <c r="M14">
        <v>9.7937507464592102</v>
      </c>
      <c r="N14">
        <v>13.251149249597599</v>
      </c>
      <c r="O14">
        <v>27.575312132575601</v>
      </c>
      <c r="P14">
        <v>59.1735461809185</v>
      </c>
      <c r="Q14">
        <v>9.2059920328668703</v>
      </c>
      <c r="R14">
        <v>13.842133658412029</v>
      </c>
      <c r="S14">
        <v>49.651171889478732</v>
      </c>
      <c r="T14">
        <v>25.363448415035439</v>
      </c>
      <c r="U14">
        <v>10.758073085048988</v>
      </c>
    </row>
    <row r="15" spans="1:21" x14ac:dyDescent="0.25">
      <c r="A15" t="s">
        <v>227</v>
      </c>
      <c r="B15">
        <v>2013</v>
      </c>
      <c r="C15">
        <v>270506469604.10135</v>
      </c>
      <c r="D15">
        <v>4.6937225255789343</v>
      </c>
      <c r="E15">
        <v>71790456956.277481</v>
      </c>
      <c r="F15">
        <v>8.1298267985525001</v>
      </c>
      <c r="G15">
        <v>14173536</v>
      </c>
      <c r="H15">
        <v>3.14</v>
      </c>
      <c r="I15" s="53" t="s">
        <v>169</v>
      </c>
      <c r="J15">
        <v>22.840742420583261</v>
      </c>
      <c r="K15">
        <v>3.4121205714955067</v>
      </c>
      <c r="L15">
        <v>60414009648.97142</v>
      </c>
      <c r="M15">
        <v>9.1133638453820573</v>
      </c>
      <c r="N15">
        <v>12.692981478527299</v>
      </c>
      <c r="O15">
        <v>27.942628378127399</v>
      </c>
      <c r="P15">
        <v>59.364390143345297</v>
      </c>
      <c r="Q15">
        <v>8.4671510676080199</v>
      </c>
      <c r="R15">
        <v>13.715401516177867</v>
      </c>
      <c r="S15">
        <v>51.81049936482318</v>
      </c>
      <c r="T15">
        <v>26.477056078161109</v>
      </c>
      <c r="U15">
        <v>8.5370905956525238</v>
      </c>
    </row>
    <row r="16" spans="1:21" x14ac:dyDescent="0.25">
      <c r="A16" t="s">
        <v>227</v>
      </c>
      <c r="B16">
        <v>2014</v>
      </c>
      <c r="C16">
        <v>286755041078.03009</v>
      </c>
      <c r="D16">
        <v>6.0067219455820293</v>
      </c>
      <c r="E16">
        <v>75229629875.247528</v>
      </c>
      <c r="F16">
        <v>4.7905711494002645</v>
      </c>
      <c r="G16">
        <v>14721580</v>
      </c>
      <c r="H16">
        <v>2.88</v>
      </c>
      <c r="I16" s="53" t="s">
        <v>169</v>
      </c>
      <c r="J16">
        <v>22.873930243130463</v>
      </c>
      <c r="K16">
        <v>6.103070024008602</v>
      </c>
      <c r="L16">
        <v>64101118962.159462</v>
      </c>
      <c r="M16">
        <v>8.8732090130264289</v>
      </c>
      <c r="N16">
        <v>12.5700018051896</v>
      </c>
      <c r="O16">
        <v>27.746638664895499</v>
      </c>
      <c r="P16">
        <v>59.683359529914902</v>
      </c>
      <c r="Q16">
        <v>8.6450739953214608</v>
      </c>
      <c r="R16">
        <v>13.328748069263396</v>
      </c>
      <c r="S16">
        <v>52.418877429745592</v>
      </c>
      <c r="T16">
        <v>25.974496652787355</v>
      </c>
      <c r="U16">
        <v>9.2747660747096781</v>
      </c>
    </row>
    <row r="17" spans="1:21" x14ac:dyDescent="0.25">
      <c r="A17" t="s">
        <v>227</v>
      </c>
      <c r="B17">
        <v>2015</v>
      </c>
      <c r="C17">
        <v>301355266964.94733</v>
      </c>
      <c r="D17">
        <v>5.091532421550113</v>
      </c>
      <c r="E17">
        <v>77947479115.318054</v>
      </c>
      <c r="F17">
        <v>3.6127377531665559</v>
      </c>
      <c r="G17">
        <v>15103051</v>
      </c>
      <c r="H17">
        <v>3.1</v>
      </c>
      <c r="I17" s="53" t="s">
        <v>169</v>
      </c>
      <c r="J17">
        <v>22.29333240251367</v>
      </c>
      <c r="K17">
        <v>4.8064877254912091</v>
      </c>
      <c r="L17">
        <v>67182131376.97818</v>
      </c>
      <c r="M17">
        <v>8.2874950827938019</v>
      </c>
      <c r="N17">
        <v>12.4690778902687</v>
      </c>
      <c r="O17">
        <v>27.518841278859799</v>
      </c>
      <c r="P17">
        <v>60.012087663920603</v>
      </c>
      <c r="Q17">
        <v>6.5709120658644</v>
      </c>
      <c r="R17">
        <v>13.086560798555858</v>
      </c>
      <c r="S17">
        <v>53.961866660377147</v>
      </c>
      <c r="T17">
        <v>25.865643531090054</v>
      </c>
      <c r="U17">
        <v>7.5273093488910243</v>
      </c>
    </row>
    <row r="18" spans="1:21" x14ac:dyDescent="0.25">
      <c r="A18" t="s">
        <v>227</v>
      </c>
      <c r="B18">
        <v>2016</v>
      </c>
      <c r="C18">
        <v>314764917575.08777</v>
      </c>
      <c r="D18">
        <v>4.4497813976154106</v>
      </c>
      <c r="E18">
        <v>79936132279.296799</v>
      </c>
      <c r="F18">
        <v>2.5512732246756258</v>
      </c>
      <c r="G18">
        <v>15415068</v>
      </c>
      <c r="H18">
        <v>3.44</v>
      </c>
      <c r="I18" s="53">
        <v>20.883040000000001</v>
      </c>
      <c r="J18">
        <v>21.796939796545708</v>
      </c>
      <c r="K18">
        <v>4.3902575877037719</v>
      </c>
      <c r="L18">
        <v>70131599997.337082</v>
      </c>
      <c r="M18">
        <v>8.4625188561802691</v>
      </c>
      <c r="N18">
        <v>11.367100561058299</v>
      </c>
      <c r="O18">
        <v>27.486797205834101</v>
      </c>
      <c r="P18">
        <v>61.1460887965168</v>
      </c>
      <c r="Q18">
        <v>5.2004047485906302</v>
      </c>
      <c r="R18">
        <v>12.5648977951943</v>
      </c>
      <c r="S18">
        <v>54.787709322603583</v>
      </c>
      <c r="T18">
        <v>25.51778782429281</v>
      </c>
      <c r="U18">
        <v>6.6518808828017253</v>
      </c>
    </row>
    <row r="19" spans="1:21" x14ac:dyDescent="0.25">
      <c r="A19" t="s">
        <v>227</v>
      </c>
      <c r="B19">
        <v>2017</v>
      </c>
      <c r="C19">
        <v>333061328477.26813</v>
      </c>
      <c r="D19">
        <v>5.8127224098332846</v>
      </c>
      <c r="E19">
        <v>84776097978.898438</v>
      </c>
      <c r="F19">
        <v>6.0547909457150126</v>
      </c>
      <c r="G19">
        <v>15779343</v>
      </c>
      <c r="H19">
        <v>3.41</v>
      </c>
      <c r="I19" s="53" t="s">
        <v>169</v>
      </c>
      <c r="J19">
        <v>21.846195079946057</v>
      </c>
      <c r="K19">
        <v>6.0479116896945442</v>
      </c>
      <c r="L19">
        <v>74373097231.74585</v>
      </c>
      <c r="M19">
        <v>8.5982775353313947</v>
      </c>
      <c r="N19">
        <v>11.2939340883286</v>
      </c>
      <c r="O19">
        <v>27.7174531720201</v>
      </c>
      <c r="P19">
        <v>60.988619300833797</v>
      </c>
      <c r="Q19">
        <v>6.2360004274128702</v>
      </c>
      <c r="R19">
        <v>12.192591869443081</v>
      </c>
      <c r="S19">
        <v>55.39175303380032</v>
      </c>
      <c r="T19">
        <v>25.062965299807022</v>
      </c>
      <c r="U19">
        <v>6.868311645237851</v>
      </c>
    </row>
    <row r="20" spans="1:21" x14ac:dyDescent="0.25">
      <c r="A20" t="s">
        <v>227</v>
      </c>
      <c r="B20">
        <v>2018</v>
      </c>
      <c r="C20">
        <v>349191778300.005</v>
      </c>
      <c r="D20">
        <v>4.8430869763488147</v>
      </c>
      <c r="E20">
        <v>85928301771.811707</v>
      </c>
      <c r="F20">
        <v>1.3591139724313166</v>
      </c>
      <c r="G20">
        <v>16212579</v>
      </c>
      <c r="H20">
        <v>3.3</v>
      </c>
      <c r="I20" s="53" t="s">
        <v>169</v>
      </c>
      <c r="J20">
        <v>21.528138198161603</v>
      </c>
      <c r="K20">
        <v>4.9503510223661777</v>
      </c>
      <c r="L20">
        <v>78054826610.922974</v>
      </c>
      <c r="M20">
        <v>7.512056930638213</v>
      </c>
      <c r="N20">
        <v>10.6274389987205</v>
      </c>
      <c r="O20">
        <v>27.111039104349299</v>
      </c>
      <c r="P20">
        <v>62.261515518378502</v>
      </c>
      <c r="Q20">
        <v>7.3274444968563603</v>
      </c>
      <c r="R20">
        <v>11.969446295551677</v>
      </c>
      <c r="S20">
        <v>57.425816406326312</v>
      </c>
      <c r="T20">
        <v>24.200464602675567</v>
      </c>
      <c r="U20">
        <v>6.7073173372456951</v>
      </c>
    </row>
    <row r="21" spans="1:21" x14ac:dyDescent="0.25">
      <c r="A21" t="s">
        <v>227</v>
      </c>
      <c r="B21">
        <v>2019</v>
      </c>
      <c r="C21">
        <v>364602265936.14014</v>
      </c>
      <c r="D21">
        <v>4.4131874212958593</v>
      </c>
      <c r="E21">
        <v>84121424844.078629</v>
      </c>
      <c r="F21">
        <v>-2.102772765754608</v>
      </c>
      <c r="G21">
        <v>16636582</v>
      </c>
      <c r="H21">
        <v>3.33</v>
      </c>
      <c r="I21" s="53">
        <v>22.551480000000002</v>
      </c>
      <c r="J21">
        <v>21.408974896252904</v>
      </c>
      <c r="K21">
        <v>3.7528592988218037</v>
      </c>
      <c r="L21">
        <v>80984114429.570236</v>
      </c>
      <c r="M21">
        <v>7.2413140156215068</v>
      </c>
      <c r="N21">
        <v>10.2240384296119</v>
      </c>
      <c r="O21">
        <v>27.924213488392901</v>
      </c>
      <c r="P21">
        <v>61.851754299896101</v>
      </c>
      <c r="Q21">
        <v>6.1963593247483901</v>
      </c>
      <c r="R21">
        <v>11.653100184342989</v>
      </c>
      <c r="S21">
        <v>59.7716877634033</v>
      </c>
      <c r="T21">
        <v>22.936786503974567</v>
      </c>
      <c r="U21">
        <v>7.5269716577722159</v>
      </c>
    </row>
    <row r="22" spans="1:21" x14ac:dyDescent="0.25">
      <c r="A22" t="s">
        <v>227</v>
      </c>
      <c r="B22">
        <v>2020</v>
      </c>
      <c r="C22">
        <v>344706479641.24377</v>
      </c>
      <c r="D22">
        <v>-5.4568465842670122</v>
      </c>
      <c r="E22">
        <v>71994732036.459412</v>
      </c>
      <c r="F22">
        <v>-14.41570067327838</v>
      </c>
      <c r="G22">
        <v>16871915</v>
      </c>
      <c r="H22">
        <v>4.54</v>
      </c>
      <c r="I22" s="53" t="s">
        <v>169</v>
      </c>
      <c r="J22">
        <v>22.232085842388592</v>
      </c>
      <c r="K22">
        <v>-2.7435441489921715</v>
      </c>
      <c r="L22">
        <v>78762279496.524643</v>
      </c>
      <c r="M22">
        <v>8.1659708991959832</v>
      </c>
      <c r="N22">
        <v>10.470225235867</v>
      </c>
      <c r="O22">
        <v>26.1668675751684</v>
      </c>
      <c r="P22">
        <v>63.362900980100299</v>
      </c>
      <c r="Q22">
        <v>4.5415653196268702</v>
      </c>
      <c r="R22">
        <v>12.962273608815531</v>
      </c>
      <c r="S22">
        <v>61.012028860296311</v>
      </c>
      <c r="T22">
        <v>20.914016275991493</v>
      </c>
      <c r="U22">
        <v>6.3676893732313804</v>
      </c>
    </row>
    <row r="23" spans="1:21" x14ac:dyDescent="0.25">
      <c r="A23" t="s">
        <v>227</v>
      </c>
      <c r="B23">
        <v>2021</v>
      </c>
      <c r="C23">
        <v>356134704342.13947</v>
      </c>
      <c r="D23">
        <v>3.3153495439916583</v>
      </c>
      <c r="E23">
        <v>71499896555.979858</v>
      </c>
      <c r="F23">
        <v>-0.68732178936224386</v>
      </c>
      <c r="G23">
        <v>17233270</v>
      </c>
      <c r="H23">
        <v>4.6399999999999997</v>
      </c>
      <c r="I23" s="53" t="s">
        <v>169</v>
      </c>
      <c r="J23">
        <v>23.363165635523977</v>
      </c>
      <c r="K23">
        <v>9.4662610347060934</v>
      </c>
      <c r="L23">
        <v>86218122470.550461</v>
      </c>
      <c r="M23">
        <v>9.5662145884446694</v>
      </c>
      <c r="N23">
        <v>10.289294836306199</v>
      </c>
      <c r="O23">
        <v>25.9296867517211</v>
      </c>
      <c r="P23">
        <v>63.781012326858701</v>
      </c>
      <c r="Q23">
        <v>6.9219663486847898</v>
      </c>
      <c r="R23">
        <v>12.636881257975674</v>
      </c>
      <c r="S23">
        <v>58.007293869846031</v>
      </c>
      <c r="T23">
        <v>19.287317455757663</v>
      </c>
      <c r="U23">
        <v>7.2301164079408027</v>
      </c>
    </row>
    <row r="24" spans="1:21" x14ac:dyDescent="0.25">
      <c r="A24" t="s">
        <v>227</v>
      </c>
      <c r="B24">
        <v>2022</v>
      </c>
      <c r="C24">
        <v>388299855024.74194</v>
      </c>
      <c r="D24">
        <v>9.0317372304445058</v>
      </c>
      <c r="E24">
        <v>76389737380.213623</v>
      </c>
      <c r="F24">
        <v>6.8389481100931846</v>
      </c>
      <c r="G24">
        <v>17730042</v>
      </c>
      <c r="H24">
        <v>3.93</v>
      </c>
      <c r="I24" s="53">
        <v>25.6418</v>
      </c>
      <c r="J24">
        <v>23.338319684034225</v>
      </c>
      <c r="K24">
        <v>8.1672831748792873</v>
      </c>
      <c r="L24">
        <v>93259800680.784546</v>
      </c>
      <c r="M24">
        <v>8.9618492274141737</v>
      </c>
      <c r="N24">
        <v>10.010592856517601</v>
      </c>
      <c r="O24">
        <v>26.0718420292351</v>
      </c>
      <c r="P24">
        <v>63.917565114247303</v>
      </c>
      <c r="Q24" t="s">
        <v>169</v>
      </c>
      <c r="R24">
        <v>11.613267851700632</v>
      </c>
      <c r="S24">
        <v>57.609449774820575</v>
      </c>
      <c r="T24">
        <v>18.208144970680539</v>
      </c>
      <c r="U24">
        <v>7.1909902112612683</v>
      </c>
    </row>
    <row r="25" spans="1:21" x14ac:dyDescent="0.25">
      <c r="A25" t="s">
        <v>227</v>
      </c>
      <c r="B25">
        <v>2023</v>
      </c>
      <c r="C25">
        <v>402034268648.21698</v>
      </c>
      <c r="D25">
        <v>3.5370638041056992</v>
      </c>
      <c r="E25">
        <v>80516549762.97493</v>
      </c>
      <c r="F25">
        <v>5.4023125674866179</v>
      </c>
      <c r="G25">
        <v>18064842</v>
      </c>
      <c r="H25">
        <v>3.8580000000000001</v>
      </c>
      <c r="I25" s="53" t="s">
        <v>169</v>
      </c>
      <c r="J25">
        <v>23.020233887778986</v>
      </c>
      <c r="K25">
        <v>0.70500070736380849</v>
      </c>
      <c r="L25">
        <v>93917282935.270157</v>
      </c>
      <c r="M25">
        <v>7.76530932127302</v>
      </c>
      <c r="N25">
        <v>9.7496665835056699</v>
      </c>
      <c r="O25">
        <v>25.996686879606798</v>
      </c>
      <c r="P25">
        <v>64.253646536887501</v>
      </c>
      <c r="Q25" t="s">
        <v>169</v>
      </c>
      <c r="R25">
        <v>11.969772831001489</v>
      </c>
      <c r="S25">
        <v>60.46402265747173</v>
      </c>
      <c r="T25">
        <v>19.227400080595014</v>
      </c>
      <c r="U25">
        <v>4.7644454890342285</v>
      </c>
    </row>
    <row r="26" spans="1:21" x14ac:dyDescent="0.25">
      <c r="A26" t="s">
        <v>227</v>
      </c>
      <c r="B26">
        <v>2024</v>
      </c>
      <c r="C26">
        <v>422559964245.24005</v>
      </c>
      <c r="D26">
        <v>5.1054592102404115</v>
      </c>
      <c r="E26">
        <v>90210311934.930649</v>
      </c>
      <c r="F26">
        <v>12.03946542728454</v>
      </c>
      <c r="G26">
        <v>18384977</v>
      </c>
      <c r="H26">
        <v>3.8460000000000001</v>
      </c>
      <c r="I26" s="53" t="s">
        <v>169</v>
      </c>
      <c r="J26">
        <v>22.500319193560181</v>
      </c>
      <c r="K26">
        <v>4.1549955978622819</v>
      </c>
      <c r="L26">
        <v>97819541906.862488</v>
      </c>
      <c r="M26">
        <v>8.1284678224194842</v>
      </c>
      <c r="N26">
        <v>9.4369433810662802</v>
      </c>
      <c r="O26">
        <v>26.0022237887699</v>
      </c>
      <c r="P26">
        <v>64.560821516627101</v>
      </c>
      <c r="Q26" t="s">
        <v>169</v>
      </c>
      <c r="R26">
        <v>11.964883362395804</v>
      </c>
      <c r="S26">
        <v>60.761634726238945</v>
      </c>
      <c r="T26">
        <v>20.542718376304602</v>
      </c>
      <c r="U26">
        <v>5.3195988044226183</v>
      </c>
    </row>
    <row r="27" spans="1:21" x14ac:dyDescent="0.25">
      <c r="A27" t="s">
        <v>227</v>
      </c>
      <c r="B27">
        <v>2025</v>
      </c>
      <c r="C27">
        <v>444411684411.75421</v>
      </c>
      <c r="D27">
        <v>5.1712708291105685</v>
      </c>
      <c r="E27">
        <v>98881004810.146957</v>
      </c>
      <c r="F27">
        <v>9.6116427149376591</v>
      </c>
      <c r="G27">
        <v>18719406</v>
      </c>
      <c r="H27">
        <v>3.7639999999999998</v>
      </c>
      <c r="I27" s="53" t="s">
        <v>169</v>
      </c>
      <c r="J27">
        <v>22.095666121712398</v>
      </c>
      <c r="K27">
        <v>4.5295328630672316</v>
      </c>
      <c r="L27">
        <v>102250310204.03564</v>
      </c>
      <c r="M27">
        <v>8.2158916957077999</v>
      </c>
      <c r="N27">
        <v>9.1823024899266308</v>
      </c>
      <c r="O27">
        <v>25.955851479681101</v>
      </c>
      <c r="P27">
        <v>64.8618460303923</v>
      </c>
      <c r="Q27" t="s">
        <v>169</v>
      </c>
      <c r="R27">
        <v>12.370130277876672</v>
      </c>
      <c r="S27">
        <v>61.629766116502857</v>
      </c>
      <c r="T27">
        <v>21.333661715859193</v>
      </c>
      <c r="U27">
        <v>5.5391582744398056</v>
      </c>
    </row>
    <row r="28" spans="1:21" x14ac:dyDescent="0.25">
      <c r="A28" t="s">
        <v>226</v>
      </c>
      <c r="B28">
        <v>2000</v>
      </c>
      <c r="C28">
        <v>4030991750950.9023</v>
      </c>
      <c r="D28">
        <v>2.9783268876851565</v>
      </c>
      <c r="E28">
        <v>1266331270761.2476</v>
      </c>
      <c r="F28">
        <v>1.1736681231453474</v>
      </c>
      <c r="G28">
        <v>67813478</v>
      </c>
      <c r="H28">
        <v>4.7480000000000002</v>
      </c>
      <c r="I28" s="53" t="s">
        <v>169</v>
      </c>
      <c r="J28">
        <v>22.176307171139658</v>
      </c>
      <c r="K28">
        <v>5.9527340709045689</v>
      </c>
      <c r="L28">
        <v>785759026676.67725</v>
      </c>
      <c r="M28">
        <v>1.3872050303020935</v>
      </c>
      <c r="N28">
        <v>5.4506411103569103</v>
      </c>
      <c r="O28">
        <v>30.430790153344098</v>
      </c>
      <c r="P28">
        <v>64.1185656445506</v>
      </c>
      <c r="Q28">
        <v>1.39786461492189E-2</v>
      </c>
      <c r="R28">
        <v>16.298849381701849</v>
      </c>
      <c r="S28">
        <v>52.704736961045626</v>
      </c>
      <c r="T28">
        <v>29.719754403244199</v>
      </c>
      <c r="U28">
        <v>1.3445840850887789</v>
      </c>
    </row>
    <row r="29" spans="1:21" x14ac:dyDescent="0.25">
      <c r="A29" t="s">
        <v>226</v>
      </c>
      <c r="B29">
        <v>2001</v>
      </c>
      <c r="C29">
        <v>4042464298381.042</v>
      </c>
      <c r="D29">
        <v>0.28460855637904103</v>
      </c>
      <c r="E29">
        <v>1247337470213.1885</v>
      </c>
      <c r="F29">
        <v>-1.4999077245120134</v>
      </c>
      <c r="G29">
        <v>67616593</v>
      </c>
      <c r="H29">
        <v>5.0199999999999996</v>
      </c>
      <c r="I29" s="53" t="s">
        <v>169</v>
      </c>
      <c r="J29">
        <v>21.134169111169772</v>
      </c>
      <c r="K29">
        <v>-3.8993064419592969</v>
      </c>
      <c r="L29">
        <v>755119874331.1969</v>
      </c>
      <c r="M29">
        <v>1.2672178044852307</v>
      </c>
      <c r="N29">
        <v>5.2258096594338799</v>
      </c>
      <c r="O29">
        <v>29.651708418805299</v>
      </c>
      <c r="P29">
        <v>65.122478810294893</v>
      </c>
      <c r="Q29">
        <v>1.29922667065723E-2</v>
      </c>
      <c r="R29">
        <v>16.987121497489255</v>
      </c>
      <c r="S29">
        <v>53.420221948029223</v>
      </c>
      <c r="T29">
        <v>28.980356724435048</v>
      </c>
      <c r="U29">
        <v>0.58542018264813089</v>
      </c>
    </row>
    <row r="30" spans="1:21" x14ac:dyDescent="0.25">
      <c r="A30" t="s">
        <v>226</v>
      </c>
      <c r="B30">
        <v>2002</v>
      </c>
      <c r="C30">
        <v>4045899940482.2563</v>
      </c>
      <c r="D30">
        <v>8.4988805036331883E-2</v>
      </c>
      <c r="E30">
        <v>1192309790559.9902</v>
      </c>
      <c r="F30">
        <v>-4.4116112092578419</v>
      </c>
      <c r="G30">
        <v>67054919</v>
      </c>
      <c r="H30">
        <v>5.3860000000000001</v>
      </c>
      <c r="I30" s="53" t="s">
        <v>169</v>
      </c>
      <c r="J30">
        <v>20.583488670352683</v>
      </c>
      <c r="K30">
        <v>-2.021784916640712</v>
      </c>
      <c r="L30">
        <v>739852974609.41248</v>
      </c>
      <c r="M30">
        <v>1.2747966343520587</v>
      </c>
      <c r="N30">
        <v>4.9902712363516404</v>
      </c>
      <c r="O30">
        <v>28.789947213679</v>
      </c>
      <c r="P30">
        <v>66.219783125694505</v>
      </c>
      <c r="Q30">
        <v>1.32276622127481E-2</v>
      </c>
      <c r="R30">
        <v>17.523067641289067</v>
      </c>
      <c r="S30">
        <v>54.032845796734271</v>
      </c>
      <c r="T30">
        <v>27.551321322607379</v>
      </c>
      <c r="U30">
        <v>1.2449877045208144</v>
      </c>
    </row>
    <row r="31" spans="1:21" x14ac:dyDescent="0.25">
      <c r="A31" t="s">
        <v>226</v>
      </c>
      <c r="B31">
        <v>2003</v>
      </c>
      <c r="C31">
        <v>4101737784188.6274</v>
      </c>
      <c r="D31">
        <v>1.3801093583079478</v>
      </c>
      <c r="E31">
        <v>1180522765832.9592</v>
      </c>
      <c r="F31">
        <v>-0.98858743091383872</v>
      </c>
      <c r="G31">
        <v>66784334</v>
      </c>
      <c r="H31">
        <v>5.2510000000000003</v>
      </c>
      <c r="I31" s="53" t="s">
        <v>169</v>
      </c>
      <c r="J31">
        <v>20.728980381047723</v>
      </c>
      <c r="K31">
        <v>3.6892235030364589</v>
      </c>
      <c r="L31">
        <v>767147804436.61731</v>
      </c>
      <c r="M31">
        <v>1.2076117506249389</v>
      </c>
      <c r="N31">
        <v>4.9765918405302099</v>
      </c>
      <c r="O31">
        <v>28.721289647208501</v>
      </c>
      <c r="P31">
        <v>66.302120093188705</v>
      </c>
      <c r="Q31">
        <v>1.4257361795839901E-2</v>
      </c>
      <c r="R31">
        <v>17.6035501284581</v>
      </c>
      <c r="S31">
        <v>54.018356437936689</v>
      </c>
      <c r="T31">
        <v>26.84197145367191</v>
      </c>
      <c r="U31">
        <v>1.5865735164702106</v>
      </c>
    </row>
    <row r="32" spans="1:21" x14ac:dyDescent="0.25">
      <c r="A32" t="s">
        <v>226</v>
      </c>
      <c r="B32">
        <v>2004</v>
      </c>
      <c r="C32">
        <v>4188405380395.4912</v>
      </c>
      <c r="D32">
        <v>2.1129482372312651</v>
      </c>
      <c r="E32">
        <v>1183158996665.1575</v>
      </c>
      <c r="F32">
        <v>0.22331046113610853</v>
      </c>
      <c r="G32">
        <v>66508242</v>
      </c>
      <c r="H32">
        <v>4.734</v>
      </c>
      <c r="I32" s="53" t="s">
        <v>169</v>
      </c>
      <c r="J32">
        <v>20.968284664221752</v>
      </c>
      <c r="K32">
        <v>5.2725079432044453</v>
      </c>
      <c r="L32">
        <v>807595733361.65637</v>
      </c>
      <c r="M32">
        <v>1.1538358664365029</v>
      </c>
      <c r="N32">
        <v>4.9385207330691303</v>
      </c>
      <c r="O32">
        <v>27.822772205516198</v>
      </c>
      <c r="P32">
        <v>67.238696018052195</v>
      </c>
      <c r="Q32">
        <v>1.3438229117267201E-2</v>
      </c>
      <c r="R32">
        <v>17.501726881992749</v>
      </c>
      <c r="S32">
        <v>53.946072650435127</v>
      </c>
      <c r="T32">
        <v>26.36550867219281</v>
      </c>
      <c r="U32">
        <v>1.8891986126586391</v>
      </c>
    </row>
    <row r="33" spans="1:21" x14ac:dyDescent="0.25">
      <c r="A33" t="s">
        <v>226</v>
      </c>
      <c r="B33">
        <v>2005</v>
      </c>
      <c r="C33">
        <v>4265818895379.4917</v>
      </c>
      <c r="D33">
        <v>1.8482813374833995</v>
      </c>
      <c r="E33">
        <v>1217192251512.9783</v>
      </c>
      <c r="F33">
        <v>2.8764734869739925</v>
      </c>
      <c r="G33">
        <v>66581356</v>
      </c>
      <c r="H33">
        <v>4.4459999999999997</v>
      </c>
      <c r="I33" s="53" t="s">
        <v>169</v>
      </c>
      <c r="J33">
        <v>21.074752337801637</v>
      </c>
      <c r="K33">
        <v>3.6194835541111843</v>
      </c>
      <c r="L33">
        <v>836826528114.38525</v>
      </c>
      <c r="M33">
        <v>1.0490984865232611</v>
      </c>
      <c r="N33">
        <v>4.7663078188352399</v>
      </c>
      <c r="O33">
        <v>27.392084976308698</v>
      </c>
      <c r="P33">
        <v>67.841607204856103</v>
      </c>
      <c r="Q33">
        <v>1.6946011292191698E-2</v>
      </c>
      <c r="R33">
        <v>17.516075991672267</v>
      </c>
      <c r="S33">
        <v>54.091422688976174</v>
      </c>
      <c r="T33">
        <v>26.881220398328797</v>
      </c>
      <c r="U33">
        <v>1.3877940814149701</v>
      </c>
    </row>
    <row r="34" spans="1:21" x14ac:dyDescent="0.25">
      <c r="A34" t="s">
        <v>226</v>
      </c>
      <c r="B34">
        <v>2006</v>
      </c>
      <c r="C34">
        <v>4331781612600.8667</v>
      </c>
      <c r="D34">
        <v>1.5463084307874055</v>
      </c>
      <c r="E34">
        <v>1226161096960.8037</v>
      </c>
      <c r="F34">
        <v>0.73684707051636167</v>
      </c>
      <c r="G34">
        <v>66694003</v>
      </c>
      <c r="H34">
        <v>4.1920000000000002</v>
      </c>
      <c r="I34" s="53" t="s">
        <v>169</v>
      </c>
      <c r="J34">
        <v>21.149683849890671</v>
      </c>
      <c r="K34">
        <v>3.9753848633023949</v>
      </c>
      <c r="L34">
        <v>870093603245.14355</v>
      </c>
      <c r="M34">
        <v>1.0335648190970206</v>
      </c>
      <c r="N34">
        <v>4.6176054680227896</v>
      </c>
      <c r="O34">
        <v>27.495246318005801</v>
      </c>
      <c r="P34">
        <v>67.887146650735801</v>
      </c>
      <c r="Q34">
        <v>1.9307519404401102E-2</v>
      </c>
      <c r="R34">
        <v>17.334812030353369</v>
      </c>
      <c r="S34">
        <v>54.296533633265874</v>
      </c>
      <c r="T34">
        <v>27.050091940669596</v>
      </c>
      <c r="U34">
        <v>1.2835250459703347</v>
      </c>
    </row>
    <row r="35" spans="1:21" x14ac:dyDescent="0.25">
      <c r="A35" t="s">
        <v>226</v>
      </c>
      <c r="B35">
        <v>2007</v>
      </c>
      <c r="C35">
        <v>4406651221892.0088</v>
      </c>
      <c r="D35">
        <v>1.7283791286557744</v>
      </c>
      <c r="E35">
        <v>1212738962189.998</v>
      </c>
      <c r="F35">
        <v>-1.0946469272328159</v>
      </c>
      <c r="G35">
        <v>66797225</v>
      </c>
      <c r="H35">
        <v>3.8879999999999999</v>
      </c>
      <c r="I35" s="53" t="s">
        <v>169</v>
      </c>
      <c r="J35">
        <v>21.746600214370538</v>
      </c>
      <c r="K35">
        <v>5.4347531277969949</v>
      </c>
      <c r="L35">
        <v>917381042562.27063</v>
      </c>
      <c r="M35">
        <v>1.016653289166465</v>
      </c>
      <c r="N35">
        <v>4.5882607780789204</v>
      </c>
      <c r="O35">
        <v>27.290260731194699</v>
      </c>
      <c r="P35">
        <v>68.121489386786294</v>
      </c>
      <c r="Q35">
        <v>2.2674304663253399E-2</v>
      </c>
      <c r="R35">
        <v>17.32974812655317</v>
      </c>
      <c r="S35">
        <v>54.124264030904321</v>
      </c>
      <c r="T35">
        <v>26.457940937372548</v>
      </c>
      <c r="U35">
        <v>1.7424538320156908</v>
      </c>
    </row>
    <row r="36" spans="1:21" x14ac:dyDescent="0.25">
      <c r="A36" t="s">
        <v>226</v>
      </c>
      <c r="B36">
        <v>2008</v>
      </c>
      <c r="C36">
        <v>4355242255151.6631</v>
      </c>
      <c r="D36">
        <v>-1.1666220935514104</v>
      </c>
      <c r="E36">
        <v>1168164827312.2065</v>
      </c>
      <c r="F36">
        <v>-3.6754929352066199</v>
      </c>
      <c r="G36">
        <v>66611354</v>
      </c>
      <c r="H36">
        <v>4.0019999999999998</v>
      </c>
      <c r="I36" s="53" t="s">
        <v>169</v>
      </c>
      <c r="J36">
        <v>21.291356570121913</v>
      </c>
      <c r="K36">
        <v>0.21369602246103625</v>
      </c>
      <c r="L36">
        <v>919341449361.03784</v>
      </c>
      <c r="M36">
        <v>1.0301761264627676</v>
      </c>
      <c r="N36">
        <v>4.5758736182003004</v>
      </c>
      <c r="O36">
        <v>26.771635935298701</v>
      </c>
      <c r="P36">
        <v>68.652490446501005</v>
      </c>
      <c r="Q36">
        <v>2.3972482548509699E-2</v>
      </c>
      <c r="R36">
        <v>17.6813434344154</v>
      </c>
      <c r="S36">
        <v>55.02436086706912</v>
      </c>
      <c r="T36">
        <v>26.386945740120005</v>
      </c>
      <c r="U36">
        <v>0.33636108306018836</v>
      </c>
    </row>
    <row r="37" spans="1:21" x14ac:dyDescent="0.25">
      <c r="A37" t="s">
        <v>226</v>
      </c>
      <c r="B37">
        <v>2009</v>
      </c>
      <c r="C37">
        <v>4096717638451.292</v>
      </c>
      <c r="D37">
        <v>-5.9359411383964016</v>
      </c>
      <c r="E37">
        <v>1045747486186.2349</v>
      </c>
      <c r="F37">
        <v>-10.479457886746843</v>
      </c>
      <c r="G37">
        <v>66339021</v>
      </c>
      <c r="H37">
        <v>5.0679999999999996</v>
      </c>
      <c r="I37" s="53" t="s">
        <v>169</v>
      </c>
      <c r="J37">
        <v>19.056287256311407</v>
      </c>
      <c r="K37">
        <v>-17.167772289390797</v>
      </c>
      <c r="L37">
        <v>761511002772.74988</v>
      </c>
      <c r="M37">
        <v>1.0747920795687775</v>
      </c>
      <c r="N37">
        <v>4.5675950073722298</v>
      </c>
      <c r="O37">
        <v>26.094293020591699</v>
      </c>
      <c r="P37">
        <v>69.338115144218307</v>
      </c>
      <c r="Q37">
        <v>1.9448966255428898E-2</v>
      </c>
      <c r="R37">
        <v>19.044472173176278</v>
      </c>
      <c r="S37">
        <v>56.852017285266378</v>
      </c>
      <c r="T37">
        <v>24.683991583655697</v>
      </c>
      <c r="U37">
        <v>0.44390669128209076</v>
      </c>
    </row>
    <row r="38" spans="1:21" x14ac:dyDescent="0.25">
      <c r="A38" t="s">
        <v>226</v>
      </c>
      <c r="B38">
        <v>2010</v>
      </c>
      <c r="C38">
        <v>4266176556594.7241</v>
      </c>
      <c r="D38">
        <v>4.1364558922223864</v>
      </c>
      <c r="E38">
        <v>1029127102046.9187</v>
      </c>
      <c r="F38">
        <v>-1.5893305371385082</v>
      </c>
      <c r="G38">
        <v>66100429</v>
      </c>
      <c r="H38">
        <v>5.1020000000000003</v>
      </c>
      <c r="I38" s="53" t="s">
        <v>169</v>
      </c>
      <c r="J38">
        <v>20.874835045152345</v>
      </c>
      <c r="K38">
        <v>16.886878489115944</v>
      </c>
      <c r="L38">
        <v>890106440492.23242</v>
      </c>
      <c r="M38">
        <v>1.1114016633878256</v>
      </c>
      <c r="N38">
        <v>4.4259377078792497</v>
      </c>
      <c r="O38">
        <v>25.519323328132199</v>
      </c>
      <c r="P38">
        <v>70.054729407466098</v>
      </c>
      <c r="Q38">
        <v>2.0096881916469401E-2</v>
      </c>
      <c r="R38">
        <v>18.95277292725364</v>
      </c>
      <c r="S38">
        <v>56.149532402503155</v>
      </c>
      <c r="T38">
        <v>23.56351085075536</v>
      </c>
      <c r="U38">
        <v>1.3254607170272608</v>
      </c>
    </row>
    <row r="39" spans="1:21" x14ac:dyDescent="0.25">
      <c r="A39" t="s">
        <v>226</v>
      </c>
      <c r="B39">
        <v>2011</v>
      </c>
      <c r="C39">
        <v>4257628936826.6714</v>
      </c>
      <c r="D39">
        <v>-0.20035785332981959</v>
      </c>
      <c r="E39">
        <v>1043902933263.4606</v>
      </c>
      <c r="F39">
        <v>1.4357634919100803</v>
      </c>
      <c r="G39">
        <v>65674339</v>
      </c>
      <c r="H39">
        <v>4.55</v>
      </c>
      <c r="I39" s="53" t="s">
        <v>169</v>
      </c>
      <c r="J39">
        <v>19.681527391437957</v>
      </c>
      <c r="K39">
        <v>-3.1910773685471412</v>
      </c>
      <c r="L39">
        <v>861702455313.70435</v>
      </c>
      <c r="M39">
        <v>1.1059540010615754</v>
      </c>
      <c r="N39">
        <v>4.1566854604195598</v>
      </c>
      <c r="O39">
        <v>25.430185651152598</v>
      </c>
      <c r="P39">
        <v>70.413119336653494</v>
      </c>
      <c r="Q39">
        <v>2.16769702777793E-2</v>
      </c>
      <c r="R39">
        <v>19.675521109785251</v>
      </c>
      <c r="S39">
        <v>56.515219239257533</v>
      </c>
      <c r="T39">
        <v>24.263482206640035</v>
      </c>
      <c r="U39">
        <v>-0.64233291162983752</v>
      </c>
    </row>
    <row r="40" spans="1:21" x14ac:dyDescent="0.25">
      <c r="A40" t="s">
        <v>226</v>
      </c>
      <c r="B40">
        <v>2012</v>
      </c>
      <c r="C40">
        <v>4327834450517.2847</v>
      </c>
      <c r="D40">
        <v>1.6489345298122515</v>
      </c>
      <c r="E40">
        <v>1079737882066.5382</v>
      </c>
      <c r="F40">
        <v>3.4327855264330083</v>
      </c>
      <c r="G40">
        <v>65377600</v>
      </c>
      <c r="H40">
        <v>4.3579999999999997</v>
      </c>
      <c r="I40" s="53" t="s">
        <v>169</v>
      </c>
      <c r="J40">
        <v>19.732235591996549</v>
      </c>
      <c r="K40">
        <v>2.0336463223787291</v>
      </c>
      <c r="L40">
        <v>879226435606.0387</v>
      </c>
      <c r="M40">
        <v>1.1366165977841101</v>
      </c>
      <c r="N40">
        <v>4.0601899788929403</v>
      </c>
      <c r="O40">
        <v>25.311193891919999</v>
      </c>
      <c r="P40">
        <v>70.628616129187094</v>
      </c>
      <c r="Q40">
        <v>2.00901706635674E-2</v>
      </c>
      <c r="R40">
        <v>19.729504957783011</v>
      </c>
      <c r="S40">
        <v>56.910196366238196</v>
      </c>
      <c r="T40">
        <v>24.760777645049608</v>
      </c>
      <c r="U40">
        <v>-1.6264686310479837</v>
      </c>
    </row>
    <row r="41" spans="1:21" x14ac:dyDescent="0.25">
      <c r="A41" t="s">
        <v>226</v>
      </c>
      <c r="B41">
        <v>2013</v>
      </c>
      <c r="C41">
        <v>4414273272427.5156</v>
      </c>
      <c r="D41">
        <v>1.9972765339926468</v>
      </c>
      <c r="E41">
        <v>1117252417200.4368</v>
      </c>
      <c r="F41">
        <v>3.4744113137994646</v>
      </c>
      <c r="G41">
        <v>65621150</v>
      </c>
      <c r="H41">
        <v>4.0380000000000003</v>
      </c>
      <c r="I41" s="53" t="s">
        <v>169</v>
      </c>
      <c r="J41">
        <v>19.180714612072258</v>
      </c>
      <c r="K41">
        <v>-1.4564912307609745</v>
      </c>
      <c r="L41">
        <v>866420579672.90454</v>
      </c>
      <c r="M41">
        <v>1.0755931406911587</v>
      </c>
      <c r="N41">
        <v>3.8866416737988501</v>
      </c>
      <c r="O41">
        <v>25.1886060017838</v>
      </c>
      <c r="P41">
        <v>70.9247554935138</v>
      </c>
      <c r="Q41">
        <v>2.3212686609098799E-2</v>
      </c>
      <c r="R41">
        <v>19.631066402644777</v>
      </c>
      <c r="S41">
        <v>57.379750552566669</v>
      </c>
      <c r="T41">
        <v>25.5195914592327</v>
      </c>
      <c r="U41">
        <v>-2.3839512835696515</v>
      </c>
    </row>
    <row r="42" spans="1:21" x14ac:dyDescent="0.25">
      <c r="A42" t="s">
        <v>226</v>
      </c>
      <c r="B42">
        <v>2014</v>
      </c>
      <c r="C42">
        <v>4454262857599.7031</v>
      </c>
      <c r="D42">
        <v>0.90591548606586514</v>
      </c>
      <c r="E42">
        <v>1162669984212.5786</v>
      </c>
      <c r="F42">
        <v>4.0651124412822668</v>
      </c>
      <c r="G42">
        <v>65843453</v>
      </c>
      <c r="H42">
        <v>3.589</v>
      </c>
      <c r="I42" s="53" t="s">
        <v>169</v>
      </c>
      <c r="J42">
        <v>19.407775915743496</v>
      </c>
      <c r="K42">
        <v>2.9031184885573822</v>
      </c>
      <c r="L42">
        <v>891573795710.05469</v>
      </c>
      <c r="M42">
        <v>0.99105365309165427</v>
      </c>
      <c r="N42">
        <v>3.81313828581695</v>
      </c>
      <c r="O42">
        <v>25.125568425648702</v>
      </c>
      <c r="P42">
        <v>71.061293288534301</v>
      </c>
      <c r="Q42">
        <v>2.80708839630582E-2</v>
      </c>
      <c r="R42">
        <v>19.569565912101044</v>
      </c>
      <c r="S42">
        <v>56.631080187711227</v>
      </c>
      <c r="T42">
        <v>26.401397459673664</v>
      </c>
      <c r="U42">
        <v>-2.5485994733968478</v>
      </c>
    </row>
    <row r="43" spans="1:21" x14ac:dyDescent="0.25">
      <c r="A43" t="s">
        <v>226</v>
      </c>
      <c r="B43">
        <v>2015</v>
      </c>
      <c r="C43">
        <v>4534438580494.9404</v>
      </c>
      <c r="D43">
        <v>1.7999773578347487</v>
      </c>
      <c r="E43">
        <v>1195854146307.6975</v>
      </c>
      <c r="F43">
        <v>2.8541342380652424</v>
      </c>
      <c r="G43">
        <v>65931158</v>
      </c>
      <c r="H43">
        <v>3.3849999999999998</v>
      </c>
      <c r="I43" s="53" t="s">
        <v>169</v>
      </c>
      <c r="J43">
        <v>20.074017971941092</v>
      </c>
      <c r="K43">
        <v>2.0940745404323167</v>
      </c>
      <c r="L43">
        <v>910244015575.18494</v>
      </c>
      <c r="M43">
        <v>1.020320598790198</v>
      </c>
      <c r="N43">
        <v>3.7833056923664299</v>
      </c>
      <c r="O43">
        <v>24.90449732946</v>
      </c>
      <c r="P43">
        <v>71.312206387419593</v>
      </c>
      <c r="Q43">
        <v>2.8968712269602501E-2</v>
      </c>
      <c r="R43">
        <v>19.160699674438256</v>
      </c>
      <c r="S43">
        <v>54.830544465532341</v>
      </c>
      <c r="T43">
        <v>26.37270579541444</v>
      </c>
      <c r="U43">
        <v>-0.54341063139738666</v>
      </c>
    </row>
    <row r="44" spans="1:21" x14ac:dyDescent="0.25">
      <c r="A44" t="s">
        <v>226</v>
      </c>
      <c r="B44">
        <v>2016</v>
      </c>
      <c r="C44">
        <v>4566405760116.5449</v>
      </c>
      <c r="D44">
        <v>0.70498649511125677</v>
      </c>
      <c r="E44">
        <v>1203736153032.0645</v>
      </c>
      <c r="F44">
        <v>0.65911104198646342</v>
      </c>
      <c r="G44">
        <v>66529155</v>
      </c>
      <c r="H44">
        <v>3.1320000000000001</v>
      </c>
      <c r="I44" s="53" t="s">
        <v>169</v>
      </c>
      <c r="J44">
        <v>20.02776765534005</v>
      </c>
      <c r="K44">
        <v>0.86648629529422294</v>
      </c>
      <c r="L44">
        <v>918131155223.87988</v>
      </c>
      <c r="M44">
        <v>1.1043749435671597</v>
      </c>
      <c r="N44">
        <v>3.6604770381459502</v>
      </c>
      <c r="O44">
        <v>24.594734051284</v>
      </c>
      <c r="P44">
        <v>71.744788910569994</v>
      </c>
      <c r="Q44">
        <v>2.51768652546394E-2</v>
      </c>
      <c r="R44">
        <v>19.195223632328759</v>
      </c>
      <c r="S44">
        <v>53.776206871370533</v>
      </c>
      <c r="T44">
        <v>26.128395997917874</v>
      </c>
      <c r="U44">
        <v>0.78851291776939281</v>
      </c>
    </row>
    <row r="45" spans="1:21" x14ac:dyDescent="0.25">
      <c r="A45" t="s">
        <v>226</v>
      </c>
      <c r="B45">
        <v>2017</v>
      </c>
      <c r="C45">
        <v>4640539102852.9512</v>
      </c>
      <c r="D45">
        <v>1.6234506224544134</v>
      </c>
      <c r="E45">
        <v>1223113258308.4861</v>
      </c>
      <c r="F45">
        <v>1.6097468891013165</v>
      </c>
      <c r="G45">
        <v>67070828</v>
      </c>
      <c r="H45">
        <v>2.8220000000000001</v>
      </c>
      <c r="I45" s="53" t="s">
        <v>169</v>
      </c>
      <c r="J45">
        <v>20.143934286406935</v>
      </c>
      <c r="K45">
        <v>4.2332505930130964</v>
      </c>
      <c r="L45">
        <v>956997947797.03271</v>
      </c>
      <c r="M45">
        <v>1.1081382859185411</v>
      </c>
      <c r="N45">
        <v>3.5973366882553401</v>
      </c>
      <c r="O45">
        <v>24.581906234304501</v>
      </c>
      <c r="P45">
        <v>71.820757077440206</v>
      </c>
      <c r="Q45">
        <v>3.8445869458276598E-2</v>
      </c>
      <c r="R45">
        <v>18.987894585034301</v>
      </c>
      <c r="S45">
        <v>53.634703487230126</v>
      </c>
      <c r="T45">
        <v>26.42029377883242</v>
      </c>
      <c r="U45">
        <v>0.74281699960539282</v>
      </c>
    </row>
    <row r="46" spans="1:21" x14ac:dyDescent="0.25">
      <c r="A46" t="s">
        <v>226</v>
      </c>
      <c r="B46">
        <v>2018</v>
      </c>
      <c r="C46">
        <v>4679247874199.0254</v>
      </c>
      <c r="D46">
        <v>0.83414384596558477</v>
      </c>
      <c r="E46">
        <v>1238755972792.5483</v>
      </c>
      <c r="F46">
        <v>1.2789260829120224</v>
      </c>
      <c r="G46">
        <v>68187091</v>
      </c>
      <c r="H46">
        <v>2.4670000000000001</v>
      </c>
      <c r="I46" s="53" t="s">
        <v>169</v>
      </c>
      <c r="J46">
        <v>20.330438097982352</v>
      </c>
      <c r="K46">
        <v>3.7499108296410242</v>
      </c>
      <c r="L46">
        <v>992884517480.91602</v>
      </c>
      <c r="M46">
        <v>1.0112561901139148</v>
      </c>
      <c r="N46">
        <v>3.5126589666988401</v>
      </c>
      <c r="O46">
        <v>24.4484966180265</v>
      </c>
      <c r="P46">
        <v>72.038844415274696</v>
      </c>
      <c r="Q46">
        <v>3.6755402240890599E-2</v>
      </c>
      <c r="R46">
        <v>19.104933906230919</v>
      </c>
      <c r="S46">
        <v>53.739984028913113</v>
      </c>
      <c r="T46">
        <v>26.733420773130621</v>
      </c>
      <c r="U46">
        <v>1.8711999486957384E-2</v>
      </c>
    </row>
    <row r="47" spans="1:21" x14ac:dyDescent="0.25">
      <c r="A47" t="s">
        <v>226</v>
      </c>
      <c r="B47">
        <v>2019</v>
      </c>
      <c r="C47">
        <v>4664812538574.46</v>
      </c>
      <c r="D47">
        <v>-0.30849692114325933</v>
      </c>
      <c r="E47">
        <v>1259327468541.104</v>
      </c>
      <c r="F47">
        <v>1.6606576436665677</v>
      </c>
      <c r="G47">
        <v>68812048</v>
      </c>
      <c r="H47">
        <v>2.351</v>
      </c>
      <c r="I47" s="53" t="s">
        <v>169</v>
      </c>
      <c r="J47">
        <v>20.053704021068906</v>
      </c>
      <c r="K47">
        <v>-0.88808077103949756</v>
      </c>
      <c r="L47">
        <v>984066901002.53967</v>
      </c>
      <c r="M47">
        <v>0.9811520045887121</v>
      </c>
      <c r="N47">
        <v>3.3754388764429901</v>
      </c>
      <c r="O47">
        <v>24.225756536984001</v>
      </c>
      <c r="P47">
        <v>72.398807561451903</v>
      </c>
      <c r="Q47">
        <v>9.3228661590860101E-2</v>
      </c>
      <c r="R47">
        <v>19.445157544619278</v>
      </c>
      <c r="S47">
        <v>53.513180306310524</v>
      </c>
      <c r="T47">
        <v>27.177854567202598</v>
      </c>
      <c r="U47">
        <v>-0.28270244369908964</v>
      </c>
    </row>
    <row r="48" spans="1:21" x14ac:dyDescent="0.25">
      <c r="A48" t="s">
        <v>226</v>
      </c>
      <c r="B48">
        <v>2020</v>
      </c>
      <c r="C48">
        <v>4465005582812.9785</v>
      </c>
      <c r="D48">
        <v>-4.2832794267557261</v>
      </c>
      <c r="E48">
        <v>1215880605374.9951</v>
      </c>
      <c r="F48">
        <v>-3.45000520130327</v>
      </c>
      <c r="G48">
        <v>68656452</v>
      </c>
      <c r="H48">
        <v>2.8090000000000002</v>
      </c>
      <c r="I48" s="53">
        <v>41.629829999999998</v>
      </c>
      <c r="J48">
        <v>19.783624726210054</v>
      </c>
      <c r="K48">
        <v>-6.1172472387425643</v>
      </c>
      <c r="L48">
        <v>923869095673.58228</v>
      </c>
      <c r="M48">
        <v>1.0045762807305301</v>
      </c>
      <c r="N48">
        <v>3.2570569194557102</v>
      </c>
      <c r="O48">
        <v>23.931926038039101</v>
      </c>
      <c r="P48">
        <v>72.811017042505199</v>
      </c>
      <c r="Q48">
        <v>9.6997201204450503E-2</v>
      </c>
      <c r="R48">
        <v>20.437616320118742</v>
      </c>
      <c r="S48">
        <v>52.937746266566364</v>
      </c>
      <c r="T48">
        <v>27.136698609428628</v>
      </c>
      <c r="U48">
        <v>-0.26184209196454483</v>
      </c>
    </row>
    <row r="49" spans="1:21" x14ac:dyDescent="0.25">
      <c r="A49" t="s">
        <v>226</v>
      </c>
      <c r="B49">
        <v>2021</v>
      </c>
      <c r="C49">
        <v>4624147102598.6904</v>
      </c>
      <c r="D49">
        <v>3.5641953147447509</v>
      </c>
      <c r="E49">
        <v>1228525618112.1375</v>
      </c>
      <c r="F49">
        <v>1.039988028532008</v>
      </c>
      <c r="G49">
        <v>68592854</v>
      </c>
      <c r="H49">
        <v>2.8079999999999998</v>
      </c>
      <c r="I49" s="53" t="s">
        <v>169</v>
      </c>
      <c r="J49">
        <v>19.676366636400029</v>
      </c>
      <c r="K49">
        <v>6.2091300540067209</v>
      </c>
      <c r="L49">
        <v>981233329352.73071</v>
      </c>
      <c r="M49">
        <v>0.93864938260240094</v>
      </c>
      <c r="N49">
        <v>3.1665180734956899</v>
      </c>
      <c r="O49">
        <v>23.697096196032799</v>
      </c>
      <c r="P49">
        <v>73.136394730663497</v>
      </c>
      <c r="Q49">
        <v>4.7304462766874403E-2</v>
      </c>
      <c r="R49">
        <v>20.532497583550569</v>
      </c>
      <c r="S49">
        <v>52.643763049873002</v>
      </c>
      <c r="T49">
        <v>27.077884989560104</v>
      </c>
      <c r="U49">
        <v>-0.50142197413806322</v>
      </c>
    </row>
    <row r="50" spans="1:21" x14ac:dyDescent="0.25">
      <c r="A50" t="s">
        <v>226</v>
      </c>
      <c r="B50">
        <v>2022</v>
      </c>
      <c r="C50">
        <v>4685724442189.0674</v>
      </c>
      <c r="D50">
        <v>1.3316475065374078</v>
      </c>
      <c r="E50">
        <v>1234288127593.8076</v>
      </c>
      <c r="F50">
        <v>0.46905895951321952</v>
      </c>
      <c r="G50">
        <v>68931266</v>
      </c>
      <c r="H50">
        <v>2.6139999999999999</v>
      </c>
      <c r="I50" s="53" t="s">
        <v>169</v>
      </c>
      <c r="J50">
        <v>18.823745436404067</v>
      </c>
      <c r="K50">
        <v>2.4197275090146064</v>
      </c>
      <c r="L50">
        <v>1004976502150.6986</v>
      </c>
      <c r="M50">
        <v>0.84865701967137652</v>
      </c>
      <c r="N50">
        <v>3.0950261039242402</v>
      </c>
      <c r="O50">
        <v>23.622131923842399</v>
      </c>
      <c r="P50">
        <v>73.282831534033704</v>
      </c>
      <c r="Q50" t="s">
        <v>169</v>
      </c>
      <c r="R50">
        <v>20.710356597343207</v>
      </c>
      <c r="S50">
        <v>54.543763504431354</v>
      </c>
      <c r="T50">
        <v>27.834661137294098</v>
      </c>
      <c r="U50">
        <v>-3.5648963259740198</v>
      </c>
    </row>
    <row r="51" spans="1:21" x14ac:dyDescent="0.25">
      <c r="A51" t="s">
        <v>226</v>
      </c>
      <c r="B51">
        <v>2023</v>
      </c>
      <c r="C51">
        <v>4719498455389.4365</v>
      </c>
      <c r="D51">
        <v>0.72078530474981051</v>
      </c>
      <c r="E51">
        <v>1257908270654.4453</v>
      </c>
      <c r="F51">
        <v>1.9136652563193763</v>
      </c>
      <c r="G51">
        <v>69197135</v>
      </c>
      <c r="H51">
        <v>2.6</v>
      </c>
      <c r="I51" s="53" t="s">
        <v>169</v>
      </c>
      <c r="J51">
        <v>19.488290400027271</v>
      </c>
      <c r="K51">
        <v>-1.2039654711156373</v>
      </c>
      <c r="L51">
        <v>992876932071.97839</v>
      </c>
      <c r="M51">
        <v>0.82534539545771091</v>
      </c>
      <c r="N51">
        <v>3.0051346759508801</v>
      </c>
      <c r="O51">
        <v>23.708847999943401</v>
      </c>
      <c r="P51">
        <v>73.286015838644204</v>
      </c>
      <c r="Q51" t="s">
        <v>169</v>
      </c>
      <c r="R51">
        <v>20.094621554364782</v>
      </c>
      <c r="S51">
        <v>53.597729342421594</v>
      </c>
      <c r="T51">
        <v>27.84769647080595</v>
      </c>
      <c r="U51">
        <v>-1.4764631115540887</v>
      </c>
    </row>
    <row r="52" spans="1:21" x14ac:dyDescent="0.25">
      <c r="A52" t="s">
        <v>226</v>
      </c>
      <c r="B52">
        <v>2024</v>
      </c>
      <c r="C52">
        <v>4708167683577.8154</v>
      </c>
      <c r="D52">
        <v>-0.24008423604169593</v>
      </c>
      <c r="E52">
        <v>1250790447407.51</v>
      </c>
      <c r="F52">
        <v>-0.56584596929567965</v>
      </c>
      <c r="G52">
        <v>69501768</v>
      </c>
      <c r="H52">
        <v>2.5</v>
      </c>
      <c r="I52" s="53" t="s">
        <v>169</v>
      </c>
      <c r="J52">
        <v>18.81744047074702</v>
      </c>
      <c r="K52">
        <v>-5.7836044198951271</v>
      </c>
      <c r="L52">
        <v>935452857944.54431</v>
      </c>
      <c r="M52">
        <v>0.95827039572644446</v>
      </c>
      <c r="N52">
        <v>2.8824500761338601</v>
      </c>
      <c r="O52">
        <v>23.344843518808201</v>
      </c>
      <c r="P52">
        <v>73.772706405057903</v>
      </c>
      <c r="Q52" t="s">
        <v>169</v>
      </c>
      <c r="R52">
        <v>20.144396476965625</v>
      </c>
      <c r="S52">
        <v>53.06955249390596</v>
      </c>
      <c r="T52">
        <v>27.813618489308229</v>
      </c>
      <c r="U52">
        <v>-0.89312011806516911</v>
      </c>
    </row>
    <row r="53" spans="1:21" x14ac:dyDescent="0.25">
      <c r="A53" t="s">
        <v>226</v>
      </c>
      <c r="B53">
        <v>2025</v>
      </c>
      <c r="C53">
        <v>4764341438831.9043</v>
      </c>
      <c r="D53">
        <v>1.1931128844459948</v>
      </c>
      <c r="E53" t="s">
        <v>169</v>
      </c>
      <c r="F53" t="s">
        <v>169</v>
      </c>
      <c r="G53">
        <v>69477012</v>
      </c>
      <c r="H53">
        <v>2.4510000000000001</v>
      </c>
      <c r="I53" s="53" t="s">
        <v>169</v>
      </c>
      <c r="J53" t="s">
        <v>169</v>
      </c>
      <c r="K53" t="s">
        <v>169</v>
      </c>
      <c r="L53" t="s">
        <v>169</v>
      </c>
      <c r="M53" t="s">
        <v>169</v>
      </c>
      <c r="N53">
        <v>2.8137114978904401</v>
      </c>
      <c r="O53">
        <v>23.228693658218301</v>
      </c>
      <c r="P53">
        <v>73.957593365248897</v>
      </c>
      <c r="Q53" t="s">
        <v>169</v>
      </c>
      <c r="R53" t="s">
        <v>169</v>
      </c>
      <c r="S53" t="s">
        <v>169</v>
      </c>
      <c r="T53" t="s">
        <v>169</v>
      </c>
      <c r="U53" t="s">
        <v>169</v>
      </c>
    </row>
    <row r="54" spans="1:21" x14ac:dyDescent="0.25">
      <c r="I54" s="53"/>
    </row>
    <row r="55" spans="1:21" x14ac:dyDescent="0.25">
      <c r="I55" s="53"/>
    </row>
    <row r="56" spans="1:21" x14ac:dyDescent="0.25">
      <c r="I56" s="53"/>
    </row>
    <row r="57" spans="1:21" x14ac:dyDescent="0.25">
      <c r="A57" t="s">
        <v>228</v>
      </c>
      <c r="I57" s="53"/>
    </row>
    <row r="58" spans="1:21" x14ac:dyDescent="0.25">
      <c r="A58" t="s">
        <v>229</v>
      </c>
      <c r="I58" s="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2C7B-0987-154F-AD31-5ED711180229}">
  <dimension ref="A1:U27"/>
  <sheetViews>
    <sheetView zoomScale="125" workbookViewId="0">
      <selection activeCell="R2" sqref="R2:U27"/>
    </sheetView>
  </sheetViews>
  <sheetFormatPr defaultColWidth="11.42578125" defaultRowHeight="15" x14ac:dyDescent="0.25"/>
  <cols>
    <col min="2" max="2" width="11" bestFit="1" customWidth="1"/>
    <col min="3" max="3" width="22.85546875" style="50" customWidth="1"/>
    <col min="4" max="4" width="11" bestFit="1" customWidth="1"/>
    <col min="5" max="5" width="27.28515625" style="50" customWidth="1"/>
    <col min="6" max="8" width="11" bestFit="1" customWidth="1"/>
    <col min="9" max="9" width="11" customWidth="1"/>
    <col min="10" max="11" width="11" bestFit="1" customWidth="1"/>
    <col min="12" max="12" width="11.85546875" bestFit="1" customWidth="1"/>
    <col min="13" max="13" width="11" bestFit="1" customWidth="1"/>
  </cols>
  <sheetData>
    <row r="1" spans="1:21" s="1" customFormat="1" ht="83.1" customHeight="1" x14ac:dyDescent="0.25">
      <c r="A1" s="1" t="s">
        <v>28</v>
      </c>
      <c r="B1" s="1" t="s">
        <v>74</v>
      </c>
      <c r="C1" s="55" t="s">
        <v>213</v>
      </c>
      <c r="D1" s="1" t="s">
        <v>214</v>
      </c>
      <c r="E1" s="55" t="s">
        <v>215</v>
      </c>
      <c r="F1" s="1" t="s">
        <v>216</v>
      </c>
      <c r="G1" s="1" t="s">
        <v>217</v>
      </c>
      <c r="H1" s="1" t="s">
        <v>218</v>
      </c>
      <c r="I1" s="54" t="s">
        <v>141</v>
      </c>
      <c r="J1" s="1" t="s">
        <v>219</v>
      </c>
      <c r="K1" s="1" t="s">
        <v>220</v>
      </c>
      <c r="L1" s="1" t="s">
        <v>221</v>
      </c>
      <c r="M1" s="1" t="s">
        <v>222</v>
      </c>
      <c r="N1" s="1" t="s">
        <v>223</v>
      </c>
      <c r="O1" s="1" t="s">
        <v>224</v>
      </c>
      <c r="P1" s="1" t="s">
        <v>225</v>
      </c>
      <c r="Q1" s="1" t="s">
        <v>140</v>
      </c>
      <c r="R1" s="1" t="s">
        <v>161</v>
      </c>
      <c r="S1" s="1" t="s">
        <v>162</v>
      </c>
      <c r="T1" s="1" t="s">
        <v>163</v>
      </c>
      <c r="U1" s="1" t="s">
        <v>164</v>
      </c>
    </row>
    <row r="2" spans="1:21" x14ac:dyDescent="0.25">
      <c r="A2" t="s">
        <v>226</v>
      </c>
      <c r="B2">
        <v>2000</v>
      </c>
      <c r="C2" s="50">
        <v>4030991750950.9023</v>
      </c>
      <c r="D2">
        <v>2.9783268876851565</v>
      </c>
      <c r="E2" s="50">
        <v>1266331270761.2476</v>
      </c>
      <c r="F2">
        <v>1.1736681231453474</v>
      </c>
      <c r="G2">
        <v>67813478</v>
      </c>
      <c r="H2">
        <v>4.7480000000000002</v>
      </c>
      <c r="I2" s="53" t="s">
        <v>169</v>
      </c>
      <c r="J2">
        <v>22.176307171139658</v>
      </c>
      <c r="K2">
        <v>5.9527340709045689</v>
      </c>
      <c r="L2">
        <v>785759026676.67725</v>
      </c>
      <c r="M2">
        <v>1.3872050303020935</v>
      </c>
      <c r="N2">
        <v>5.4506411103569103</v>
      </c>
      <c r="O2">
        <v>30.430790153344098</v>
      </c>
      <c r="P2">
        <v>64.1185656445506</v>
      </c>
      <c r="Q2">
        <v>1.39786461492189E-2</v>
      </c>
      <c r="R2">
        <v>16.298849381701849</v>
      </c>
      <c r="S2">
        <v>52.704736961045626</v>
      </c>
      <c r="T2">
        <v>29.719754403244199</v>
      </c>
      <c r="U2">
        <v>1.3445840850887789</v>
      </c>
    </row>
    <row r="3" spans="1:21" x14ac:dyDescent="0.25">
      <c r="A3" t="s">
        <v>226</v>
      </c>
      <c r="B3">
        <v>2001</v>
      </c>
      <c r="C3" s="50">
        <v>4042464298381.042</v>
      </c>
      <c r="D3">
        <v>0.28460855637904103</v>
      </c>
      <c r="E3" s="50">
        <v>1247337470213.1885</v>
      </c>
      <c r="F3">
        <v>-1.4999077245120134</v>
      </c>
      <c r="G3">
        <v>67616593</v>
      </c>
      <c r="H3">
        <v>5.0199999999999996</v>
      </c>
      <c r="I3" s="53" t="s">
        <v>169</v>
      </c>
      <c r="J3">
        <v>21.134169111169772</v>
      </c>
      <c r="K3">
        <v>-3.8993064419592969</v>
      </c>
      <c r="L3">
        <v>755119874331.1969</v>
      </c>
      <c r="M3">
        <v>1.2672178044852307</v>
      </c>
      <c r="N3">
        <v>5.2258096594338799</v>
      </c>
      <c r="O3">
        <v>29.651708418805299</v>
      </c>
      <c r="P3">
        <v>65.122478810294893</v>
      </c>
      <c r="Q3">
        <v>1.29922667065723E-2</v>
      </c>
      <c r="R3">
        <v>16.987121497489255</v>
      </c>
      <c r="S3">
        <v>53.420221948029223</v>
      </c>
      <c r="T3">
        <v>28.980356724435048</v>
      </c>
      <c r="U3">
        <v>0.58542018264813089</v>
      </c>
    </row>
    <row r="4" spans="1:21" x14ac:dyDescent="0.25">
      <c r="A4" t="s">
        <v>226</v>
      </c>
      <c r="B4">
        <v>2002</v>
      </c>
      <c r="C4" s="50">
        <v>4045899940482.2563</v>
      </c>
      <c r="D4">
        <v>8.4988805036331883E-2</v>
      </c>
      <c r="E4" s="50">
        <v>1192309790559.9902</v>
      </c>
      <c r="F4">
        <v>-4.4116112092578419</v>
      </c>
      <c r="G4">
        <v>67054919</v>
      </c>
      <c r="H4">
        <v>5.3860000000000001</v>
      </c>
      <c r="I4" s="53" t="s">
        <v>169</v>
      </c>
      <c r="J4">
        <v>20.583488670352683</v>
      </c>
      <c r="K4">
        <v>-2.021784916640712</v>
      </c>
      <c r="L4">
        <v>739852974609.41248</v>
      </c>
      <c r="M4">
        <v>1.2747966343520587</v>
      </c>
      <c r="N4">
        <v>4.9902712363516404</v>
      </c>
      <c r="O4">
        <v>28.789947213679</v>
      </c>
      <c r="P4">
        <v>66.219783125694505</v>
      </c>
      <c r="Q4">
        <v>1.32276622127481E-2</v>
      </c>
      <c r="R4">
        <v>17.523067641289067</v>
      </c>
      <c r="S4">
        <v>54.032845796734271</v>
      </c>
      <c r="T4">
        <v>27.551321322607379</v>
      </c>
      <c r="U4">
        <v>1.2449877045208144</v>
      </c>
    </row>
    <row r="5" spans="1:21" x14ac:dyDescent="0.25">
      <c r="A5" t="s">
        <v>226</v>
      </c>
      <c r="B5">
        <v>2003</v>
      </c>
      <c r="C5" s="50">
        <v>4101737784188.6274</v>
      </c>
      <c r="D5">
        <v>1.3801093583079478</v>
      </c>
      <c r="E5" s="50">
        <v>1180522765832.9592</v>
      </c>
      <c r="F5">
        <v>-0.98858743091383872</v>
      </c>
      <c r="G5">
        <v>66784334</v>
      </c>
      <c r="H5">
        <v>5.2510000000000003</v>
      </c>
      <c r="I5" s="53" t="s">
        <v>169</v>
      </c>
      <c r="J5">
        <v>20.728980381047723</v>
      </c>
      <c r="K5">
        <v>3.6892235030364589</v>
      </c>
      <c r="L5">
        <v>767147804436.61731</v>
      </c>
      <c r="M5">
        <v>1.2076117506249389</v>
      </c>
      <c r="N5">
        <v>4.9765918405302099</v>
      </c>
      <c r="O5">
        <v>28.721289647208501</v>
      </c>
      <c r="P5">
        <v>66.302120093188705</v>
      </c>
      <c r="Q5">
        <v>1.4257361795839901E-2</v>
      </c>
      <c r="R5">
        <v>17.6035501284581</v>
      </c>
      <c r="S5">
        <v>54.018356437936689</v>
      </c>
      <c r="T5">
        <v>26.84197145367191</v>
      </c>
      <c r="U5">
        <v>1.5865735164702106</v>
      </c>
    </row>
    <row r="6" spans="1:21" x14ac:dyDescent="0.25">
      <c r="A6" t="s">
        <v>226</v>
      </c>
      <c r="B6">
        <v>2004</v>
      </c>
      <c r="C6" s="50">
        <v>4188405380395.4912</v>
      </c>
      <c r="D6">
        <v>2.1129482372312651</v>
      </c>
      <c r="E6" s="50">
        <v>1183158996665.1575</v>
      </c>
      <c r="F6">
        <v>0.22331046113610853</v>
      </c>
      <c r="G6">
        <v>66508242</v>
      </c>
      <c r="H6">
        <v>4.734</v>
      </c>
      <c r="I6" s="53" t="s">
        <v>169</v>
      </c>
      <c r="J6">
        <v>20.968284664221752</v>
      </c>
      <c r="K6">
        <v>5.2725079432044453</v>
      </c>
      <c r="L6">
        <v>807595733361.65637</v>
      </c>
      <c r="M6">
        <v>1.1538358664365029</v>
      </c>
      <c r="N6">
        <v>4.9385207330691303</v>
      </c>
      <c r="O6">
        <v>27.822772205516198</v>
      </c>
      <c r="P6">
        <v>67.238696018052195</v>
      </c>
      <c r="Q6">
        <v>1.3438229117267201E-2</v>
      </c>
      <c r="R6">
        <v>17.501726881992749</v>
      </c>
      <c r="S6">
        <v>53.946072650435127</v>
      </c>
      <c r="T6">
        <v>26.36550867219281</v>
      </c>
      <c r="U6">
        <v>1.8891986126586391</v>
      </c>
    </row>
    <row r="7" spans="1:21" x14ac:dyDescent="0.25">
      <c r="A7" t="s">
        <v>226</v>
      </c>
      <c r="B7">
        <v>2005</v>
      </c>
      <c r="C7" s="50">
        <v>4265818895379.4917</v>
      </c>
      <c r="D7">
        <v>1.8482813374833995</v>
      </c>
      <c r="E7" s="50">
        <v>1217192251512.9783</v>
      </c>
      <c r="F7">
        <v>2.8764734869739925</v>
      </c>
      <c r="G7">
        <v>66581356</v>
      </c>
      <c r="H7">
        <v>4.4459999999999997</v>
      </c>
      <c r="I7" s="53" t="s">
        <v>169</v>
      </c>
      <c r="J7">
        <v>21.074752337801637</v>
      </c>
      <c r="K7">
        <v>3.6194835541111843</v>
      </c>
      <c r="L7">
        <v>836826528114.38525</v>
      </c>
      <c r="M7">
        <v>1.0490984865232611</v>
      </c>
      <c r="N7">
        <v>4.7663078188352399</v>
      </c>
      <c r="O7">
        <v>27.392084976308698</v>
      </c>
      <c r="P7">
        <v>67.841607204856103</v>
      </c>
      <c r="Q7">
        <v>1.6946011292191698E-2</v>
      </c>
      <c r="R7">
        <v>17.516075991672267</v>
      </c>
      <c r="S7">
        <v>54.091422688976174</v>
      </c>
      <c r="T7">
        <v>26.881220398328797</v>
      </c>
      <c r="U7">
        <v>1.3877940814149701</v>
      </c>
    </row>
    <row r="8" spans="1:21" x14ac:dyDescent="0.25">
      <c r="A8" t="s">
        <v>226</v>
      </c>
      <c r="B8">
        <v>2006</v>
      </c>
      <c r="C8" s="50">
        <v>4331781612600.8667</v>
      </c>
      <c r="D8">
        <v>1.5463084307874055</v>
      </c>
      <c r="E8" s="50">
        <v>1226161096960.8037</v>
      </c>
      <c r="F8">
        <v>0.73684707051636167</v>
      </c>
      <c r="G8">
        <v>66694003</v>
      </c>
      <c r="H8">
        <v>4.1920000000000002</v>
      </c>
      <c r="I8" s="53" t="s">
        <v>169</v>
      </c>
      <c r="J8">
        <v>21.149683849890671</v>
      </c>
      <c r="K8">
        <v>3.9753848633023949</v>
      </c>
      <c r="L8">
        <v>870093603245.14355</v>
      </c>
      <c r="M8">
        <v>1.0335648190970206</v>
      </c>
      <c r="N8">
        <v>4.6176054680227896</v>
      </c>
      <c r="O8">
        <v>27.495246318005801</v>
      </c>
      <c r="P8">
        <v>67.887146650735801</v>
      </c>
      <c r="Q8">
        <v>1.9307519404401102E-2</v>
      </c>
      <c r="R8">
        <v>17.334812030353369</v>
      </c>
      <c r="S8">
        <v>54.296533633265874</v>
      </c>
      <c r="T8">
        <v>27.050091940669596</v>
      </c>
      <c r="U8">
        <v>1.2835250459703347</v>
      </c>
    </row>
    <row r="9" spans="1:21" x14ac:dyDescent="0.25">
      <c r="A9" t="s">
        <v>226</v>
      </c>
      <c r="B9">
        <v>2007</v>
      </c>
      <c r="C9" s="50">
        <v>4406651221892.0088</v>
      </c>
      <c r="D9">
        <v>1.7283791286557744</v>
      </c>
      <c r="E9" s="50">
        <v>1212738962189.998</v>
      </c>
      <c r="F9">
        <v>-1.0946469272328159</v>
      </c>
      <c r="G9">
        <v>66797225</v>
      </c>
      <c r="H9">
        <v>3.8879999999999999</v>
      </c>
      <c r="I9" s="53" t="s">
        <v>169</v>
      </c>
      <c r="J9">
        <v>21.746600214370538</v>
      </c>
      <c r="K9">
        <v>5.4347531277969949</v>
      </c>
      <c r="L9">
        <v>917381042562.27063</v>
      </c>
      <c r="M9">
        <v>1.016653289166465</v>
      </c>
      <c r="N9">
        <v>4.5882607780789204</v>
      </c>
      <c r="O9">
        <v>27.290260731194699</v>
      </c>
      <c r="P9">
        <v>68.121489386786294</v>
      </c>
      <c r="Q9">
        <v>2.2674304663253399E-2</v>
      </c>
      <c r="R9">
        <v>17.32974812655317</v>
      </c>
      <c r="S9">
        <v>54.124264030904321</v>
      </c>
      <c r="T9">
        <v>26.457940937372548</v>
      </c>
      <c r="U9">
        <v>1.7424538320156908</v>
      </c>
    </row>
    <row r="10" spans="1:21" x14ac:dyDescent="0.25">
      <c r="A10" t="s">
        <v>226</v>
      </c>
      <c r="B10">
        <v>2008</v>
      </c>
      <c r="C10" s="50">
        <v>4355242255151.6631</v>
      </c>
      <c r="D10">
        <v>-1.1666220935514104</v>
      </c>
      <c r="E10" s="50">
        <v>1168164827312.2065</v>
      </c>
      <c r="F10">
        <v>-3.6754929352066199</v>
      </c>
      <c r="G10">
        <v>66611354</v>
      </c>
      <c r="H10">
        <v>4.0019999999999998</v>
      </c>
      <c r="I10" s="53" t="s">
        <v>169</v>
      </c>
      <c r="J10">
        <v>21.291356570121913</v>
      </c>
      <c r="K10">
        <v>0.21369602246103625</v>
      </c>
      <c r="L10">
        <v>919341449361.03784</v>
      </c>
      <c r="M10">
        <v>1.0301761264627676</v>
      </c>
      <c r="N10">
        <v>4.5758736182003004</v>
      </c>
      <c r="O10">
        <v>26.771635935298701</v>
      </c>
      <c r="P10">
        <v>68.652490446501005</v>
      </c>
      <c r="Q10">
        <v>2.3972482548509699E-2</v>
      </c>
      <c r="R10">
        <v>17.6813434344154</v>
      </c>
      <c r="S10">
        <v>55.02436086706912</v>
      </c>
      <c r="T10">
        <v>26.386945740120005</v>
      </c>
      <c r="U10">
        <v>0.33636108306018836</v>
      </c>
    </row>
    <row r="11" spans="1:21" x14ac:dyDescent="0.25">
      <c r="A11" t="s">
        <v>226</v>
      </c>
      <c r="B11">
        <v>2009</v>
      </c>
      <c r="C11" s="50">
        <v>4096717638451.292</v>
      </c>
      <c r="D11">
        <v>-5.9359411383964016</v>
      </c>
      <c r="E11" s="50">
        <v>1045747486186.2349</v>
      </c>
      <c r="F11">
        <v>-10.479457886746843</v>
      </c>
      <c r="G11">
        <v>66339021</v>
      </c>
      <c r="H11">
        <v>5.0679999999999996</v>
      </c>
      <c r="I11" s="53" t="s">
        <v>169</v>
      </c>
      <c r="J11">
        <v>19.056287256311407</v>
      </c>
      <c r="K11">
        <v>-17.167772289390797</v>
      </c>
      <c r="L11">
        <v>761511002772.74988</v>
      </c>
      <c r="M11">
        <v>1.0747920795687775</v>
      </c>
      <c r="N11">
        <v>4.5675950073722298</v>
      </c>
      <c r="O11">
        <v>26.094293020591699</v>
      </c>
      <c r="P11">
        <v>69.338115144218307</v>
      </c>
      <c r="Q11">
        <v>1.9448966255428898E-2</v>
      </c>
      <c r="R11">
        <v>19.044472173176278</v>
      </c>
      <c r="S11">
        <v>56.852017285266378</v>
      </c>
      <c r="T11">
        <v>24.683991583655697</v>
      </c>
      <c r="U11">
        <v>0.44390669128209076</v>
      </c>
    </row>
    <row r="12" spans="1:21" x14ac:dyDescent="0.25">
      <c r="A12" t="s">
        <v>226</v>
      </c>
      <c r="B12">
        <v>2010</v>
      </c>
      <c r="C12" s="50">
        <v>4266176556594.7241</v>
      </c>
      <c r="D12">
        <v>4.1364558922223864</v>
      </c>
      <c r="E12" s="50">
        <v>1029127102046.9187</v>
      </c>
      <c r="F12">
        <v>-1.5893305371385082</v>
      </c>
      <c r="G12">
        <v>66100429</v>
      </c>
      <c r="H12">
        <v>5.1020000000000003</v>
      </c>
      <c r="I12" s="53" t="s">
        <v>169</v>
      </c>
      <c r="J12">
        <v>20.874835045152345</v>
      </c>
      <c r="K12">
        <v>16.886878489115944</v>
      </c>
      <c r="L12">
        <v>890106440492.23242</v>
      </c>
      <c r="M12">
        <v>1.1114016633878256</v>
      </c>
      <c r="N12">
        <v>4.4259377078792497</v>
      </c>
      <c r="O12">
        <v>25.519323328132199</v>
      </c>
      <c r="P12">
        <v>70.054729407466098</v>
      </c>
      <c r="Q12">
        <v>2.0096881916469401E-2</v>
      </c>
      <c r="R12">
        <v>18.95277292725364</v>
      </c>
      <c r="S12">
        <v>56.149532402503155</v>
      </c>
      <c r="T12">
        <v>23.56351085075536</v>
      </c>
      <c r="U12">
        <v>1.3254607170272608</v>
      </c>
    </row>
    <row r="13" spans="1:21" x14ac:dyDescent="0.25">
      <c r="A13" t="s">
        <v>226</v>
      </c>
      <c r="B13">
        <v>2011</v>
      </c>
      <c r="C13" s="50">
        <v>4257628936826.6714</v>
      </c>
      <c r="D13">
        <v>-0.20035785332981959</v>
      </c>
      <c r="E13" s="50">
        <v>1043902933263.4606</v>
      </c>
      <c r="F13">
        <v>1.4357634919100803</v>
      </c>
      <c r="G13">
        <v>65674339</v>
      </c>
      <c r="H13">
        <v>4.55</v>
      </c>
      <c r="I13" s="53" t="s">
        <v>169</v>
      </c>
      <c r="J13">
        <v>19.681527391437957</v>
      </c>
      <c r="K13">
        <v>-3.1910773685471412</v>
      </c>
      <c r="L13">
        <v>861702455313.70435</v>
      </c>
      <c r="M13">
        <v>1.1059540010615754</v>
      </c>
      <c r="N13">
        <v>4.1566854604195598</v>
      </c>
      <c r="O13">
        <v>25.430185651152598</v>
      </c>
      <c r="P13">
        <v>70.413119336653494</v>
      </c>
      <c r="Q13">
        <v>2.16769702777793E-2</v>
      </c>
      <c r="R13">
        <v>19.675521109785251</v>
      </c>
      <c r="S13">
        <v>56.515219239257533</v>
      </c>
      <c r="T13">
        <v>24.263482206640035</v>
      </c>
      <c r="U13">
        <v>-0.64233291162983752</v>
      </c>
    </row>
    <row r="14" spans="1:21" x14ac:dyDescent="0.25">
      <c r="A14" t="s">
        <v>226</v>
      </c>
      <c r="B14">
        <v>2012</v>
      </c>
      <c r="C14" s="50">
        <v>4327834450517.2847</v>
      </c>
      <c r="D14">
        <v>1.6489345298122515</v>
      </c>
      <c r="E14" s="50">
        <v>1079737882066.5382</v>
      </c>
      <c r="F14">
        <v>3.4327855264330083</v>
      </c>
      <c r="G14">
        <v>65377600</v>
      </c>
      <c r="H14">
        <v>4.3579999999999997</v>
      </c>
      <c r="I14" s="53" t="s">
        <v>169</v>
      </c>
      <c r="J14">
        <v>19.732235591996549</v>
      </c>
      <c r="K14">
        <v>2.0336463223787291</v>
      </c>
      <c r="L14">
        <v>879226435606.0387</v>
      </c>
      <c r="M14">
        <v>1.1366165977841101</v>
      </c>
      <c r="N14">
        <v>4.0601899788929403</v>
      </c>
      <c r="O14">
        <v>25.311193891919999</v>
      </c>
      <c r="P14">
        <v>70.628616129187094</v>
      </c>
      <c r="Q14">
        <v>2.00901706635674E-2</v>
      </c>
      <c r="R14">
        <v>19.729504957783011</v>
      </c>
      <c r="S14">
        <v>56.910196366238196</v>
      </c>
      <c r="T14">
        <v>24.760777645049608</v>
      </c>
      <c r="U14">
        <v>-1.6264686310479837</v>
      </c>
    </row>
    <row r="15" spans="1:21" x14ac:dyDescent="0.25">
      <c r="A15" t="s">
        <v>226</v>
      </c>
      <c r="B15">
        <v>2013</v>
      </c>
      <c r="C15" s="50">
        <v>4414273272427.5156</v>
      </c>
      <c r="D15">
        <v>1.9972765339926468</v>
      </c>
      <c r="E15" s="50">
        <v>1117252417200.4368</v>
      </c>
      <c r="F15">
        <v>3.4744113137994646</v>
      </c>
      <c r="G15">
        <v>65621150</v>
      </c>
      <c r="H15">
        <v>4.0380000000000003</v>
      </c>
      <c r="I15" s="53" t="s">
        <v>169</v>
      </c>
      <c r="J15">
        <v>19.180714612072258</v>
      </c>
      <c r="K15">
        <v>-1.4564912307609745</v>
      </c>
      <c r="L15">
        <v>866420579672.90454</v>
      </c>
      <c r="M15">
        <v>1.0755931406911587</v>
      </c>
      <c r="N15">
        <v>3.8866416737988501</v>
      </c>
      <c r="O15">
        <v>25.1886060017838</v>
      </c>
      <c r="P15">
        <v>70.9247554935138</v>
      </c>
      <c r="Q15">
        <v>2.3212686609098799E-2</v>
      </c>
      <c r="R15">
        <v>19.631066402644777</v>
      </c>
      <c r="S15">
        <v>57.379750552566669</v>
      </c>
      <c r="T15">
        <v>25.5195914592327</v>
      </c>
      <c r="U15">
        <v>-2.3839512835696515</v>
      </c>
    </row>
    <row r="16" spans="1:21" x14ac:dyDescent="0.25">
      <c r="A16" t="s">
        <v>226</v>
      </c>
      <c r="B16">
        <v>2014</v>
      </c>
      <c r="C16" s="50">
        <v>4454262857599.7031</v>
      </c>
      <c r="D16">
        <v>0.90591548606586514</v>
      </c>
      <c r="E16" s="50">
        <v>1162669984212.5786</v>
      </c>
      <c r="F16">
        <v>4.0651124412822668</v>
      </c>
      <c r="G16">
        <v>65843453</v>
      </c>
      <c r="H16">
        <v>3.589</v>
      </c>
      <c r="I16" s="53" t="s">
        <v>169</v>
      </c>
      <c r="J16">
        <v>19.407775915743496</v>
      </c>
      <c r="K16">
        <v>2.9031184885573822</v>
      </c>
      <c r="L16">
        <v>891573795710.05469</v>
      </c>
      <c r="M16">
        <v>0.99105365309165427</v>
      </c>
      <c r="N16">
        <v>3.81313828581695</v>
      </c>
      <c r="O16">
        <v>25.125568425648702</v>
      </c>
      <c r="P16">
        <v>71.061293288534301</v>
      </c>
      <c r="Q16">
        <v>2.80708839630582E-2</v>
      </c>
      <c r="R16">
        <v>19.569565912101044</v>
      </c>
      <c r="S16">
        <v>56.631080187711227</v>
      </c>
      <c r="T16">
        <v>26.401397459673664</v>
      </c>
      <c r="U16">
        <v>-2.5485994733968478</v>
      </c>
    </row>
    <row r="17" spans="1:21" x14ac:dyDescent="0.25">
      <c r="A17" t="s">
        <v>226</v>
      </c>
      <c r="B17">
        <v>2015</v>
      </c>
      <c r="C17" s="50">
        <v>4534438580494.9404</v>
      </c>
      <c r="D17">
        <v>1.7999773578347487</v>
      </c>
      <c r="E17" s="50">
        <v>1195854146307.6975</v>
      </c>
      <c r="F17">
        <v>2.8541342380652424</v>
      </c>
      <c r="G17">
        <v>65931158</v>
      </c>
      <c r="H17">
        <v>3.3849999999999998</v>
      </c>
      <c r="I17" s="53" t="s">
        <v>169</v>
      </c>
      <c r="J17">
        <v>20.074017971941092</v>
      </c>
      <c r="K17">
        <v>2.0940745404323167</v>
      </c>
      <c r="L17">
        <v>910244015575.18494</v>
      </c>
      <c r="M17">
        <v>1.020320598790198</v>
      </c>
      <c r="N17">
        <v>3.7833056923664299</v>
      </c>
      <c r="O17">
        <v>24.90449732946</v>
      </c>
      <c r="P17">
        <v>71.312206387419593</v>
      </c>
      <c r="Q17">
        <v>2.8968712269602501E-2</v>
      </c>
      <c r="R17">
        <v>19.160699674438256</v>
      </c>
      <c r="S17">
        <v>54.830544465532341</v>
      </c>
      <c r="T17">
        <v>26.37270579541444</v>
      </c>
      <c r="U17">
        <v>-0.54341063139738666</v>
      </c>
    </row>
    <row r="18" spans="1:21" x14ac:dyDescent="0.25">
      <c r="A18" t="s">
        <v>226</v>
      </c>
      <c r="B18">
        <v>2016</v>
      </c>
      <c r="C18" s="50">
        <v>4566405760116.5449</v>
      </c>
      <c r="D18">
        <v>0.70498649511125677</v>
      </c>
      <c r="E18" s="50">
        <v>1203736153032.0645</v>
      </c>
      <c r="F18">
        <v>0.65911104198646342</v>
      </c>
      <c r="G18">
        <v>66529155</v>
      </c>
      <c r="H18">
        <v>3.1320000000000001</v>
      </c>
      <c r="I18" s="53" t="s">
        <v>169</v>
      </c>
      <c r="J18">
        <v>20.02776765534005</v>
      </c>
      <c r="K18">
        <v>0.86648629529422294</v>
      </c>
      <c r="L18">
        <v>918131155223.87988</v>
      </c>
      <c r="M18">
        <v>1.1043749435671597</v>
      </c>
      <c r="N18">
        <v>3.6604770381459502</v>
      </c>
      <c r="O18">
        <v>24.594734051284</v>
      </c>
      <c r="P18">
        <v>71.744788910569994</v>
      </c>
      <c r="Q18">
        <v>2.51768652546394E-2</v>
      </c>
      <c r="R18">
        <v>19.195223632328759</v>
      </c>
      <c r="S18">
        <v>53.776206871370533</v>
      </c>
      <c r="T18">
        <v>26.128395997917874</v>
      </c>
      <c r="U18">
        <v>0.78851291776939281</v>
      </c>
    </row>
    <row r="19" spans="1:21" x14ac:dyDescent="0.25">
      <c r="A19" t="s">
        <v>226</v>
      </c>
      <c r="B19">
        <v>2017</v>
      </c>
      <c r="C19" s="50">
        <v>4640539102852.9512</v>
      </c>
      <c r="D19">
        <v>1.6234506224544134</v>
      </c>
      <c r="E19" s="50">
        <v>1223113258308.4861</v>
      </c>
      <c r="F19">
        <v>1.6097468891013165</v>
      </c>
      <c r="G19">
        <v>67070828</v>
      </c>
      <c r="H19">
        <v>2.8220000000000001</v>
      </c>
      <c r="I19" s="53" t="s">
        <v>169</v>
      </c>
      <c r="J19">
        <v>20.143934286406935</v>
      </c>
      <c r="K19">
        <v>4.2332505930130964</v>
      </c>
      <c r="L19">
        <v>956997947797.03271</v>
      </c>
      <c r="M19">
        <v>1.1081382859185411</v>
      </c>
      <c r="N19">
        <v>3.5973366882553401</v>
      </c>
      <c r="O19">
        <v>24.581906234304501</v>
      </c>
      <c r="P19">
        <v>71.820757077440206</v>
      </c>
      <c r="Q19">
        <v>3.8445869458276598E-2</v>
      </c>
      <c r="R19">
        <v>18.987894585034301</v>
      </c>
      <c r="S19">
        <v>53.634703487230126</v>
      </c>
      <c r="T19">
        <v>26.42029377883242</v>
      </c>
      <c r="U19">
        <v>0.74281699960539282</v>
      </c>
    </row>
    <row r="20" spans="1:21" x14ac:dyDescent="0.25">
      <c r="A20" t="s">
        <v>226</v>
      </c>
      <c r="B20">
        <v>2018</v>
      </c>
      <c r="C20" s="50">
        <v>4679247874199.0254</v>
      </c>
      <c r="D20">
        <v>0.83414384596558477</v>
      </c>
      <c r="E20" s="50">
        <v>1238755972792.5483</v>
      </c>
      <c r="F20">
        <v>1.2789260829120224</v>
      </c>
      <c r="G20">
        <v>68187091</v>
      </c>
      <c r="H20">
        <v>2.4670000000000001</v>
      </c>
      <c r="I20" s="53" t="s">
        <v>169</v>
      </c>
      <c r="J20">
        <v>20.330438097982352</v>
      </c>
      <c r="K20">
        <v>3.7499108296410242</v>
      </c>
      <c r="L20">
        <v>992884517480.91602</v>
      </c>
      <c r="M20">
        <v>1.0112561901139148</v>
      </c>
      <c r="N20">
        <v>3.5126589666988401</v>
      </c>
      <c r="O20">
        <v>24.4484966180265</v>
      </c>
      <c r="P20">
        <v>72.038844415274696</v>
      </c>
      <c r="Q20">
        <v>3.6755402240890599E-2</v>
      </c>
      <c r="R20">
        <v>19.104933906230919</v>
      </c>
      <c r="S20">
        <v>53.739984028913113</v>
      </c>
      <c r="T20">
        <v>26.733420773130621</v>
      </c>
      <c r="U20">
        <v>1.8711999486957384E-2</v>
      </c>
    </row>
    <row r="21" spans="1:21" x14ac:dyDescent="0.25">
      <c r="A21" t="s">
        <v>226</v>
      </c>
      <c r="B21">
        <v>2019</v>
      </c>
      <c r="C21" s="50">
        <v>4664812538574.46</v>
      </c>
      <c r="D21">
        <v>-0.30849692114325933</v>
      </c>
      <c r="E21" s="50">
        <v>1259327468541.104</v>
      </c>
      <c r="F21">
        <v>1.6606576436665677</v>
      </c>
      <c r="G21">
        <v>68812048</v>
      </c>
      <c r="H21">
        <v>2.351</v>
      </c>
      <c r="I21" s="53" t="s">
        <v>169</v>
      </c>
      <c r="J21">
        <v>20.053704021068906</v>
      </c>
      <c r="K21">
        <v>-0.88808077103949756</v>
      </c>
      <c r="L21">
        <v>984066901002.53967</v>
      </c>
      <c r="M21">
        <v>0.9811520045887121</v>
      </c>
      <c r="N21">
        <v>3.3754388764429901</v>
      </c>
      <c r="O21">
        <v>24.225756536984001</v>
      </c>
      <c r="P21">
        <v>72.398807561451903</v>
      </c>
      <c r="Q21">
        <v>9.3228661590860101E-2</v>
      </c>
      <c r="R21">
        <v>19.445157544619278</v>
      </c>
      <c r="S21">
        <v>53.513180306310524</v>
      </c>
      <c r="T21">
        <v>27.177854567202598</v>
      </c>
      <c r="U21">
        <v>-0.28270244369908964</v>
      </c>
    </row>
    <row r="22" spans="1:21" x14ac:dyDescent="0.25">
      <c r="A22" t="s">
        <v>226</v>
      </c>
      <c r="B22">
        <v>2020</v>
      </c>
      <c r="C22" s="50">
        <v>4465005582812.9785</v>
      </c>
      <c r="D22">
        <v>-4.2832794267557261</v>
      </c>
      <c r="E22" s="50">
        <v>1215880605374.9951</v>
      </c>
      <c r="F22">
        <v>-3.45000520130327</v>
      </c>
      <c r="G22">
        <v>68656452</v>
      </c>
      <c r="H22">
        <v>2.8090000000000002</v>
      </c>
      <c r="I22" s="53">
        <v>41.629829999999998</v>
      </c>
      <c r="J22">
        <v>19.783624726210054</v>
      </c>
      <c r="K22">
        <v>-6.1172472387425643</v>
      </c>
      <c r="L22">
        <v>923869095673.58228</v>
      </c>
      <c r="M22">
        <v>1.0045762807305301</v>
      </c>
      <c r="N22">
        <v>3.2570569194557102</v>
      </c>
      <c r="O22">
        <v>23.931926038039101</v>
      </c>
      <c r="P22">
        <v>72.811017042505199</v>
      </c>
      <c r="Q22">
        <v>9.6997201204450503E-2</v>
      </c>
      <c r="R22">
        <v>20.437616320118742</v>
      </c>
      <c r="S22">
        <v>52.937746266566364</v>
      </c>
      <c r="T22">
        <v>27.136698609428628</v>
      </c>
      <c r="U22">
        <v>-0.26184209196454483</v>
      </c>
    </row>
    <row r="23" spans="1:21" x14ac:dyDescent="0.25">
      <c r="A23" t="s">
        <v>226</v>
      </c>
      <c r="B23">
        <v>2021</v>
      </c>
      <c r="C23" s="50">
        <v>4624147102598.6904</v>
      </c>
      <c r="D23">
        <v>3.5641953147447509</v>
      </c>
      <c r="E23" s="50">
        <v>1228525618112.1375</v>
      </c>
      <c r="F23">
        <v>1.039988028532008</v>
      </c>
      <c r="G23">
        <v>68592854</v>
      </c>
      <c r="H23">
        <v>2.8079999999999998</v>
      </c>
      <c r="I23" s="53" t="s">
        <v>169</v>
      </c>
      <c r="J23">
        <v>19.676366636400029</v>
      </c>
      <c r="K23">
        <v>6.2091300540067209</v>
      </c>
      <c r="L23">
        <v>981233329352.73071</v>
      </c>
      <c r="M23">
        <v>0.93864938260240094</v>
      </c>
      <c r="N23">
        <v>3.1665180734956899</v>
      </c>
      <c r="O23">
        <v>23.697096196032799</v>
      </c>
      <c r="P23">
        <v>73.136394730663497</v>
      </c>
      <c r="Q23">
        <v>4.7304462766874403E-2</v>
      </c>
      <c r="R23">
        <v>20.532497583550569</v>
      </c>
      <c r="S23">
        <v>52.643763049873002</v>
      </c>
      <c r="T23">
        <v>27.077884989560104</v>
      </c>
      <c r="U23">
        <v>-0.50142197413806322</v>
      </c>
    </row>
    <row r="24" spans="1:21" x14ac:dyDescent="0.25">
      <c r="A24" t="s">
        <v>226</v>
      </c>
      <c r="B24">
        <v>2022</v>
      </c>
      <c r="C24" s="50">
        <v>4685724442189.0674</v>
      </c>
      <c r="D24">
        <v>1.3316475065374078</v>
      </c>
      <c r="E24" s="50">
        <v>1234288127593.8076</v>
      </c>
      <c r="F24">
        <v>0.46905895951321952</v>
      </c>
      <c r="G24">
        <v>68931266</v>
      </c>
      <c r="H24">
        <v>2.6139999999999999</v>
      </c>
      <c r="I24" s="53" t="s">
        <v>169</v>
      </c>
      <c r="J24">
        <v>18.823745436404067</v>
      </c>
      <c r="K24">
        <v>2.4197275090146064</v>
      </c>
      <c r="L24">
        <v>1004976502150.6986</v>
      </c>
      <c r="M24">
        <v>0.84865701967137652</v>
      </c>
      <c r="N24">
        <v>3.0950261039242402</v>
      </c>
      <c r="O24">
        <v>23.622131923842399</v>
      </c>
      <c r="P24">
        <v>73.282831534033704</v>
      </c>
      <c r="Q24" t="s">
        <v>169</v>
      </c>
      <c r="R24">
        <v>20.710356597343207</v>
      </c>
      <c r="S24">
        <v>54.543763504431354</v>
      </c>
      <c r="T24">
        <v>27.834661137294098</v>
      </c>
      <c r="U24">
        <v>-3.5648963259740198</v>
      </c>
    </row>
    <row r="25" spans="1:21" x14ac:dyDescent="0.25">
      <c r="A25" t="s">
        <v>226</v>
      </c>
      <c r="B25">
        <v>2023</v>
      </c>
      <c r="C25" s="50">
        <v>4719498455389.4365</v>
      </c>
      <c r="D25">
        <v>0.72078530474981051</v>
      </c>
      <c r="E25" s="50">
        <v>1257908270654.4453</v>
      </c>
      <c r="F25">
        <v>1.9136652563193763</v>
      </c>
      <c r="G25">
        <v>69197135</v>
      </c>
      <c r="H25">
        <v>2.6</v>
      </c>
      <c r="I25" s="53" t="s">
        <v>169</v>
      </c>
      <c r="J25">
        <v>19.488290400027271</v>
      </c>
      <c r="K25">
        <v>-1.2039654711156373</v>
      </c>
      <c r="L25">
        <v>992876932071.97839</v>
      </c>
      <c r="M25">
        <v>0.82534539545771091</v>
      </c>
      <c r="N25">
        <v>3.0051346759508801</v>
      </c>
      <c r="O25">
        <v>23.708847999943401</v>
      </c>
      <c r="P25">
        <v>73.286015838644204</v>
      </c>
      <c r="Q25" t="s">
        <v>169</v>
      </c>
      <c r="R25">
        <v>20.094621554364782</v>
      </c>
      <c r="S25">
        <v>53.597729342421594</v>
      </c>
      <c r="T25">
        <v>27.84769647080595</v>
      </c>
      <c r="U25">
        <v>-1.4764631115540887</v>
      </c>
    </row>
    <row r="26" spans="1:21" x14ac:dyDescent="0.25">
      <c r="A26" t="s">
        <v>226</v>
      </c>
      <c r="B26">
        <v>2024</v>
      </c>
      <c r="C26" s="50">
        <v>4708167683577.8154</v>
      </c>
      <c r="D26">
        <v>-0.24008423604169593</v>
      </c>
      <c r="E26" s="50">
        <v>1250790447407.51</v>
      </c>
      <c r="F26">
        <v>-0.56584596929567965</v>
      </c>
      <c r="G26">
        <v>69501768</v>
      </c>
      <c r="H26">
        <v>2.5</v>
      </c>
      <c r="I26" s="53" t="s">
        <v>169</v>
      </c>
      <c r="J26">
        <v>18.81744047074702</v>
      </c>
      <c r="K26">
        <v>-5.7836044198951271</v>
      </c>
      <c r="L26">
        <v>935452857944.54431</v>
      </c>
      <c r="M26">
        <v>0.95827039572644446</v>
      </c>
      <c r="N26">
        <v>2.8824500761338601</v>
      </c>
      <c r="O26">
        <v>23.344843518808201</v>
      </c>
      <c r="P26">
        <v>73.772706405057903</v>
      </c>
      <c r="Q26" t="s">
        <v>169</v>
      </c>
      <c r="R26">
        <v>20.144396476965625</v>
      </c>
      <c r="S26">
        <v>53.06955249390596</v>
      </c>
      <c r="T26">
        <v>27.813618489308229</v>
      </c>
      <c r="U26">
        <v>-0.89312011806516911</v>
      </c>
    </row>
    <row r="27" spans="1:21" x14ac:dyDescent="0.25">
      <c r="A27" t="s">
        <v>226</v>
      </c>
      <c r="B27">
        <v>2025</v>
      </c>
      <c r="C27" s="50">
        <v>4764341438831.9043</v>
      </c>
      <c r="D27">
        <v>1.1931128844459948</v>
      </c>
      <c r="E27" s="50" t="s">
        <v>169</v>
      </c>
      <c r="F27" t="s">
        <v>169</v>
      </c>
      <c r="G27">
        <v>69477012</v>
      </c>
      <c r="H27">
        <v>2.4510000000000001</v>
      </c>
      <c r="I27" s="53" t="s">
        <v>169</v>
      </c>
      <c r="J27" t="s">
        <v>169</v>
      </c>
      <c r="K27" t="s">
        <v>169</v>
      </c>
      <c r="L27" t="s">
        <v>169</v>
      </c>
      <c r="M27" t="s">
        <v>169</v>
      </c>
      <c r="N27">
        <v>2.8137114978904401</v>
      </c>
      <c r="O27">
        <v>23.228693658218301</v>
      </c>
      <c r="P27">
        <v>73.957593365248897</v>
      </c>
      <c r="Q27" t="s">
        <v>169</v>
      </c>
      <c r="R27" t="s">
        <v>169</v>
      </c>
      <c r="S27" t="s">
        <v>169</v>
      </c>
      <c r="T27" t="s">
        <v>169</v>
      </c>
      <c r="U27"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EBE0-77D1-4DEE-BD25-B861D3CF253E}">
  <dimension ref="A1:AK28"/>
  <sheetViews>
    <sheetView topLeftCell="D1" zoomScale="70" zoomScaleNormal="70" workbookViewId="0">
      <selection activeCell="X13" sqref="X13"/>
    </sheetView>
  </sheetViews>
  <sheetFormatPr defaultColWidth="8.85546875" defaultRowHeight="15" x14ac:dyDescent="0.25"/>
  <cols>
    <col min="3" max="3" width="26" style="3" customWidth="1"/>
    <col min="4" max="4" width="9" style="3"/>
    <col min="5" max="5" width="3.28515625" style="21" customWidth="1"/>
    <col min="6" max="6" width="20.140625" style="3" customWidth="1"/>
    <col min="7" max="7" width="11.85546875" customWidth="1"/>
    <col min="8" max="8" width="5" style="22" customWidth="1"/>
    <col min="9" max="9" width="9.140625" bestFit="1" customWidth="1"/>
    <col min="10" max="10" width="12.28515625" customWidth="1"/>
    <col min="11" max="11" width="17.42578125" style="6" customWidth="1"/>
    <col min="12" max="12" width="12.42578125" style="6" customWidth="1"/>
    <col min="13" max="13" width="10.42578125" style="62" customWidth="1"/>
    <col min="14" max="14" width="12.140625" style="6" customWidth="1"/>
    <col min="15" max="15" width="12.140625" style="69" customWidth="1"/>
    <col min="16" max="16" width="14" style="6" customWidth="1"/>
    <col min="17" max="17" width="17.85546875" style="69" customWidth="1"/>
    <col min="18" max="18" width="6.140625" style="24" customWidth="1"/>
    <col min="19" max="19" width="13.28515625" customWidth="1"/>
    <col min="20" max="20" width="13.28515625" style="20" customWidth="1"/>
    <col min="21" max="21" width="4.42578125" style="22" customWidth="1"/>
    <col min="22" max="22" width="13.28515625" customWidth="1"/>
    <col min="23" max="23" width="16" customWidth="1"/>
    <col min="24" max="24" width="22" style="50" customWidth="1"/>
    <col min="25" max="26" width="9" bestFit="1" customWidth="1"/>
    <col min="28" max="28" width="14.85546875" style="20" customWidth="1"/>
    <col min="30" max="30" width="3.7109375" style="22" customWidth="1"/>
    <col min="32" max="32" width="9" style="77"/>
  </cols>
  <sheetData>
    <row r="1" spans="1:37" s="2" customFormat="1" ht="151.35" customHeight="1" x14ac:dyDescent="0.25">
      <c r="A1" s="2" t="s">
        <v>28</v>
      </c>
      <c r="B1" s="27" t="s">
        <v>74</v>
      </c>
      <c r="C1" s="27" t="s">
        <v>43</v>
      </c>
      <c r="D1" s="27" t="s">
        <v>29</v>
      </c>
      <c r="E1" s="28"/>
      <c r="F1" s="27" t="s">
        <v>80</v>
      </c>
      <c r="G1" s="27" t="s">
        <v>40</v>
      </c>
      <c r="H1" s="28"/>
      <c r="I1" s="27" t="s">
        <v>73</v>
      </c>
      <c r="J1" s="27" t="s">
        <v>63</v>
      </c>
      <c r="K1" s="29" t="s">
        <v>107</v>
      </c>
      <c r="L1" s="29" t="s">
        <v>108</v>
      </c>
      <c r="M1" s="59" t="s">
        <v>149</v>
      </c>
      <c r="N1" s="29" t="s">
        <v>109</v>
      </c>
      <c r="O1" s="72" t="s">
        <v>142</v>
      </c>
      <c r="P1" s="29" t="s">
        <v>110</v>
      </c>
      <c r="Q1" s="72" t="s">
        <v>115</v>
      </c>
      <c r="R1" s="30"/>
      <c r="S1" s="27" t="s">
        <v>156</v>
      </c>
      <c r="T1" s="31" t="s">
        <v>154</v>
      </c>
      <c r="U1" s="28"/>
      <c r="V1" s="27" t="s">
        <v>39</v>
      </c>
      <c r="W1" s="27" t="s">
        <v>71</v>
      </c>
      <c r="X1" s="56" t="s">
        <v>103</v>
      </c>
      <c r="Y1" s="27" t="s">
        <v>38</v>
      </c>
      <c r="Z1" s="27" t="s">
        <v>81</v>
      </c>
      <c r="AA1" s="27" t="s">
        <v>11</v>
      </c>
      <c r="AB1" s="42" t="s">
        <v>170</v>
      </c>
      <c r="AC1" s="27" t="s">
        <v>84</v>
      </c>
      <c r="AD1" s="28"/>
      <c r="AE1" s="27" t="s">
        <v>140</v>
      </c>
      <c r="AF1" s="74" t="s">
        <v>153</v>
      </c>
      <c r="AH1" s="2" t="s">
        <v>161</v>
      </c>
      <c r="AI1" s="2" t="s">
        <v>162</v>
      </c>
      <c r="AJ1" s="2" t="s">
        <v>163</v>
      </c>
      <c r="AK1" s="2" t="s">
        <v>164</v>
      </c>
    </row>
    <row r="2" spans="1:37" s="18" customFormat="1" ht="113.25" thickBot="1" x14ac:dyDescent="0.3">
      <c r="C2" s="18" t="s">
        <v>106</v>
      </c>
      <c r="E2" s="26"/>
      <c r="F2" s="18" t="s">
        <v>144</v>
      </c>
      <c r="H2" s="26"/>
      <c r="K2" s="5" t="s">
        <v>111</v>
      </c>
      <c r="L2" s="4" t="s">
        <v>112</v>
      </c>
      <c r="M2" s="60" t="s">
        <v>150</v>
      </c>
      <c r="N2" s="6" t="s">
        <v>151</v>
      </c>
      <c r="O2" s="68" t="s">
        <v>143</v>
      </c>
      <c r="P2" s="5" t="s">
        <v>145</v>
      </c>
      <c r="Q2" s="71" t="s">
        <v>146</v>
      </c>
      <c r="R2" s="23"/>
      <c r="S2" s="18" t="s">
        <v>147</v>
      </c>
      <c r="T2" s="19" t="s">
        <v>152</v>
      </c>
      <c r="U2" s="25"/>
      <c r="V2" s="80" t="s">
        <v>155</v>
      </c>
      <c r="W2" s="80"/>
      <c r="X2" s="80"/>
      <c r="Y2" s="80"/>
      <c r="Z2" s="80"/>
      <c r="AA2" s="80"/>
      <c r="AB2" s="44" t="s">
        <v>152</v>
      </c>
      <c r="AC2" s="58"/>
      <c r="AD2" s="26"/>
      <c r="AE2" s="18" t="s">
        <v>148</v>
      </c>
      <c r="AF2" s="75" t="s">
        <v>152</v>
      </c>
      <c r="AH2" s="39" t="s">
        <v>165</v>
      </c>
      <c r="AI2" s="18" t="s">
        <v>166</v>
      </c>
      <c r="AJ2" s="18" t="s">
        <v>167</v>
      </c>
      <c r="AK2" s="18" t="s">
        <v>168</v>
      </c>
    </row>
    <row r="3" spans="1:37" ht="15.75" thickTop="1" x14ac:dyDescent="0.25">
      <c r="A3" t="s">
        <v>226</v>
      </c>
      <c r="B3">
        <v>2000</v>
      </c>
      <c r="C3" s="50">
        <v>4030991750950.9023</v>
      </c>
      <c r="D3">
        <v>2.9783268876851565</v>
      </c>
      <c r="F3" s="50">
        <v>1266331270761.2476</v>
      </c>
      <c r="G3">
        <v>1.1736681231453474</v>
      </c>
      <c r="I3">
        <v>67813478</v>
      </c>
      <c r="J3">
        <v>4.7480000000000002</v>
      </c>
      <c r="K3" s="6">
        <f>100-J3</f>
        <v>95.251999999999995</v>
      </c>
      <c r="L3" s="6">
        <f>(K3/100)*I3</f>
        <v>64593694.064559996</v>
      </c>
      <c r="M3" s="61"/>
      <c r="N3" s="51">
        <f>C3/L3</f>
        <v>62405.34481465038</v>
      </c>
      <c r="O3" s="65"/>
      <c r="P3" s="51">
        <f>F3/L3</f>
        <v>19604.564951736262</v>
      </c>
      <c r="Q3" s="65"/>
      <c r="S3" s="53" t="s">
        <v>169</v>
      </c>
      <c r="V3">
        <v>22.176307171139658</v>
      </c>
      <c r="W3">
        <v>5.9527340709045689</v>
      </c>
      <c r="X3" s="50">
        <v>785759026676.67725</v>
      </c>
      <c r="Y3">
        <v>1.3872050303020935</v>
      </c>
      <c r="Z3">
        <v>5.4506411103569103</v>
      </c>
      <c r="AA3">
        <v>30.430790153344098</v>
      </c>
      <c r="AB3" s="37"/>
      <c r="AC3">
        <v>64.1185656445506</v>
      </c>
      <c r="AE3">
        <v>1.39786461492189E-2</v>
      </c>
      <c r="AF3" s="76"/>
      <c r="AH3">
        <v>16.298849381701849</v>
      </c>
      <c r="AI3">
        <v>52.704736961045626</v>
      </c>
      <c r="AJ3">
        <v>29.719754403244199</v>
      </c>
      <c r="AK3">
        <v>1.3445840850887789</v>
      </c>
    </row>
    <row r="4" spans="1:37" x14ac:dyDescent="0.25">
      <c r="A4" t="s">
        <v>226</v>
      </c>
      <c r="B4">
        <v>2001</v>
      </c>
      <c r="C4" s="50">
        <v>4042464298381.042</v>
      </c>
      <c r="D4">
        <v>0.28460855637904103</v>
      </c>
      <c r="F4" s="50">
        <v>1247337470213.1885</v>
      </c>
      <c r="G4">
        <v>-1.4999077245120134</v>
      </c>
      <c r="I4">
        <v>67616593</v>
      </c>
      <c r="J4">
        <v>5.0199999999999996</v>
      </c>
      <c r="K4" s="6">
        <f t="shared" ref="K4:K27" si="0">100-J4</f>
        <v>94.98</v>
      </c>
      <c r="L4" s="6">
        <f t="shared" ref="L4:L27" si="1">(K4/100)*I4</f>
        <v>64222240.031400003</v>
      </c>
      <c r="M4" s="62">
        <f>((L4-L3)/L3)*100</f>
        <v>-0.57506237805308569</v>
      </c>
      <c r="N4" s="51">
        <f t="shared" ref="N4:N27" si="2">C4/L4</f>
        <v>62944.928367565051</v>
      </c>
      <c r="O4" s="69">
        <f>((N4-N3)/N3)*100</f>
        <v>0.86464317201881413</v>
      </c>
      <c r="P4" s="51">
        <f t="shared" ref="P4:P27" si="3">F4/L4</f>
        <v>19422.204357919174</v>
      </c>
      <c r="Q4" s="69">
        <f>((P4-P3)/P3)*100</f>
        <v>-0.93019454533183632</v>
      </c>
      <c r="S4" s="53" t="s">
        <v>169</v>
      </c>
      <c r="V4">
        <v>21.134169111169772</v>
      </c>
      <c r="W4">
        <v>-3.8993064419592969</v>
      </c>
      <c r="X4" s="50">
        <v>755119874331.1969</v>
      </c>
      <c r="Y4">
        <v>1.2672178044852307</v>
      </c>
      <c r="Z4">
        <v>5.2258096594338799</v>
      </c>
      <c r="AA4">
        <v>29.651708418805299</v>
      </c>
      <c r="AB4" s="20">
        <f>M4-M3</f>
        <v>-0.57506237805308569</v>
      </c>
      <c r="AC4">
        <v>65.122478810294893</v>
      </c>
      <c r="AE4">
        <v>1.29922667065723E-2</v>
      </c>
      <c r="AF4" s="77">
        <f>AE4-AE3</f>
        <v>-9.863794426466007E-4</v>
      </c>
      <c r="AH4">
        <v>16.987121497489255</v>
      </c>
      <c r="AI4">
        <v>53.420221948029223</v>
      </c>
      <c r="AJ4">
        <v>28.980356724435048</v>
      </c>
      <c r="AK4">
        <v>0.58542018264813089</v>
      </c>
    </row>
    <row r="5" spans="1:37" x14ac:dyDescent="0.25">
      <c r="A5" t="s">
        <v>226</v>
      </c>
      <c r="B5">
        <v>2002</v>
      </c>
      <c r="C5" s="50">
        <v>4045899940482.2563</v>
      </c>
      <c r="D5">
        <v>8.4988805036331883E-2</v>
      </c>
      <c r="F5" s="50">
        <v>1192309790559.9902</v>
      </c>
      <c r="G5">
        <v>-4.4116112092578419</v>
      </c>
      <c r="I5">
        <v>67054919</v>
      </c>
      <c r="J5">
        <v>5.3860000000000001</v>
      </c>
      <c r="K5" s="6">
        <f t="shared" si="0"/>
        <v>94.614000000000004</v>
      </c>
      <c r="L5" s="6">
        <f t="shared" si="1"/>
        <v>63443341.062660009</v>
      </c>
      <c r="M5" s="62">
        <f t="shared" ref="M5:M27" si="4">((L5-L4)/L4)*100</f>
        <v>-1.2128181271147953</v>
      </c>
      <c r="N5" s="51">
        <f t="shared" si="2"/>
        <v>63771.861202680215</v>
      </c>
      <c r="O5" s="69">
        <f t="shared" ref="O5:O27" si="5">((N5-N4)/N4)*100</f>
        <v>1.3137402115803731</v>
      </c>
      <c r="P5" s="51">
        <f t="shared" si="3"/>
        <v>18793.300771824135</v>
      </c>
      <c r="Q5" s="69">
        <f t="shared" ref="Q5:Q27" si="6">((P5-P4)/P4)*100</f>
        <v>-3.2380649204662029</v>
      </c>
      <c r="S5" s="53" t="s">
        <v>169</v>
      </c>
      <c r="V5">
        <v>20.583488670352683</v>
      </c>
      <c r="W5">
        <v>-2.021784916640712</v>
      </c>
      <c r="X5" s="50">
        <v>739852974609.41248</v>
      </c>
      <c r="Y5">
        <v>1.2747966343520587</v>
      </c>
      <c r="Z5">
        <v>4.9902712363516404</v>
      </c>
      <c r="AA5">
        <v>28.789947213679</v>
      </c>
      <c r="AB5" s="20">
        <f t="shared" ref="AB5:AB27" si="7">M5-M4</f>
        <v>-0.63775574906170962</v>
      </c>
      <c r="AC5">
        <v>66.219783125694505</v>
      </c>
      <c r="AE5">
        <v>1.32276622127481E-2</v>
      </c>
      <c r="AF5" s="77">
        <f t="shared" ref="AF5:AF24" si="8">AE5-AE4</f>
        <v>2.3539550617580028E-4</v>
      </c>
      <c r="AH5">
        <v>17.523067641289067</v>
      </c>
      <c r="AI5">
        <v>54.032845796734271</v>
      </c>
      <c r="AJ5">
        <v>27.551321322607379</v>
      </c>
      <c r="AK5">
        <v>1.2449877045208144</v>
      </c>
    </row>
    <row r="6" spans="1:37" x14ac:dyDescent="0.25">
      <c r="A6" t="s">
        <v>226</v>
      </c>
      <c r="B6">
        <v>2003</v>
      </c>
      <c r="C6" s="50">
        <v>4101737784188.6274</v>
      </c>
      <c r="D6">
        <v>1.3801093583079478</v>
      </c>
      <c r="F6" s="50">
        <v>1180522765832.9592</v>
      </c>
      <c r="G6">
        <v>-0.98858743091383872</v>
      </c>
      <c r="I6">
        <v>66784334</v>
      </c>
      <c r="J6">
        <v>5.2510000000000003</v>
      </c>
      <c r="K6" s="6">
        <f t="shared" si="0"/>
        <v>94.748999999999995</v>
      </c>
      <c r="L6" s="6">
        <f t="shared" si="1"/>
        <v>63277488.621659994</v>
      </c>
      <c r="M6" s="62">
        <f t="shared" si="4"/>
        <v>-0.2614182012202193</v>
      </c>
      <c r="N6" s="51">
        <f t="shared" si="2"/>
        <v>64821.437663450437</v>
      </c>
      <c r="O6" s="69">
        <f t="shared" si="5"/>
        <v>1.6458300588631878</v>
      </c>
      <c r="P6" s="51">
        <f t="shared" si="3"/>
        <v>18656.283483236475</v>
      </c>
      <c r="Q6" s="69">
        <f t="shared" si="6"/>
        <v>-0.72907516487515189</v>
      </c>
      <c r="S6" s="53" t="s">
        <v>169</v>
      </c>
      <c r="V6">
        <v>20.728980381047723</v>
      </c>
      <c r="W6">
        <v>3.6892235030364589</v>
      </c>
      <c r="X6" s="50">
        <v>767147804436.61731</v>
      </c>
      <c r="Y6">
        <v>1.2076117506249389</v>
      </c>
      <c r="Z6">
        <v>4.9765918405302099</v>
      </c>
      <c r="AA6">
        <v>28.721289647208501</v>
      </c>
      <c r="AB6" s="20">
        <f t="shared" si="7"/>
        <v>0.951399925894576</v>
      </c>
      <c r="AC6">
        <v>66.302120093188705</v>
      </c>
      <c r="AE6">
        <v>1.4257361795839901E-2</v>
      </c>
      <c r="AF6" s="77">
        <f t="shared" si="8"/>
        <v>1.0296995830918008E-3</v>
      </c>
      <c r="AH6">
        <v>17.6035501284581</v>
      </c>
      <c r="AI6">
        <v>54.018356437936689</v>
      </c>
      <c r="AJ6">
        <v>26.84197145367191</v>
      </c>
      <c r="AK6">
        <v>1.5865735164702106</v>
      </c>
    </row>
    <row r="7" spans="1:37" x14ac:dyDescent="0.25">
      <c r="A7" t="s">
        <v>226</v>
      </c>
      <c r="B7">
        <v>2004</v>
      </c>
      <c r="C7" s="50">
        <v>4188405380395.4912</v>
      </c>
      <c r="D7">
        <v>2.1129482372312651</v>
      </c>
      <c r="F7" s="50">
        <v>1183158996665.1575</v>
      </c>
      <c r="G7">
        <v>0.22331046113610853</v>
      </c>
      <c r="I7">
        <v>66508242</v>
      </c>
      <c r="J7">
        <v>4.734</v>
      </c>
      <c r="K7" s="6">
        <f t="shared" si="0"/>
        <v>95.266000000000005</v>
      </c>
      <c r="L7" s="6">
        <f t="shared" si="1"/>
        <v>63359741.823720001</v>
      </c>
      <c r="M7" s="62">
        <f t="shared" si="4"/>
        <v>0.12998809505826556</v>
      </c>
      <c r="N7" s="51">
        <f t="shared" si="2"/>
        <v>66105.152259750481</v>
      </c>
      <c r="O7" s="69">
        <f t="shared" si="5"/>
        <v>1.9803858762976283</v>
      </c>
      <c r="P7" s="51">
        <f t="shared" si="3"/>
        <v>18673.671366227347</v>
      </c>
      <c r="Q7" s="69">
        <f t="shared" si="6"/>
        <v>9.3201215593103209E-2</v>
      </c>
      <c r="S7" s="53" t="s">
        <v>169</v>
      </c>
      <c r="V7">
        <v>20.968284664221752</v>
      </c>
      <c r="W7">
        <v>5.2725079432044453</v>
      </c>
      <c r="X7" s="50">
        <v>807595733361.65637</v>
      </c>
      <c r="Y7">
        <v>1.1538358664365029</v>
      </c>
      <c r="Z7">
        <v>4.9385207330691303</v>
      </c>
      <c r="AA7">
        <v>27.822772205516198</v>
      </c>
      <c r="AB7" s="20">
        <f t="shared" si="7"/>
        <v>0.39140629627848489</v>
      </c>
      <c r="AC7">
        <v>67.238696018052195</v>
      </c>
      <c r="AE7">
        <v>1.3438229117267201E-2</v>
      </c>
      <c r="AF7" s="77">
        <f t="shared" si="8"/>
        <v>-8.1913267857269996E-4</v>
      </c>
      <c r="AH7">
        <v>17.501726881992749</v>
      </c>
      <c r="AI7">
        <v>53.946072650435127</v>
      </c>
      <c r="AJ7">
        <v>26.36550867219281</v>
      </c>
      <c r="AK7">
        <v>1.8891986126586391</v>
      </c>
    </row>
    <row r="8" spans="1:37" x14ac:dyDescent="0.25">
      <c r="A8" t="s">
        <v>226</v>
      </c>
      <c r="B8">
        <v>2005</v>
      </c>
      <c r="C8" s="50">
        <v>4265818895379.4917</v>
      </c>
      <c r="D8">
        <v>1.8482813374833995</v>
      </c>
      <c r="F8" s="50">
        <v>1217192251512.9783</v>
      </c>
      <c r="G8">
        <v>2.8764734869739925</v>
      </c>
      <c r="I8">
        <v>66581356</v>
      </c>
      <c r="J8">
        <v>4.4459999999999997</v>
      </c>
      <c r="K8" s="6">
        <f t="shared" si="0"/>
        <v>95.554000000000002</v>
      </c>
      <c r="L8" s="6">
        <f t="shared" si="1"/>
        <v>63621148.912240006</v>
      </c>
      <c r="M8" s="62">
        <f t="shared" si="4"/>
        <v>0.41257600014737172</v>
      </c>
      <c r="N8" s="51">
        <f t="shared" si="2"/>
        <v>67050.327891183289</v>
      </c>
      <c r="O8" s="69">
        <f t="shared" si="5"/>
        <v>1.4298062996948859</v>
      </c>
      <c r="P8" s="51">
        <f t="shared" si="3"/>
        <v>19131.881022645346</v>
      </c>
      <c r="Q8" s="69">
        <f t="shared" si="6"/>
        <v>2.4537738050092481</v>
      </c>
      <c r="S8" s="53" t="s">
        <v>169</v>
      </c>
      <c r="V8">
        <v>21.074752337801637</v>
      </c>
      <c r="W8">
        <v>3.6194835541111843</v>
      </c>
      <c r="X8" s="50">
        <v>836826528114.38525</v>
      </c>
      <c r="Y8">
        <v>1.0490984865232611</v>
      </c>
      <c r="Z8">
        <v>4.7663078188352399</v>
      </c>
      <c r="AA8">
        <v>27.392084976308698</v>
      </c>
      <c r="AB8" s="20">
        <f t="shared" si="7"/>
        <v>0.28258790508910614</v>
      </c>
      <c r="AC8">
        <v>67.841607204856103</v>
      </c>
      <c r="AE8">
        <v>1.6946011292191698E-2</v>
      </c>
      <c r="AF8" s="77">
        <f t="shared" si="8"/>
        <v>3.5077821749244977E-3</v>
      </c>
      <c r="AH8">
        <v>17.516075991672267</v>
      </c>
      <c r="AI8">
        <v>54.091422688976174</v>
      </c>
      <c r="AJ8">
        <v>26.881220398328797</v>
      </c>
      <c r="AK8">
        <v>1.3877940814149701</v>
      </c>
    </row>
    <row r="9" spans="1:37" x14ac:dyDescent="0.25">
      <c r="A9" t="s">
        <v>226</v>
      </c>
      <c r="B9">
        <v>2006</v>
      </c>
      <c r="C9" s="50">
        <v>4331781612600.8667</v>
      </c>
      <c r="D9">
        <v>1.5463084307874055</v>
      </c>
      <c r="F9" s="50">
        <v>1226161096960.8037</v>
      </c>
      <c r="G9">
        <v>0.73684707051636167</v>
      </c>
      <c r="I9">
        <v>66694003</v>
      </c>
      <c r="J9">
        <v>4.1920000000000002</v>
      </c>
      <c r="K9" s="6">
        <f t="shared" si="0"/>
        <v>95.807999999999993</v>
      </c>
      <c r="L9" s="6">
        <f t="shared" si="1"/>
        <v>63898190.394239992</v>
      </c>
      <c r="M9" s="62">
        <f t="shared" si="4"/>
        <v>0.43545501258102265</v>
      </c>
      <c r="N9" s="51">
        <f t="shared" si="2"/>
        <v>67791.92940949621</v>
      </c>
      <c r="O9" s="69">
        <f t="shared" si="5"/>
        <v>1.1060371241084361</v>
      </c>
      <c r="P9" s="51">
        <f t="shared" si="3"/>
        <v>19189.292989294641</v>
      </c>
      <c r="Q9" s="69">
        <f t="shared" si="6"/>
        <v>0.30008532136144822</v>
      </c>
      <c r="S9" s="53" t="s">
        <v>169</v>
      </c>
      <c r="V9">
        <v>21.149683849890671</v>
      </c>
      <c r="W9">
        <v>3.9753848633023949</v>
      </c>
      <c r="X9" s="50">
        <v>870093603245.14355</v>
      </c>
      <c r="Y9">
        <v>1.0335648190970206</v>
      </c>
      <c r="Z9">
        <v>4.6176054680227896</v>
      </c>
      <c r="AA9">
        <v>27.495246318005801</v>
      </c>
      <c r="AB9" s="20">
        <f t="shared" si="7"/>
        <v>2.2879012433650925E-2</v>
      </c>
      <c r="AC9">
        <v>67.887146650735801</v>
      </c>
      <c r="AE9">
        <v>1.9307519404401102E-2</v>
      </c>
      <c r="AF9" s="77">
        <f t="shared" si="8"/>
        <v>2.3615081122094032E-3</v>
      </c>
      <c r="AH9">
        <v>17.334812030353369</v>
      </c>
      <c r="AI9">
        <v>54.296533633265874</v>
      </c>
      <c r="AJ9">
        <v>27.050091940669596</v>
      </c>
      <c r="AK9">
        <v>1.2835250459703347</v>
      </c>
    </row>
    <row r="10" spans="1:37" x14ac:dyDescent="0.25">
      <c r="A10" t="s">
        <v>226</v>
      </c>
      <c r="B10">
        <v>2007</v>
      </c>
      <c r="C10" s="50">
        <v>4406651221892.0088</v>
      </c>
      <c r="D10">
        <v>1.7283791286557744</v>
      </c>
      <c r="F10" s="50">
        <v>1212738962189.998</v>
      </c>
      <c r="G10">
        <v>-1.0946469272328159</v>
      </c>
      <c r="I10">
        <v>66797225</v>
      </c>
      <c r="J10">
        <v>3.8879999999999999</v>
      </c>
      <c r="K10" s="6">
        <f t="shared" si="0"/>
        <v>96.111999999999995</v>
      </c>
      <c r="L10" s="6">
        <f t="shared" si="1"/>
        <v>64200148.891999997</v>
      </c>
      <c r="M10" s="62">
        <f t="shared" si="4"/>
        <v>0.47256189243698038</v>
      </c>
      <c r="N10" s="51">
        <f t="shared" si="2"/>
        <v>68639.267944768319</v>
      </c>
      <c r="O10" s="69">
        <f t="shared" si="5"/>
        <v>1.2499106348688975</v>
      </c>
      <c r="P10" s="51">
        <f t="shared" si="3"/>
        <v>18889.971177950305</v>
      </c>
      <c r="Q10" s="69">
        <f t="shared" si="6"/>
        <v>-1.5598376214867455</v>
      </c>
      <c r="S10" s="53" t="s">
        <v>169</v>
      </c>
      <c r="V10">
        <v>21.746600214370538</v>
      </c>
      <c r="W10">
        <v>5.4347531277969949</v>
      </c>
      <c r="X10" s="50">
        <v>917381042562.27063</v>
      </c>
      <c r="Y10">
        <v>1.016653289166465</v>
      </c>
      <c r="Z10">
        <v>4.5882607780789204</v>
      </c>
      <c r="AA10">
        <v>27.290260731194699</v>
      </c>
      <c r="AB10" s="20">
        <f t="shared" si="7"/>
        <v>3.7106879855957731E-2</v>
      </c>
      <c r="AC10">
        <v>68.121489386786294</v>
      </c>
      <c r="AE10">
        <v>2.2674304663253399E-2</v>
      </c>
      <c r="AF10" s="77">
        <f t="shared" si="8"/>
        <v>3.3667852588522978E-3</v>
      </c>
      <c r="AH10">
        <v>17.32974812655317</v>
      </c>
      <c r="AI10">
        <v>54.124264030904321</v>
      </c>
      <c r="AJ10">
        <v>26.457940937372548</v>
      </c>
      <c r="AK10">
        <v>1.7424538320156908</v>
      </c>
    </row>
    <row r="11" spans="1:37" x14ac:dyDescent="0.25">
      <c r="A11" t="s">
        <v>226</v>
      </c>
      <c r="B11">
        <v>2008</v>
      </c>
      <c r="C11" s="50">
        <v>4355242255151.6631</v>
      </c>
      <c r="D11">
        <v>-1.1666220935514104</v>
      </c>
      <c r="F11" s="50">
        <v>1168164827312.2065</v>
      </c>
      <c r="G11">
        <v>-3.6754929352066199</v>
      </c>
      <c r="I11">
        <v>66611354</v>
      </c>
      <c r="J11">
        <v>4.0019999999999998</v>
      </c>
      <c r="K11" s="6">
        <f t="shared" si="0"/>
        <v>95.998000000000005</v>
      </c>
      <c r="L11" s="6">
        <f t="shared" si="1"/>
        <v>63945567.612920001</v>
      </c>
      <c r="M11" s="62">
        <f t="shared" si="4"/>
        <v>-0.39654312875233766</v>
      </c>
      <c r="N11" s="51">
        <f t="shared" si="2"/>
        <v>68108.587001919121</v>
      </c>
      <c r="O11" s="69">
        <f t="shared" si="5"/>
        <v>-0.77314481744796404</v>
      </c>
      <c r="P11" s="51">
        <f t="shared" si="3"/>
        <v>18268.112566979271</v>
      </c>
      <c r="Q11" s="69">
        <f t="shared" si="6"/>
        <v>-3.2920040222025904</v>
      </c>
      <c r="S11" s="53" t="s">
        <v>169</v>
      </c>
      <c r="V11">
        <v>21.291356570121913</v>
      </c>
      <c r="W11">
        <v>0.21369602246103625</v>
      </c>
      <c r="X11" s="50">
        <v>919341449361.03784</v>
      </c>
      <c r="Y11">
        <v>1.0301761264627676</v>
      </c>
      <c r="Z11">
        <v>4.5758736182003004</v>
      </c>
      <c r="AA11">
        <v>26.771635935298701</v>
      </c>
      <c r="AB11" s="20">
        <f t="shared" si="7"/>
        <v>-0.86910502118931809</v>
      </c>
      <c r="AC11">
        <v>68.652490446501005</v>
      </c>
      <c r="AE11">
        <v>2.3972482548509699E-2</v>
      </c>
      <c r="AF11" s="77">
        <f t="shared" si="8"/>
        <v>1.2981778852562999E-3</v>
      </c>
      <c r="AH11">
        <v>17.6813434344154</v>
      </c>
      <c r="AI11">
        <v>55.02436086706912</v>
      </c>
      <c r="AJ11">
        <v>26.386945740120005</v>
      </c>
      <c r="AK11">
        <v>0.33636108306018836</v>
      </c>
    </row>
    <row r="12" spans="1:37" x14ac:dyDescent="0.25">
      <c r="A12" t="s">
        <v>226</v>
      </c>
      <c r="B12">
        <v>2009</v>
      </c>
      <c r="C12" s="50">
        <v>4096717638451.292</v>
      </c>
      <c r="D12">
        <v>-5.9359411383964016</v>
      </c>
      <c r="F12" s="50">
        <v>1045747486186.2349</v>
      </c>
      <c r="G12">
        <v>-10.479457886746843</v>
      </c>
      <c r="I12">
        <v>66339021</v>
      </c>
      <c r="J12">
        <v>5.0679999999999996</v>
      </c>
      <c r="K12" s="6">
        <f t="shared" si="0"/>
        <v>94.932000000000002</v>
      </c>
      <c r="L12" s="6">
        <f t="shared" si="1"/>
        <v>62976959.415720001</v>
      </c>
      <c r="M12" s="62">
        <f t="shared" si="4"/>
        <v>-1.5147386024677276</v>
      </c>
      <c r="N12" s="51">
        <f t="shared" si="2"/>
        <v>65051.054805746775</v>
      </c>
      <c r="O12" s="69">
        <f t="shared" si="5"/>
        <v>-4.4892022148193922</v>
      </c>
      <c r="P12" s="51">
        <f t="shared" si="3"/>
        <v>16605.239374659304</v>
      </c>
      <c r="Q12" s="69">
        <f t="shared" si="6"/>
        <v>-9.1025998784664353</v>
      </c>
      <c r="S12" s="53" t="s">
        <v>169</v>
      </c>
      <c r="V12">
        <v>19.056287256311407</v>
      </c>
      <c r="W12">
        <v>-17.167772289390797</v>
      </c>
      <c r="X12" s="50">
        <v>761511002772.74988</v>
      </c>
      <c r="Y12">
        <v>1.0747920795687775</v>
      </c>
      <c r="Z12">
        <v>4.5675950073722298</v>
      </c>
      <c r="AA12">
        <v>26.094293020591699</v>
      </c>
      <c r="AB12" s="20">
        <f t="shared" si="7"/>
        <v>-1.1181954737153901</v>
      </c>
      <c r="AC12">
        <v>69.338115144218307</v>
      </c>
      <c r="AE12">
        <v>1.9448966255428898E-2</v>
      </c>
      <c r="AF12" s="77">
        <f t="shared" si="8"/>
        <v>-4.5235162930808009E-3</v>
      </c>
      <c r="AH12">
        <v>19.044472173176278</v>
      </c>
      <c r="AI12">
        <v>56.852017285266378</v>
      </c>
      <c r="AJ12">
        <v>24.683991583655697</v>
      </c>
      <c r="AK12">
        <v>0.44390669128209076</v>
      </c>
    </row>
    <row r="13" spans="1:37" x14ac:dyDescent="0.25">
      <c r="A13" t="s">
        <v>226</v>
      </c>
      <c r="B13">
        <v>2010</v>
      </c>
      <c r="C13" s="50">
        <v>4266176556594.7241</v>
      </c>
      <c r="D13">
        <v>4.1364558922223864</v>
      </c>
      <c r="F13" s="50">
        <v>1029127102046.9187</v>
      </c>
      <c r="G13">
        <v>-1.5893305371385082</v>
      </c>
      <c r="I13">
        <v>66100429</v>
      </c>
      <c r="J13">
        <v>5.1020000000000003</v>
      </c>
      <c r="K13" s="6">
        <f t="shared" si="0"/>
        <v>94.897999999999996</v>
      </c>
      <c r="L13" s="6">
        <f t="shared" si="1"/>
        <v>62727985.112419993</v>
      </c>
      <c r="M13" s="62">
        <f t="shared" si="4"/>
        <v>-0.39534189266981412</v>
      </c>
      <c r="N13" s="51">
        <f t="shared" si="2"/>
        <v>68010.737933778</v>
      </c>
      <c r="O13" s="69">
        <f t="shared" si="5"/>
        <v>4.5497849909879697</v>
      </c>
      <c r="P13" s="51">
        <f t="shared" si="3"/>
        <v>16406.187767748881</v>
      </c>
      <c r="Q13" s="69">
        <f t="shared" si="6"/>
        <v>-1.1987277173142665</v>
      </c>
      <c r="S13" s="53" t="s">
        <v>169</v>
      </c>
      <c r="V13">
        <v>20.874835045152345</v>
      </c>
      <c r="W13">
        <v>16.886878489115944</v>
      </c>
      <c r="X13" s="50">
        <v>890106440492.23242</v>
      </c>
      <c r="Y13">
        <v>1.1114016633878256</v>
      </c>
      <c r="Z13">
        <v>4.4259377078792497</v>
      </c>
      <c r="AA13">
        <v>25.519323328132199</v>
      </c>
      <c r="AB13" s="20">
        <f t="shared" si="7"/>
        <v>1.1193967097979134</v>
      </c>
      <c r="AC13">
        <v>70.054729407466098</v>
      </c>
      <c r="AE13">
        <v>2.0096881916469401E-2</v>
      </c>
      <c r="AF13" s="77">
        <f t="shared" si="8"/>
        <v>6.4791566104050249E-4</v>
      </c>
      <c r="AH13">
        <v>18.95277292725364</v>
      </c>
      <c r="AI13">
        <v>56.149532402503155</v>
      </c>
      <c r="AJ13">
        <v>23.56351085075536</v>
      </c>
      <c r="AK13">
        <v>1.3254607170272608</v>
      </c>
    </row>
    <row r="14" spans="1:37" x14ac:dyDescent="0.25">
      <c r="A14" t="s">
        <v>226</v>
      </c>
      <c r="B14">
        <v>2011</v>
      </c>
      <c r="C14" s="50">
        <v>4257628936826.6714</v>
      </c>
      <c r="D14">
        <v>-0.20035785332981959</v>
      </c>
      <c r="F14" s="50">
        <v>1043902933263.4606</v>
      </c>
      <c r="G14">
        <v>1.4357634919100803</v>
      </c>
      <c r="I14">
        <v>65674339</v>
      </c>
      <c r="J14">
        <v>4.55</v>
      </c>
      <c r="K14" s="6">
        <f t="shared" si="0"/>
        <v>95.45</v>
      </c>
      <c r="L14" s="6">
        <f t="shared" si="1"/>
        <v>62686156.575500004</v>
      </c>
      <c r="M14" s="62">
        <f t="shared" si="4"/>
        <v>-6.6682417496790825E-2</v>
      </c>
      <c r="N14" s="51">
        <f t="shared" si="2"/>
        <v>67919.763619559744</v>
      </c>
      <c r="O14" s="69">
        <f t="shared" si="5"/>
        <v>-0.13376463332428132</v>
      </c>
      <c r="P14" s="51">
        <f t="shared" si="3"/>
        <v>16652.846342655743</v>
      </c>
      <c r="Q14" s="69">
        <f t="shared" si="6"/>
        <v>1.5034484451759154</v>
      </c>
      <c r="S14" s="53" t="s">
        <v>169</v>
      </c>
      <c r="V14">
        <v>19.681527391437957</v>
      </c>
      <c r="W14">
        <v>-3.1910773685471412</v>
      </c>
      <c r="X14" s="50">
        <v>861702455313.70435</v>
      </c>
      <c r="Y14">
        <v>1.1059540010615754</v>
      </c>
      <c r="Z14">
        <v>4.1566854604195598</v>
      </c>
      <c r="AA14">
        <v>25.430185651152598</v>
      </c>
      <c r="AB14" s="20">
        <f t="shared" si="7"/>
        <v>0.3286594751730233</v>
      </c>
      <c r="AC14">
        <v>70.413119336653494</v>
      </c>
      <c r="AE14">
        <v>2.16769702777793E-2</v>
      </c>
      <c r="AF14" s="77">
        <f t="shared" si="8"/>
        <v>1.580088361309899E-3</v>
      </c>
      <c r="AH14">
        <v>19.675521109785251</v>
      </c>
      <c r="AI14">
        <v>56.515219239257533</v>
      </c>
      <c r="AJ14">
        <v>24.263482206640035</v>
      </c>
      <c r="AK14">
        <v>-0.64233291162983752</v>
      </c>
    </row>
    <row r="15" spans="1:37" x14ac:dyDescent="0.25">
      <c r="A15" t="s">
        <v>226</v>
      </c>
      <c r="B15">
        <v>2012</v>
      </c>
      <c r="C15" s="50">
        <v>4327834450517.2847</v>
      </c>
      <c r="D15">
        <v>1.6489345298122515</v>
      </c>
      <c r="F15" s="50">
        <v>1079737882066.5382</v>
      </c>
      <c r="G15">
        <v>3.4327855264330083</v>
      </c>
      <c r="I15">
        <v>65377600</v>
      </c>
      <c r="J15">
        <v>4.3579999999999997</v>
      </c>
      <c r="K15" s="6">
        <f t="shared" si="0"/>
        <v>95.641999999999996</v>
      </c>
      <c r="L15" s="6">
        <f t="shared" si="1"/>
        <v>62528444.191999994</v>
      </c>
      <c r="M15" s="62">
        <f t="shared" si="4"/>
        <v>-0.25159045013400844</v>
      </c>
      <c r="N15" s="51">
        <f t="shared" si="2"/>
        <v>69213.85149498083</v>
      </c>
      <c r="O15" s="69">
        <f t="shared" si="5"/>
        <v>1.9053185795370033</v>
      </c>
      <c r="P15" s="51">
        <f t="shared" si="3"/>
        <v>17267.947348107566</v>
      </c>
      <c r="Q15" s="69">
        <f t="shared" si="6"/>
        <v>3.6936688947658212</v>
      </c>
      <c r="S15" s="53" t="s">
        <v>169</v>
      </c>
      <c r="V15">
        <v>19.732235591996549</v>
      </c>
      <c r="W15">
        <v>2.0336463223787291</v>
      </c>
      <c r="X15" s="50">
        <v>879226435606.0387</v>
      </c>
      <c r="Y15">
        <v>1.1366165977841101</v>
      </c>
      <c r="Z15">
        <v>4.0601899788929403</v>
      </c>
      <c r="AA15">
        <v>25.311193891919999</v>
      </c>
      <c r="AB15" s="20">
        <f t="shared" si="7"/>
        <v>-0.18490803263721761</v>
      </c>
      <c r="AC15">
        <v>70.628616129187094</v>
      </c>
      <c r="AE15">
        <v>2.00901706635674E-2</v>
      </c>
      <c r="AF15" s="77">
        <f t="shared" si="8"/>
        <v>-1.5867996142118999E-3</v>
      </c>
      <c r="AH15">
        <v>19.729504957783011</v>
      </c>
      <c r="AI15">
        <v>56.910196366238196</v>
      </c>
      <c r="AJ15">
        <v>24.760777645049608</v>
      </c>
      <c r="AK15">
        <v>-1.6264686310479837</v>
      </c>
    </row>
    <row r="16" spans="1:37" x14ac:dyDescent="0.25">
      <c r="A16" t="s">
        <v>226</v>
      </c>
      <c r="B16">
        <v>2013</v>
      </c>
      <c r="C16" s="50">
        <v>4414273272427.5156</v>
      </c>
      <c r="D16">
        <v>1.9972765339926468</v>
      </c>
      <c r="F16" s="50">
        <v>1117252417200.4368</v>
      </c>
      <c r="G16">
        <v>3.4744113137994646</v>
      </c>
      <c r="I16">
        <v>65621150</v>
      </c>
      <c r="J16">
        <v>4.0380000000000003</v>
      </c>
      <c r="K16" s="6">
        <f t="shared" si="0"/>
        <v>95.962000000000003</v>
      </c>
      <c r="L16" s="6">
        <f t="shared" si="1"/>
        <v>62971367.963</v>
      </c>
      <c r="M16" s="62">
        <f t="shared" si="4"/>
        <v>0.70835565593150296</v>
      </c>
      <c r="N16" s="51">
        <f t="shared" si="2"/>
        <v>70099.688401579653</v>
      </c>
      <c r="O16" s="69">
        <f t="shared" si="5"/>
        <v>1.2798549531130496</v>
      </c>
      <c r="P16" s="51">
        <f t="shared" si="3"/>
        <v>17742.228783355942</v>
      </c>
      <c r="Q16" s="69">
        <f t="shared" si="6"/>
        <v>2.7465999616935024</v>
      </c>
      <c r="S16" s="53" t="s">
        <v>169</v>
      </c>
      <c r="V16">
        <v>19.180714612072258</v>
      </c>
      <c r="W16">
        <v>-1.4564912307609745</v>
      </c>
      <c r="X16" s="50">
        <v>866420579672.90454</v>
      </c>
      <c r="Y16">
        <v>1.0755931406911587</v>
      </c>
      <c r="Z16">
        <v>3.8866416737988501</v>
      </c>
      <c r="AA16">
        <v>25.1886060017838</v>
      </c>
      <c r="AB16" s="20">
        <f t="shared" si="7"/>
        <v>0.95994610606551145</v>
      </c>
      <c r="AC16">
        <v>70.9247554935138</v>
      </c>
      <c r="AE16">
        <v>2.3212686609098799E-2</v>
      </c>
      <c r="AF16" s="77">
        <f t="shared" si="8"/>
        <v>3.122515945531399E-3</v>
      </c>
      <c r="AH16">
        <v>19.631066402644777</v>
      </c>
      <c r="AI16">
        <v>57.379750552566669</v>
      </c>
      <c r="AJ16">
        <v>25.5195914592327</v>
      </c>
      <c r="AK16">
        <v>-2.3839512835696515</v>
      </c>
    </row>
    <row r="17" spans="1:37" x14ac:dyDescent="0.25">
      <c r="A17" t="s">
        <v>226</v>
      </c>
      <c r="B17">
        <v>2014</v>
      </c>
      <c r="C17" s="50">
        <v>4454262857599.7031</v>
      </c>
      <c r="D17">
        <v>0.90591548606586514</v>
      </c>
      <c r="F17" s="50">
        <v>1162669984212.5786</v>
      </c>
      <c r="G17">
        <v>4.0651124412822668</v>
      </c>
      <c r="I17">
        <v>65843453</v>
      </c>
      <c r="J17">
        <v>3.589</v>
      </c>
      <c r="K17" s="6">
        <f t="shared" si="0"/>
        <v>96.411000000000001</v>
      </c>
      <c r="L17" s="6">
        <f t="shared" si="1"/>
        <v>63480331.471830003</v>
      </c>
      <c r="M17" s="62">
        <f t="shared" si="4"/>
        <v>0.80824591444329819</v>
      </c>
      <c r="N17" s="51">
        <f t="shared" si="2"/>
        <v>70167.605529538298</v>
      </c>
      <c r="O17" s="69">
        <f t="shared" si="5"/>
        <v>9.6886490521281607E-2</v>
      </c>
      <c r="P17" s="51">
        <f t="shared" si="3"/>
        <v>18315.436565237917</v>
      </c>
      <c r="Q17" s="69">
        <f t="shared" si="6"/>
        <v>3.2307540889096353</v>
      </c>
      <c r="S17" s="53" t="s">
        <v>169</v>
      </c>
      <c r="V17">
        <v>19.407775915743496</v>
      </c>
      <c r="W17">
        <v>2.9031184885573822</v>
      </c>
      <c r="X17" s="50">
        <v>891573795710.05469</v>
      </c>
      <c r="Y17">
        <v>0.99105365309165427</v>
      </c>
      <c r="Z17">
        <v>3.81313828581695</v>
      </c>
      <c r="AA17">
        <v>25.125568425648702</v>
      </c>
      <c r="AB17" s="20">
        <f t="shared" si="7"/>
        <v>9.9890258511795227E-2</v>
      </c>
      <c r="AC17">
        <v>71.061293288534301</v>
      </c>
      <c r="AE17">
        <v>2.80708839630582E-2</v>
      </c>
      <c r="AF17" s="77">
        <f t="shared" si="8"/>
        <v>4.8581973539594016E-3</v>
      </c>
      <c r="AH17">
        <v>19.569565912101044</v>
      </c>
      <c r="AI17">
        <v>56.631080187711227</v>
      </c>
      <c r="AJ17">
        <v>26.401397459673664</v>
      </c>
      <c r="AK17">
        <v>-2.5485994733968478</v>
      </c>
    </row>
    <row r="18" spans="1:37" x14ac:dyDescent="0.25">
      <c r="A18" t="s">
        <v>226</v>
      </c>
      <c r="B18">
        <v>2015</v>
      </c>
      <c r="C18" s="50">
        <v>4534438580494.9404</v>
      </c>
      <c r="D18">
        <v>1.7999773578347487</v>
      </c>
      <c r="F18" s="50">
        <v>1195854146307.6975</v>
      </c>
      <c r="G18">
        <v>2.8541342380652424</v>
      </c>
      <c r="I18">
        <v>65931158</v>
      </c>
      <c r="J18">
        <v>3.3849999999999998</v>
      </c>
      <c r="K18" s="6">
        <f t="shared" si="0"/>
        <v>96.614999999999995</v>
      </c>
      <c r="L18" s="6">
        <f t="shared" si="1"/>
        <v>63699388.301699996</v>
      </c>
      <c r="M18" s="62">
        <f t="shared" si="4"/>
        <v>0.34507827037292893</v>
      </c>
      <c r="N18" s="51">
        <f t="shared" si="2"/>
        <v>71184.962703541794</v>
      </c>
      <c r="O18" s="69">
        <f t="shared" si="5"/>
        <v>1.4498958120713157</v>
      </c>
      <c r="P18" s="51">
        <f t="shared" si="3"/>
        <v>18773.400784380574</v>
      </c>
      <c r="Q18" s="69">
        <f t="shared" si="6"/>
        <v>2.5004275356005334</v>
      </c>
      <c r="S18" s="53" t="s">
        <v>169</v>
      </c>
      <c r="V18">
        <v>20.074017971941092</v>
      </c>
      <c r="W18">
        <v>2.0940745404323167</v>
      </c>
      <c r="X18" s="50">
        <v>910244015575.18494</v>
      </c>
      <c r="Y18">
        <v>1.020320598790198</v>
      </c>
      <c r="Z18">
        <v>3.7833056923664299</v>
      </c>
      <c r="AA18">
        <v>24.90449732946</v>
      </c>
      <c r="AB18" s="20">
        <f t="shared" si="7"/>
        <v>-0.46316764407036926</v>
      </c>
      <c r="AC18">
        <v>71.312206387419593</v>
      </c>
      <c r="AE18">
        <v>2.8968712269602501E-2</v>
      </c>
      <c r="AF18" s="77">
        <f t="shared" si="8"/>
        <v>8.9782830654430018E-4</v>
      </c>
      <c r="AH18">
        <v>19.160699674438256</v>
      </c>
      <c r="AI18">
        <v>54.830544465532341</v>
      </c>
      <c r="AJ18">
        <v>26.37270579541444</v>
      </c>
      <c r="AK18">
        <v>-0.54341063139738666</v>
      </c>
    </row>
    <row r="19" spans="1:37" x14ac:dyDescent="0.25">
      <c r="A19" t="s">
        <v>226</v>
      </c>
      <c r="B19">
        <v>2016</v>
      </c>
      <c r="C19" s="50">
        <v>4566405760116.5449</v>
      </c>
      <c r="D19">
        <v>0.70498649511125677</v>
      </c>
      <c r="F19" s="50">
        <v>1203736153032.0645</v>
      </c>
      <c r="G19">
        <v>0.65911104198646342</v>
      </c>
      <c r="I19">
        <v>66529155</v>
      </c>
      <c r="J19">
        <v>3.1320000000000001</v>
      </c>
      <c r="K19" s="6">
        <f t="shared" si="0"/>
        <v>96.867999999999995</v>
      </c>
      <c r="L19" s="6">
        <f t="shared" si="1"/>
        <v>64445461.865400001</v>
      </c>
      <c r="M19" s="62">
        <f t="shared" si="4"/>
        <v>1.1712413314965764</v>
      </c>
      <c r="N19" s="51">
        <f t="shared" si="2"/>
        <v>70856.901757549407</v>
      </c>
      <c r="O19" s="69">
        <f t="shared" si="5"/>
        <v>-0.46085708769510181</v>
      </c>
      <c r="P19" s="51">
        <f t="shared" si="3"/>
        <v>18678.369557598533</v>
      </c>
      <c r="Q19" s="69">
        <f t="shared" si="6"/>
        <v>-0.50620144891972196</v>
      </c>
      <c r="S19" s="53" t="s">
        <v>169</v>
      </c>
      <c r="V19">
        <v>20.02776765534005</v>
      </c>
      <c r="W19">
        <v>0.86648629529422294</v>
      </c>
      <c r="X19" s="50">
        <v>918131155223.87988</v>
      </c>
      <c r="Y19">
        <v>1.1043749435671597</v>
      </c>
      <c r="Z19">
        <v>3.6604770381459502</v>
      </c>
      <c r="AA19">
        <v>24.594734051284</v>
      </c>
      <c r="AB19" s="20">
        <f t="shared" si="7"/>
        <v>0.82616306112364746</v>
      </c>
      <c r="AC19">
        <v>71.744788910569994</v>
      </c>
      <c r="AE19">
        <v>2.51768652546394E-2</v>
      </c>
      <c r="AF19" s="77">
        <f t="shared" si="8"/>
        <v>-3.7918470149631012E-3</v>
      </c>
      <c r="AH19">
        <v>19.195223632328759</v>
      </c>
      <c r="AI19">
        <v>53.776206871370533</v>
      </c>
      <c r="AJ19">
        <v>26.128395997917874</v>
      </c>
      <c r="AK19">
        <v>0.78851291776939281</v>
      </c>
    </row>
    <row r="20" spans="1:37" x14ac:dyDescent="0.25">
      <c r="A20" t="s">
        <v>226</v>
      </c>
      <c r="B20">
        <v>2017</v>
      </c>
      <c r="C20" s="50">
        <v>4640539102852.9512</v>
      </c>
      <c r="D20">
        <v>1.6234506224544134</v>
      </c>
      <c r="F20" s="50">
        <v>1223113258308.4861</v>
      </c>
      <c r="G20">
        <v>1.6097468891013165</v>
      </c>
      <c r="I20">
        <v>67070828</v>
      </c>
      <c r="J20">
        <v>2.8220000000000001</v>
      </c>
      <c r="K20" s="6">
        <f t="shared" si="0"/>
        <v>97.177999999999997</v>
      </c>
      <c r="L20" s="6">
        <f t="shared" si="1"/>
        <v>65178089.233839996</v>
      </c>
      <c r="M20" s="62">
        <f t="shared" si="4"/>
        <v>1.136817624133335</v>
      </c>
      <c r="N20" s="51">
        <f t="shared" si="2"/>
        <v>71197.838988560237</v>
      </c>
      <c r="O20" s="69">
        <f t="shared" si="5"/>
        <v>0.48116305194575515</v>
      </c>
      <c r="P20" s="51">
        <f t="shared" si="3"/>
        <v>18765.71210794953</v>
      </c>
      <c r="Q20" s="69">
        <f t="shared" si="6"/>
        <v>0.46761335394750919</v>
      </c>
      <c r="S20" s="53" t="s">
        <v>169</v>
      </c>
      <c r="V20">
        <v>20.143934286406935</v>
      </c>
      <c r="W20">
        <v>4.2332505930130964</v>
      </c>
      <c r="X20" s="50">
        <v>956997947797.03271</v>
      </c>
      <c r="Y20">
        <v>1.1081382859185411</v>
      </c>
      <c r="Z20">
        <v>3.5973366882553401</v>
      </c>
      <c r="AA20">
        <v>24.581906234304501</v>
      </c>
      <c r="AB20" s="20">
        <f t="shared" si="7"/>
        <v>-3.4423707363241407E-2</v>
      </c>
      <c r="AC20">
        <v>71.820757077440206</v>
      </c>
      <c r="AE20">
        <v>3.8445869458276598E-2</v>
      </c>
      <c r="AF20" s="77">
        <f t="shared" si="8"/>
        <v>1.3269004203637198E-2</v>
      </c>
      <c r="AH20">
        <v>18.987894585034301</v>
      </c>
      <c r="AI20">
        <v>53.634703487230126</v>
      </c>
      <c r="AJ20">
        <v>26.42029377883242</v>
      </c>
      <c r="AK20">
        <v>0.74281699960539282</v>
      </c>
    </row>
    <row r="21" spans="1:37" x14ac:dyDescent="0.25">
      <c r="A21" t="s">
        <v>226</v>
      </c>
      <c r="B21">
        <v>2018</v>
      </c>
      <c r="C21" s="50">
        <v>4679247874199.0254</v>
      </c>
      <c r="D21">
        <v>0.83414384596558477</v>
      </c>
      <c r="F21" s="50">
        <v>1238755972792.5483</v>
      </c>
      <c r="G21">
        <v>1.2789260829120224</v>
      </c>
      <c r="I21">
        <v>68187091</v>
      </c>
      <c r="J21">
        <v>2.4670000000000001</v>
      </c>
      <c r="K21" s="6">
        <f t="shared" si="0"/>
        <v>97.533000000000001</v>
      </c>
      <c r="L21" s="6">
        <f t="shared" si="1"/>
        <v>66504915.46503</v>
      </c>
      <c r="M21" s="62">
        <f t="shared" si="4"/>
        <v>2.0356936614538323</v>
      </c>
      <c r="N21" s="51">
        <f t="shared" si="2"/>
        <v>70359.428945661843</v>
      </c>
      <c r="O21" s="69">
        <f t="shared" si="5"/>
        <v>-1.177577936084699</v>
      </c>
      <c r="P21" s="51">
        <f t="shared" si="3"/>
        <v>18626.532552227935</v>
      </c>
      <c r="Q21" s="69">
        <f t="shared" si="6"/>
        <v>-0.74166946034856995</v>
      </c>
      <c r="S21" s="53" t="s">
        <v>169</v>
      </c>
      <c r="V21">
        <v>20.330438097982352</v>
      </c>
      <c r="W21">
        <v>3.7499108296410242</v>
      </c>
      <c r="X21" s="50">
        <v>992884517480.91602</v>
      </c>
      <c r="Y21">
        <v>1.0112561901139148</v>
      </c>
      <c r="Z21">
        <v>3.5126589666988401</v>
      </c>
      <c r="AA21">
        <v>24.4484966180265</v>
      </c>
      <c r="AB21" s="20">
        <f t="shared" si="7"/>
        <v>0.89887603732049737</v>
      </c>
      <c r="AC21">
        <v>72.038844415274696</v>
      </c>
      <c r="AE21">
        <v>3.6755402240890599E-2</v>
      </c>
      <c r="AF21" s="77">
        <f t="shared" si="8"/>
        <v>-1.6904672173859991E-3</v>
      </c>
      <c r="AH21">
        <v>19.104933906230919</v>
      </c>
      <c r="AI21">
        <v>53.739984028913113</v>
      </c>
      <c r="AJ21">
        <v>26.733420773130621</v>
      </c>
      <c r="AK21">
        <v>1.8711999486957384E-2</v>
      </c>
    </row>
    <row r="22" spans="1:37" x14ac:dyDescent="0.25">
      <c r="A22" t="s">
        <v>226</v>
      </c>
      <c r="B22">
        <v>2019</v>
      </c>
      <c r="C22" s="50">
        <v>4664812538574.46</v>
      </c>
      <c r="D22">
        <v>-0.30849692114325933</v>
      </c>
      <c r="F22" s="50">
        <v>1259327468541.104</v>
      </c>
      <c r="G22">
        <v>1.6606576436665677</v>
      </c>
      <c r="I22">
        <v>68812048</v>
      </c>
      <c r="J22">
        <v>2.351</v>
      </c>
      <c r="K22" s="6">
        <f t="shared" si="0"/>
        <v>97.649000000000001</v>
      </c>
      <c r="L22" s="6">
        <f t="shared" si="1"/>
        <v>67194276.751519993</v>
      </c>
      <c r="M22" s="62">
        <f t="shared" si="4"/>
        <v>1.0365568945839458</v>
      </c>
      <c r="N22" s="51">
        <f t="shared" si="2"/>
        <v>69422.76580823437</v>
      </c>
      <c r="O22" s="69">
        <f t="shared" si="5"/>
        <v>-1.3312546043414482</v>
      </c>
      <c r="P22" s="51">
        <f t="shared" si="3"/>
        <v>18741.588263506637</v>
      </c>
      <c r="Q22" s="69">
        <f t="shared" si="6"/>
        <v>0.61769795830808505</v>
      </c>
      <c r="S22" s="53" t="s">
        <v>169</v>
      </c>
      <c r="V22">
        <v>20.053704021068906</v>
      </c>
      <c r="W22">
        <v>-0.88808077103949756</v>
      </c>
      <c r="X22" s="50">
        <v>984066901002.53967</v>
      </c>
      <c r="Y22">
        <v>0.9811520045887121</v>
      </c>
      <c r="Z22">
        <v>3.3754388764429901</v>
      </c>
      <c r="AA22">
        <v>24.225756536984001</v>
      </c>
      <c r="AB22" s="20">
        <f t="shared" si="7"/>
        <v>-0.99913676686988651</v>
      </c>
      <c r="AC22">
        <v>72.398807561451903</v>
      </c>
      <c r="AE22">
        <v>9.3228661590860101E-2</v>
      </c>
      <c r="AF22" s="77">
        <f t="shared" si="8"/>
        <v>5.6473259349969503E-2</v>
      </c>
      <c r="AH22">
        <v>19.445157544619278</v>
      </c>
      <c r="AI22">
        <v>53.513180306310524</v>
      </c>
      <c r="AJ22">
        <v>27.177854567202598</v>
      </c>
      <c r="AK22">
        <v>-0.28270244369908964</v>
      </c>
    </row>
    <row r="23" spans="1:37" x14ac:dyDescent="0.25">
      <c r="A23" t="s">
        <v>226</v>
      </c>
      <c r="B23">
        <v>2020</v>
      </c>
      <c r="C23" s="50">
        <v>4465005582812.9785</v>
      </c>
      <c r="D23">
        <v>-4.2832794267557261</v>
      </c>
      <c r="F23" s="50">
        <v>1215880605374.9951</v>
      </c>
      <c r="G23">
        <v>-3.45000520130327</v>
      </c>
      <c r="I23">
        <v>68656452</v>
      </c>
      <c r="J23">
        <v>2.8090000000000002</v>
      </c>
      <c r="K23" s="6">
        <f t="shared" si="0"/>
        <v>97.191000000000003</v>
      </c>
      <c r="L23" s="6">
        <f t="shared" si="1"/>
        <v>66727892.263320006</v>
      </c>
      <c r="M23" s="62">
        <f t="shared" si="4"/>
        <v>-0.6940836493034156</v>
      </c>
      <c r="N23" s="51">
        <f t="shared" si="2"/>
        <v>66913.63133715179</v>
      </c>
      <c r="O23" s="69">
        <f t="shared" si="5"/>
        <v>-3.6142819172798877</v>
      </c>
      <c r="P23" s="51">
        <f t="shared" si="3"/>
        <v>18221.474770653869</v>
      </c>
      <c r="Q23" s="69">
        <f t="shared" si="6"/>
        <v>-2.7751836479383445</v>
      </c>
      <c r="S23" s="53">
        <v>41.629829999999998</v>
      </c>
      <c r="V23">
        <v>19.783624726210054</v>
      </c>
      <c r="W23">
        <v>-6.1172472387425643</v>
      </c>
      <c r="X23" s="50">
        <v>923869095673.58228</v>
      </c>
      <c r="Y23">
        <v>1.0045762807305301</v>
      </c>
      <c r="Z23">
        <v>3.2570569194557102</v>
      </c>
      <c r="AA23">
        <v>23.931926038039101</v>
      </c>
      <c r="AB23" s="20">
        <f t="shared" si="7"/>
        <v>-1.7306405438873615</v>
      </c>
      <c r="AC23">
        <v>72.811017042505199</v>
      </c>
      <c r="AE23">
        <v>9.6997201204450503E-2</v>
      </c>
      <c r="AF23" s="77">
        <f t="shared" si="8"/>
        <v>3.768539613590402E-3</v>
      </c>
      <c r="AH23">
        <v>20.437616320118742</v>
      </c>
      <c r="AI23">
        <v>52.937746266566364</v>
      </c>
      <c r="AJ23">
        <v>27.136698609428628</v>
      </c>
      <c r="AK23">
        <v>-0.26184209196454483</v>
      </c>
    </row>
    <row r="24" spans="1:37" x14ac:dyDescent="0.25">
      <c r="A24" t="s">
        <v>226</v>
      </c>
      <c r="B24">
        <v>2021</v>
      </c>
      <c r="C24" s="50">
        <v>4624147102598.6904</v>
      </c>
      <c r="D24">
        <v>3.5641953147447509</v>
      </c>
      <c r="F24" s="50">
        <v>1228525618112.1375</v>
      </c>
      <c r="G24">
        <v>1.039988028532008</v>
      </c>
      <c r="I24">
        <v>68592854</v>
      </c>
      <c r="J24">
        <v>2.8079999999999998</v>
      </c>
      <c r="K24" s="6">
        <f t="shared" si="0"/>
        <v>97.192000000000007</v>
      </c>
      <c r="L24" s="6">
        <f t="shared" si="1"/>
        <v>66666766.659680009</v>
      </c>
      <c r="M24" s="62">
        <f t="shared" si="4"/>
        <v>-9.1604277561750574E-2</v>
      </c>
      <c r="N24" s="51">
        <f t="shared" si="2"/>
        <v>69362.102503095739</v>
      </c>
      <c r="O24" s="69">
        <f t="shared" si="5"/>
        <v>3.6591515316319545</v>
      </c>
      <c r="P24" s="51">
        <f t="shared" si="3"/>
        <v>18427.856631828352</v>
      </c>
      <c r="Q24" s="69">
        <f t="shared" si="6"/>
        <v>1.1326298434793314</v>
      </c>
      <c r="S24" s="53" t="s">
        <v>169</v>
      </c>
      <c r="V24">
        <v>19.676366636400029</v>
      </c>
      <c r="W24">
        <v>6.2091300540067209</v>
      </c>
      <c r="X24" s="50">
        <v>981233329352.73071</v>
      </c>
      <c r="Y24">
        <v>0.93864938260240094</v>
      </c>
      <c r="Z24">
        <v>3.1665180734956899</v>
      </c>
      <c r="AA24">
        <v>23.697096196032799</v>
      </c>
      <c r="AB24" s="20">
        <f t="shared" si="7"/>
        <v>0.60247937174166499</v>
      </c>
      <c r="AC24">
        <v>73.136394730663497</v>
      </c>
      <c r="AE24">
        <v>4.7304462766874403E-2</v>
      </c>
      <c r="AF24" s="77">
        <f t="shared" si="8"/>
        <v>-4.9692738437576101E-2</v>
      </c>
      <c r="AH24">
        <v>20.532497583550569</v>
      </c>
      <c r="AI24">
        <v>52.643763049873002</v>
      </c>
      <c r="AJ24">
        <v>27.077884989560104</v>
      </c>
      <c r="AK24">
        <v>-0.50142197413806322</v>
      </c>
    </row>
    <row r="25" spans="1:37" x14ac:dyDescent="0.25">
      <c r="A25" t="s">
        <v>226</v>
      </c>
      <c r="B25">
        <v>2022</v>
      </c>
      <c r="C25" s="50">
        <v>4685724442189.0674</v>
      </c>
      <c r="D25">
        <v>1.3316475065374078</v>
      </c>
      <c r="F25" s="50">
        <v>1234288127593.8076</v>
      </c>
      <c r="G25">
        <v>0.46905895951321952</v>
      </c>
      <c r="I25">
        <v>68931266</v>
      </c>
      <c r="J25">
        <v>2.6139999999999999</v>
      </c>
      <c r="K25" s="6">
        <f t="shared" si="0"/>
        <v>97.385999999999996</v>
      </c>
      <c r="L25" s="6">
        <f t="shared" si="1"/>
        <v>67129402.706759989</v>
      </c>
      <c r="M25" s="62">
        <f t="shared" si="4"/>
        <v>0.6939530297631521</v>
      </c>
      <c r="N25" s="51">
        <f t="shared" si="2"/>
        <v>69801.37247247115</v>
      </c>
      <c r="O25" s="69">
        <f t="shared" si="5"/>
        <v>0.63329967449560209</v>
      </c>
      <c r="P25" s="51">
        <f t="shared" si="3"/>
        <v>18386.699089004611</v>
      </c>
      <c r="Q25" s="69">
        <f t="shared" si="6"/>
        <v>-0.22334416663875237</v>
      </c>
      <c r="S25" s="53" t="s">
        <v>169</v>
      </c>
      <c r="V25">
        <v>18.823745436404067</v>
      </c>
      <c r="W25">
        <v>2.4197275090146064</v>
      </c>
      <c r="X25" s="50">
        <v>1004976502150.6986</v>
      </c>
      <c r="Y25">
        <v>0.84865701967137652</v>
      </c>
      <c r="Z25">
        <v>3.0950261039242402</v>
      </c>
      <c r="AA25">
        <v>23.622131923842399</v>
      </c>
      <c r="AB25" s="20">
        <f t="shared" si="7"/>
        <v>0.7855573073249027</v>
      </c>
      <c r="AC25">
        <v>73.282831534033704</v>
      </c>
      <c r="AE25" t="s">
        <v>169</v>
      </c>
      <c r="AF25" s="76"/>
      <c r="AH25">
        <v>20.710356597343207</v>
      </c>
      <c r="AI25">
        <v>54.543763504431354</v>
      </c>
      <c r="AJ25">
        <v>27.834661137294098</v>
      </c>
      <c r="AK25">
        <v>-3.5648963259740198</v>
      </c>
    </row>
    <row r="26" spans="1:37" x14ac:dyDescent="0.25">
      <c r="A26" t="s">
        <v>226</v>
      </c>
      <c r="B26">
        <v>2023</v>
      </c>
      <c r="C26" s="50">
        <v>4719498455389.4365</v>
      </c>
      <c r="D26">
        <v>0.72078530474981051</v>
      </c>
      <c r="F26" s="50">
        <v>1257908270654.4453</v>
      </c>
      <c r="G26">
        <v>1.9136652563193763</v>
      </c>
      <c r="I26">
        <v>69197135</v>
      </c>
      <c r="J26">
        <v>2.6</v>
      </c>
      <c r="K26" s="6">
        <f t="shared" si="0"/>
        <v>97.4</v>
      </c>
      <c r="L26" s="6">
        <f t="shared" si="1"/>
        <v>67398009.49000001</v>
      </c>
      <c r="M26" s="62">
        <f t="shared" si="4"/>
        <v>0.40013283659526938</v>
      </c>
      <c r="N26" s="51">
        <f t="shared" si="2"/>
        <v>70024.300288715182</v>
      </c>
      <c r="O26" s="69">
        <f t="shared" si="5"/>
        <v>0.3193745457253746</v>
      </c>
      <c r="P26" s="51">
        <f t="shared" si="3"/>
        <v>18663.878654177228</v>
      </c>
      <c r="Q26" s="69">
        <f t="shared" si="6"/>
        <v>1.5075004155496978</v>
      </c>
      <c r="S26" s="53" t="s">
        <v>169</v>
      </c>
      <c r="V26">
        <v>19.488290400027271</v>
      </c>
      <c r="W26">
        <v>-1.2039654711156373</v>
      </c>
      <c r="X26" s="50">
        <v>992876932071.97839</v>
      </c>
      <c r="Y26">
        <v>0.82534539545771091</v>
      </c>
      <c r="Z26">
        <v>3.0051346759508801</v>
      </c>
      <c r="AA26">
        <v>23.708847999943401</v>
      </c>
      <c r="AB26" s="20">
        <f t="shared" si="7"/>
        <v>-0.29382019316788272</v>
      </c>
      <c r="AC26">
        <v>73.286015838644204</v>
      </c>
      <c r="AE26" t="s">
        <v>169</v>
      </c>
      <c r="AF26" s="76"/>
      <c r="AH26">
        <v>20.094621554364782</v>
      </c>
      <c r="AI26">
        <v>53.597729342421594</v>
      </c>
      <c r="AJ26">
        <v>27.84769647080595</v>
      </c>
      <c r="AK26">
        <v>-1.4764631115540887</v>
      </c>
    </row>
    <row r="27" spans="1:37" x14ac:dyDescent="0.25">
      <c r="A27" t="s">
        <v>226</v>
      </c>
      <c r="B27">
        <v>2024</v>
      </c>
      <c r="C27" s="50">
        <v>4708167683577.8154</v>
      </c>
      <c r="D27">
        <v>-0.24008423604169593</v>
      </c>
      <c r="F27" s="50">
        <v>1250790447407.51</v>
      </c>
      <c r="G27">
        <v>-0.56584596929567965</v>
      </c>
      <c r="I27">
        <v>69501768</v>
      </c>
      <c r="J27">
        <v>2.5</v>
      </c>
      <c r="K27" s="6">
        <f t="shared" si="0"/>
        <v>97.5</v>
      </c>
      <c r="L27" s="6">
        <f t="shared" si="1"/>
        <v>67764223.799999997</v>
      </c>
      <c r="M27" s="62">
        <f t="shared" si="4"/>
        <v>0.5433607205481692</v>
      </c>
      <c r="N27" s="51">
        <f t="shared" si="2"/>
        <v>69478.663217239053</v>
      </c>
      <c r="O27" s="69">
        <f t="shared" si="5"/>
        <v>-0.77921102992308133</v>
      </c>
      <c r="P27" s="51">
        <f t="shared" si="3"/>
        <v>18457.976455232561</v>
      </c>
      <c r="Q27" s="69">
        <f t="shared" si="6"/>
        <v>-1.1032122677168328</v>
      </c>
      <c r="S27" s="53" t="s">
        <v>169</v>
      </c>
      <c r="V27">
        <v>18.81744047074702</v>
      </c>
      <c r="W27">
        <v>-5.7836044198951271</v>
      </c>
      <c r="X27" s="50">
        <v>935452857944.54431</v>
      </c>
      <c r="Y27">
        <v>0.95827039572644446</v>
      </c>
      <c r="Z27">
        <v>2.8824500761338601</v>
      </c>
      <c r="AA27">
        <v>23.344843518808201</v>
      </c>
      <c r="AB27" s="20">
        <f t="shared" si="7"/>
        <v>0.14322788395289981</v>
      </c>
      <c r="AC27">
        <v>73.772706405057903</v>
      </c>
      <c r="AE27" t="s">
        <v>169</v>
      </c>
      <c r="AF27" s="76"/>
      <c r="AH27">
        <v>20.144396476965625</v>
      </c>
      <c r="AI27">
        <v>53.06955249390596</v>
      </c>
      <c r="AJ27">
        <v>27.813618489308229</v>
      </c>
      <c r="AK27">
        <v>-0.89312011806516911</v>
      </c>
    </row>
    <row r="28" spans="1:37" s="15" customFormat="1" x14ac:dyDescent="0.25">
      <c r="A28" s="15" t="s">
        <v>113</v>
      </c>
      <c r="C28" s="16"/>
      <c r="D28" s="16"/>
      <c r="E28" s="21"/>
      <c r="F28" s="16"/>
      <c r="H28" s="22"/>
      <c r="K28" s="17"/>
      <c r="L28" s="17"/>
      <c r="M28" s="63"/>
      <c r="N28" s="17"/>
      <c r="O28" s="63"/>
      <c r="P28" s="17"/>
      <c r="Q28" s="73"/>
      <c r="R28" s="24"/>
      <c r="T28" s="20"/>
      <c r="U28" s="22"/>
      <c r="X28" s="57">
        <f>AVERAGE(X3:X27)</f>
        <v>886015680021.56677</v>
      </c>
      <c r="Y28" s="15">
        <f>AVERAGE(Y3:Y27)</f>
        <v>1.0686524576080969</v>
      </c>
      <c r="Z28" s="15">
        <f>AVERAGE(Z3:Z27)</f>
        <v>4.095018939517149</v>
      </c>
      <c r="AA28" s="15">
        <f>AVERAGE(AA3:AA27)</f>
        <v>25.923805694612593</v>
      </c>
      <c r="AB28" s="20"/>
      <c r="AC28" s="15">
        <f>AVERAGE(AC3:AC27)</f>
        <v>69.981175043331774</v>
      </c>
      <c r="AD28" s="22"/>
      <c r="AF28" s="77"/>
    </row>
  </sheetData>
  <mergeCells count="1">
    <mergeCell ref="V2:A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883D-1A27-744D-8F46-B6D2A846FEA6}">
  <dimension ref="A1:E25"/>
  <sheetViews>
    <sheetView tabSelected="1" zoomScaleNormal="100" workbookViewId="0">
      <selection activeCell="J26" sqref="J26"/>
    </sheetView>
  </sheetViews>
  <sheetFormatPr defaultColWidth="11.42578125" defaultRowHeight="15" x14ac:dyDescent="0.25"/>
  <sheetData>
    <row r="1" spans="1:5" x14ac:dyDescent="0.25">
      <c r="A1" s="27"/>
      <c r="B1" s="79"/>
      <c r="C1" s="79"/>
      <c r="D1" s="79"/>
      <c r="E1" s="79"/>
    </row>
    <row r="4" spans="1:5" x14ac:dyDescent="0.25">
      <c r="B4" s="53"/>
      <c r="C4" s="53"/>
      <c r="D4" s="53"/>
      <c r="E4" s="53"/>
    </row>
    <row r="5" spans="1:5" x14ac:dyDescent="0.25">
      <c r="B5" s="53"/>
      <c r="C5" s="53"/>
      <c r="D5" s="53"/>
      <c r="E5" s="53"/>
    </row>
    <row r="6" spans="1:5" x14ac:dyDescent="0.25">
      <c r="B6" s="53"/>
      <c r="C6" s="53"/>
      <c r="D6" s="53"/>
      <c r="E6" s="53"/>
    </row>
    <row r="7" spans="1:5" x14ac:dyDescent="0.25">
      <c r="B7" s="53"/>
      <c r="C7" s="53"/>
      <c r="D7" s="53"/>
      <c r="E7" s="53"/>
    </row>
    <row r="8" spans="1:5" x14ac:dyDescent="0.25">
      <c r="B8" s="53"/>
      <c r="C8" s="53"/>
      <c r="D8" s="53"/>
      <c r="E8" s="53"/>
    </row>
    <row r="9" spans="1:5" x14ac:dyDescent="0.25">
      <c r="B9" s="53"/>
      <c r="C9" s="53"/>
      <c r="D9" s="53"/>
      <c r="E9" s="53"/>
    </row>
    <row r="10" spans="1:5" x14ac:dyDescent="0.25">
      <c r="B10" s="53"/>
      <c r="C10" s="53"/>
      <c r="D10" s="53"/>
      <c r="E10" s="53"/>
    </row>
    <row r="11" spans="1:5" x14ac:dyDescent="0.25">
      <c r="B11" s="53"/>
      <c r="C11" s="53"/>
      <c r="D11" s="53"/>
      <c r="E11" s="53"/>
    </row>
    <row r="12" spans="1:5" x14ac:dyDescent="0.25">
      <c r="B12" s="53"/>
      <c r="C12" s="53"/>
      <c r="D12" s="53"/>
      <c r="E12" s="53"/>
    </row>
    <row r="13" spans="1:5" x14ac:dyDescent="0.25">
      <c r="B13" s="53"/>
      <c r="C13" s="53"/>
      <c r="D13" s="53"/>
      <c r="E13" s="53"/>
    </row>
    <row r="14" spans="1:5" x14ac:dyDescent="0.25">
      <c r="B14" s="53"/>
      <c r="C14" s="53"/>
      <c r="D14" s="53"/>
      <c r="E14" s="53"/>
    </row>
    <row r="15" spans="1:5" x14ac:dyDescent="0.25">
      <c r="B15" s="53"/>
      <c r="C15" s="53"/>
      <c r="D15" s="53"/>
      <c r="E15" s="53"/>
    </row>
    <row r="16" spans="1:5" x14ac:dyDescent="0.25">
      <c r="B16" s="53"/>
      <c r="C16" s="53"/>
      <c r="D16" s="53"/>
      <c r="E16" s="53"/>
    </row>
    <row r="17" spans="2:5" x14ac:dyDescent="0.25">
      <c r="B17" s="53"/>
      <c r="C17" s="53"/>
      <c r="D17" s="53"/>
      <c r="E17" s="53"/>
    </row>
    <row r="18" spans="2:5" x14ac:dyDescent="0.25">
      <c r="B18" s="53"/>
      <c r="C18" s="53"/>
      <c r="D18" s="53"/>
      <c r="E18" s="53"/>
    </row>
    <row r="19" spans="2:5" x14ac:dyDescent="0.25">
      <c r="B19" s="53"/>
      <c r="C19" s="53"/>
      <c r="D19" s="53"/>
      <c r="E19" s="53"/>
    </row>
    <row r="20" spans="2:5" x14ac:dyDescent="0.25">
      <c r="B20" s="53"/>
      <c r="C20" s="53"/>
      <c r="D20" s="53"/>
      <c r="E20" s="53"/>
    </row>
    <row r="21" spans="2:5" x14ac:dyDescent="0.25">
      <c r="B21" s="53"/>
      <c r="C21" s="53"/>
      <c r="D21" s="53"/>
      <c r="E21" s="53"/>
    </row>
    <row r="22" spans="2:5" x14ac:dyDescent="0.25">
      <c r="B22" s="53"/>
      <c r="C22" s="53"/>
      <c r="D22" s="53"/>
      <c r="E22" s="53"/>
    </row>
    <row r="23" spans="2:5" x14ac:dyDescent="0.25">
      <c r="B23" s="53"/>
      <c r="C23" s="53"/>
      <c r="D23" s="53"/>
      <c r="E23" s="53"/>
    </row>
    <row r="24" spans="2:5" x14ac:dyDescent="0.25">
      <c r="B24" s="53"/>
      <c r="C24" s="53"/>
      <c r="D24" s="53"/>
      <c r="E24" s="53"/>
    </row>
    <row r="25" spans="2:5" x14ac:dyDescent="0.25">
      <c r="B25" s="53"/>
      <c r="C25" s="53"/>
      <c r="D25" s="53"/>
      <c r="E25" s="5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E039-9D98-4AD9-9E87-88901946F8BA}">
  <dimension ref="A1:AG29"/>
  <sheetViews>
    <sheetView topLeftCell="D2" zoomScale="85" zoomScaleNormal="85" workbookViewId="0">
      <selection activeCell="L3" sqref="L3"/>
    </sheetView>
  </sheetViews>
  <sheetFormatPr defaultColWidth="8.85546875" defaultRowHeight="15" x14ac:dyDescent="0.25"/>
  <cols>
    <col min="2" max="2" width="9" style="3"/>
    <col min="3" max="3" width="18.42578125" bestFit="1" customWidth="1"/>
    <col min="5" max="5" width="17.42578125" bestFit="1" customWidth="1"/>
    <col min="8" max="8" width="9" style="43"/>
    <col min="9" max="9" width="17.42578125" style="6" customWidth="1"/>
    <col min="10" max="10" width="19" style="6" customWidth="1"/>
    <col min="11" max="11" width="9" style="66"/>
    <col min="12" max="12" width="12.140625" style="6" customWidth="1"/>
    <col min="13" max="13" width="16.28515625" style="69" customWidth="1"/>
    <col min="14" max="14" width="11.42578125" style="6" customWidth="1"/>
    <col min="15" max="15" width="9" style="66"/>
    <col min="16" max="16" width="9" style="40"/>
    <col min="17" max="17" width="15.42578125" customWidth="1"/>
    <col min="18" max="18" width="13.28515625" style="20" customWidth="1"/>
    <col min="21" max="21" width="9.28515625" customWidth="1"/>
    <col min="25" max="25" width="14.85546875" style="20" customWidth="1"/>
    <col min="28" max="28" width="12" style="77" bestFit="1" customWidth="1"/>
    <col min="29" max="29" width="5.42578125" customWidth="1"/>
    <col min="30" max="33" width="9" style="2"/>
  </cols>
  <sheetData>
    <row r="1" spans="1:33" s="2" customFormat="1" ht="151.35" customHeight="1" x14ac:dyDescent="0.25">
      <c r="A1" s="2" t="s">
        <v>28</v>
      </c>
      <c r="B1" s="2" t="s">
        <v>74</v>
      </c>
      <c r="C1" s="2" t="s">
        <v>43</v>
      </c>
      <c r="D1" s="2" t="s">
        <v>29</v>
      </c>
      <c r="E1" s="2" t="s">
        <v>80</v>
      </c>
      <c r="F1" s="2" t="s">
        <v>40</v>
      </c>
      <c r="G1" s="2" t="s">
        <v>73</v>
      </c>
      <c r="H1" s="2" t="s">
        <v>63</v>
      </c>
      <c r="I1" s="4" t="s">
        <v>107</v>
      </c>
      <c r="J1" s="4" t="s">
        <v>108</v>
      </c>
      <c r="K1" s="64" t="s">
        <v>149</v>
      </c>
      <c r="L1" s="4" t="s">
        <v>109</v>
      </c>
      <c r="M1" s="67" t="s">
        <v>114</v>
      </c>
      <c r="N1" s="4" t="s">
        <v>110</v>
      </c>
      <c r="O1" s="64" t="s">
        <v>160</v>
      </c>
      <c r="P1" s="41"/>
      <c r="Q1" s="2" t="s">
        <v>141</v>
      </c>
      <c r="R1" s="31" t="s">
        <v>154</v>
      </c>
      <c r="S1" s="2" t="s">
        <v>39</v>
      </c>
      <c r="T1" s="2" t="s">
        <v>71</v>
      </c>
      <c r="U1" s="2" t="s">
        <v>103</v>
      </c>
      <c r="V1" s="2" t="s">
        <v>38</v>
      </c>
      <c r="W1" s="2" t="s">
        <v>81</v>
      </c>
      <c r="X1" s="2" t="s">
        <v>11</v>
      </c>
      <c r="Y1" s="42" t="s">
        <v>170</v>
      </c>
      <c r="Z1" s="2" t="s">
        <v>84</v>
      </c>
      <c r="AA1" s="2" t="s">
        <v>140</v>
      </c>
      <c r="AB1" s="74" t="s">
        <v>153</v>
      </c>
      <c r="AD1" s="2" t="s">
        <v>161</v>
      </c>
      <c r="AE1" s="2" t="s">
        <v>162</v>
      </c>
      <c r="AF1" s="2" t="s">
        <v>163</v>
      </c>
      <c r="AG1" s="2" t="s">
        <v>164</v>
      </c>
    </row>
    <row r="2" spans="1:33" s="47" customFormat="1" ht="113.25" thickBot="1" x14ac:dyDescent="0.3">
      <c r="C2" s="47" t="s">
        <v>106</v>
      </c>
      <c r="E2" s="47" t="s">
        <v>171</v>
      </c>
      <c r="I2" s="48" t="s">
        <v>111</v>
      </c>
      <c r="J2" s="46" t="s">
        <v>112</v>
      </c>
      <c r="K2" s="60" t="s">
        <v>150</v>
      </c>
      <c r="L2" s="46" t="s">
        <v>172</v>
      </c>
      <c r="M2" s="68" t="s">
        <v>143</v>
      </c>
      <c r="N2" s="48" t="s">
        <v>173</v>
      </c>
      <c r="O2" s="71" t="s">
        <v>146</v>
      </c>
      <c r="P2" s="49"/>
      <c r="Q2" s="47" t="s">
        <v>174</v>
      </c>
      <c r="R2" s="44" t="s">
        <v>152</v>
      </c>
      <c r="Y2" s="44" t="s">
        <v>152</v>
      </c>
      <c r="AB2" s="78" t="s">
        <v>152</v>
      </c>
      <c r="AD2" s="45" t="s">
        <v>165</v>
      </c>
      <c r="AE2" s="45" t="s">
        <v>166</v>
      </c>
      <c r="AF2" s="45" t="s">
        <v>167</v>
      </c>
      <c r="AG2" s="45" t="s">
        <v>168</v>
      </c>
    </row>
    <row r="3" spans="1:33" ht="15.75" thickTop="1" x14ac:dyDescent="0.25">
      <c r="A3" t="s">
        <v>75</v>
      </c>
      <c r="B3" s="3">
        <v>2000</v>
      </c>
      <c r="C3" s="50">
        <v>140533304238.72125</v>
      </c>
      <c r="D3">
        <v>9.0383163255516337</v>
      </c>
      <c r="E3" s="50">
        <v>43703162220.646263</v>
      </c>
      <c r="F3">
        <v>11.414764762166143</v>
      </c>
      <c r="G3">
        <v>2138100</v>
      </c>
      <c r="H3" s="43">
        <v>3.7</v>
      </c>
      <c r="I3" s="6">
        <f>100-H3</f>
        <v>96.3</v>
      </c>
      <c r="J3" s="6">
        <f>(I3/100)*G3</f>
        <v>2058990.2999999998</v>
      </c>
      <c r="K3" s="65"/>
      <c r="L3" s="51">
        <f>C3/J3</f>
        <v>68253.504758483454</v>
      </c>
      <c r="M3" s="65"/>
      <c r="N3" s="51">
        <f>E3/J3</f>
        <v>21225.530892810068</v>
      </c>
      <c r="O3" s="65"/>
      <c r="Q3" t="s">
        <v>169</v>
      </c>
      <c r="R3" s="37"/>
      <c r="S3">
        <v>25.861486037755899</v>
      </c>
      <c r="T3">
        <v>15.146298038161788</v>
      </c>
      <c r="U3">
        <v>29918062298.838032</v>
      </c>
      <c r="V3">
        <v>9.2131732680321002E-2</v>
      </c>
      <c r="W3">
        <v>0.17689908365402099</v>
      </c>
      <c r="X3">
        <v>27.293652478865699</v>
      </c>
      <c r="Y3" s="37"/>
      <c r="Z3">
        <v>72.529399958696104</v>
      </c>
      <c r="AA3">
        <v>3.26034372238966E-4</v>
      </c>
      <c r="AB3" s="76"/>
      <c r="AD3">
        <v>10.504164644115525</v>
      </c>
      <c r="AE3">
        <v>41.855216732958041</v>
      </c>
      <c r="AF3">
        <v>32.326344362576407</v>
      </c>
      <c r="AG3">
        <v>12.337260101284532</v>
      </c>
    </row>
    <row r="4" spans="1:33" x14ac:dyDescent="0.25">
      <c r="A4" t="s">
        <v>75</v>
      </c>
      <c r="B4" s="3">
        <v>2001</v>
      </c>
      <c r="C4" s="50">
        <v>139028385430.87299</v>
      </c>
      <c r="D4">
        <v>-1.0708627510044835</v>
      </c>
      <c r="E4" s="50">
        <v>41427454403.287689</v>
      </c>
      <c r="F4">
        <v>-5.2071925730891024</v>
      </c>
      <c r="G4">
        <v>2205923</v>
      </c>
      <c r="H4" s="43">
        <v>3.76</v>
      </c>
      <c r="I4" s="6">
        <f t="shared" ref="I4:I27" si="0">100-H4</f>
        <v>96.24</v>
      </c>
      <c r="J4" s="6">
        <f t="shared" ref="J4:J27" si="1">(I4/100)*G4</f>
        <v>2122980.2952000001</v>
      </c>
      <c r="K4" s="66">
        <f>((J4-J3)/J3)*100</f>
        <v>3.107833737730588</v>
      </c>
      <c r="L4" s="51">
        <f t="shared" ref="L4:L27" si="2">C4/J4</f>
        <v>65487.364977061887</v>
      </c>
      <c r="M4" s="69">
        <f>((L4-L3)/L3)*100</f>
        <v>-4.0527439451052576</v>
      </c>
      <c r="N4" s="51">
        <f t="shared" ref="N4:N27" si="3">E4/J4</f>
        <v>19513.819556853177</v>
      </c>
      <c r="O4" s="66">
        <f>((N4-N3)/N3)*100</f>
        <v>-8.0643982221274619</v>
      </c>
      <c r="Q4" t="s">
        <v>169</v>
      </c>
      <c r="R4" s="37"/>
      <c r="S4">
        <v>23.394697847414562</v>
      </c>
      <c r="T4">
        <v>-11.605048125430017</v>
      </c>
      <c r="U4">
        <v>26446056770.861744</v>
      </c>
      <c r="V4">
        <v>8.2356655909540694E-2</v>
      </c>
      <c r="W4">
        <v>0.173741005150197</v>
      </c>
      <c r="X4">
        <v>26.157941891234099</v>
      </c>
      <c r="Y4" s="20">
        <f>X5-X4</f>
        <v>-0.7680522989268006</v>
      </c>
      <c r="Z4">
        <v>73.668317103615706</v>
      </c>
      <c r="AA4">
        <v>4.0237915923044699E-4</v>
      </c>
      <c r="AB4" s="77">
        <f>AA4-AA3</f>
        <v>7.6344786991480989E-5</v>
      </c>
      <c r="AD4">
        <v>11.609926556509718</v>
      </c>
      <c r="AE4">
        <v>46.244971582292017</v>
      </c>
      <c r="AF4">
        <v>30.887040232314138</v>
      </c>
      <c r="AG4">
        <v>16.496255724564534</v>
      </c>
    </row>
    <row r="5" spans="1:33" x14ac:dyDescent="0.25">
      <c r="A5" t="s">
        <v>75</v>
      </c>
      <c r="B5" s="3">
        <v>2002</v>
      </c>
      <c r="C5" s="50">
        <v>144482970559.8894</v>
      </c>
      <c r="D5">
        <v>3.923360767020128</v>
      </c>
      <c r="E5" s="50">
        <v>37635189933.264236</v>
      </c>
      <c r="F5">
        <v>-9.1539886402542265</v>
      </c>
      <c r="G5">
        <v>2200772</v>
      </c>
      <c r="H5" s="43">
        <v>5.65</v>
      </c>
      <c r="I5" s="6">
        <f t="shared" si="0"/>
        <v>94.35</v>
      </c>
      <c r="J5" s="6">
        <f t="shared" si="1"/>
        <v>2076428.3819999998</v>
      </c>
      <c r="K5" s="66">
        <f t="shared" ref="K5:K27" si="4">((J5-J4)/J4)</f>
        <v>-2.1927623777409942E-2</v>
      </c>
      <c r="L5" s="51">
        <f t="shared" si="2"/>
        <v>69582.448309979532</v>
      </c>
      <c r="M5" s="69">
        <f t="shared" ref="M5:M27" si="5">((L5-L4)/L4)*100</f>
        <v>6.2532418800970557</v>
      </c>
      <c r="N5" s="51">
        <f t="shared" si="3"/>
        <v>18124.964125665781</v>
      </c>
      <c r="O5" s="66">
        <f t="shared" ref="O5:O27" si="6">((N5-N4)/N4)*100</f>
        <v>-7.117291554024006</v>
      </c>
      <c r="Q5" t="s">
        <v>169</v>
      </c>
      <c r="R5" s="37"/>
      <c r="S5">
        <v>24.737640322972926</v>
      </c>
      <c r="T5">
        <v>8.4686746225800107</v>
      </c>
      <c r="U5">
        <v>28685687269.288815</v>
      </c>
      <c r="V5">
        <v>7.1032800014001363E-2</v>
      </c>
      <c r="W5">
        <v>0.16944763175838501</v>
      </c>
      <c r="X5">
        <v>25.389889592307298</v>
      </c>
      <c r="Y5" s="20">
        <f t="shared" ref="Y5:Y27" si="7">X5-X4</f>
        <v>-0.7680522989268006</v>
      </c>
      <c r="Z5">
        <v>74.440662775934399</v>
      </c>
      <c r="AA5">
        <v>4.3398819080536202E-4</v>
      </c>
      <c r="AB5" s="77">
        <f t="shared" ref="AB5:AB27" si="8">AA5-AA4</f>
        <v>3.1609031574915034E-5</v>
      </c>
      <c r="AD5">
        <v>11.84032888729563</v>
      </c>
      <c r="AE5">
        <v>46.182484892705467</v>
      </c>
      <c r="AF5">
        <v>26.751423220905973</v>
      </c>
      <c r="AG5">
        <v>18.426222147387328</v>
      </c>
    </row>
    <row r="6" spans="1:33" x14ac:dyDescent="0.25">
      <c r="A6" t="s">
        <v>75</v>
      </c>
      <c r="B6" s="3">
        <v>2003</v>
      </c>
      <c r="C6" s="50">
        <v>151054425108.65015</v>
      </c>
      <c r="D6">
        <v>4.5482554264322914</v>
      </c>
      <c r="E6" s="50">
        <v>35694579310.094017</v>
      </c>
      <c r="F6">
        <v>-5.1563726039681654</v>
      </c>
      <c r="G6">
        <v>2176377</v>
      </c>
      <c r="H6" s="43">
        <v>5.93</v>
      </c>
      <c r="I6" s="6">
        <f t="shared" si="0"/>
        <v>94.07</v>
      </c>
      <c r="J6" s="6">
        <f t="shared" si="1"/>
        <v>2047317.8439</v>
      </c>
      <c r="K6" s="66">
        <f t="shared" si="4"/>
        <v>-1.4019524271750093E-2</v>
      </c>
      <c r="L6" s="51">
        <f t="shared" si="2"/>
        <v>73781.618989312294</v>
      </c>
      <c r="M6" s="69">
        <f t="shared" si="5"/>
        <v>6.0348130618027058</v>
      </c>
      <c r="N6" s="51">
        <f t="shared" si="3"/>
        <v>17434.801057611206</v>
      </c>
      <c r="O6" s="66">
        <f t="shared" si="6"/>
        <v>-3.8078037742280126</v>
      </c>
      <c r="Q6" t="s">
        <v>169</v>
      </c>
      <c r="R6" s="37"/>
      <c r="S6">
        <v>24.765412693196893</v>
      </c>
      <c r="T6">
        <v>2.9963638945377227</v>
      </c>
      <c r="U6">
        <v>29545214845.525787</v>
      </c>
      <c r="V6">
        <v>6.1134072311026647E-2</v>
      </c>
      <c r="W6">
        <v>0.16459654177274699</v>
      </c>
      <c r="X6">
        <v>24.785305691086901</v>
      </c>
      <c r="Y6" s="20">
        <f t="shared" si="7"/>
        <v>-0.60458390122039773</v>
      </c>
      <c r="Z6">
        <v>75.050049199261395</v>
      </c>
      <c r="AA6">
        <v>5.9371726127004001E-4</v>
      </c>
      <c r="AB6" s="77">
        <f t="shared" si="8"/>
        <v>1.5972907046467799E-4</v>
      </c>
      <c r="AD6">
        <v>11.4140839970397</v>
      </c>
      <c r="AE6">
        <v>45.535361064297177</v>
      </c>
      <c r="AF6">
        <v>24.766294434624459</v>
      </c>
      <c r="AG6">
        <v>27.953848478026121</v>
      </c>
    </row>
    <row r="7" spans="1:33" x14ac:dyDescent="0.25">
      <c r="A7" t="s">
        <v>75</v>
      </c>
      <c r="B7" s="3">
        <v>2004</v>
      </c>
      <c r="C7" s="50">
        <v>166069208808.39377</v>
      </c>
      <c r="D7">
        <v>9.9399826843495731</v>
      </c>
      <c r="E7" s="50">
        <v>39369010601.349266</v>
      </c>
      <c r="F7">
        <v>10.294087680187801</v>
      </c>
      <c r="G7">
        <v>2211220</v>
      </c>
      <c r="H7" s="43">
        <v>5.84</v>
      </c>
      <c r="I7" s="6">
        <f t="shared" si="0"/>
        <v>94.16</v>
      </c>
      <c r="J7" s="6">
        <f t="shared" si="1"/>
        <v>2082084.7520000001</v>
      </c>
      <c r="K7" s="66">
        <f t="shared" si="4"/>
        <v>1.6981685674058087E-2</v>
      </c>
      <c r="L7" s="51">
        <f t="shared" si="2"/>
        <v>79761.022527479596</v>
      </c>
      <c r="M7" s="69">
        <f t="shared" si="5"/>
        <v>8.1041912878510498</v>
      </c>
      <c r="N7" s="51">
        <f t="shared" si="3"/>
        <v>18908.457287116842</v>
      </c>
      <c r="O7" s="66">
        <f t="shared" si="6"/>
        <v>8.4523833947752856</v>
      </c>
      <c r="Q7" t="s">
        <v>169</v>
      </c>
      <c r="R7" s="37"/>
      <c r="S7">
        <v>27.119367597064286</v>
      </c>
      <c r="T7">
        <v>13.8458129716023</v>
      </c>
      <c r="U7">
        <v>33635990035.095367</v>
      </c>
      <c r="V7">
        <v>5.5648989626246571E-2</v>
      </c>
      <c r="W7">
        <v>0.15970081754349399</v>
      </c>
      <c r="X7">
        <v>24.4105337316422</v>
      </c>
      <c r="Y7" s="20">
        <f t="shared" si="7"/>
        <v>-0.37477195944470054</v>
      </c>
      <c r="Z7">
        <v>75.429717492610806</v>
      </c>
      <c r="AA7">
        <v>5.5564498338846495E-4</v>
      </c>
      <c r="AB7" s="77">
        <f t="shared" si="8"/>
        <v>-3.8072277881575061E-5</v>
      </c>
      <c r="AD7">
        <v>10.318670184588006</v>
      </c>
      <c r="AE7">
        <v>41.998426193084512</v>
      </c>
      <c r="AF7">
        <v>24.281423420921346</v>
      </c>
      <c r="AG7">
        <v>26.379678346782697</v>
      </c>
    </row>
    <row r="8" spans="1:33" x14ac:dyDescent="0.25">
      <c r="A8" t="s">
        <v>75</v>
      </c>
      <c r="B8" s="3">
        <v>2005</v>
      </c>
      <c r="C8" s="50">
        <v>178302402123.90665</v>
      </c>
      <c r="D8">
        <v>7.366322392507584</v>
      </c>
      <c r="E8" s="50">
        <v>40801992980.92485</v>
      </c>
      <c r="F8">
        <v>3.6398739965450631</v>
      </c>
      <c r="G8">
        <v>2301785</v>
      </c>
      <c r="H8" s="43">
        <v>5.59</v>
      </c>
      <c r="I8" s="6">
        <f t="shared" si="0"/>
        <v>94.41</v>
      </c>
      <c r="J8" s="6">
        <f t="shared" si="1"/>
        <v>2173115.2185</v>
      </c>
      <c r="K8" s="66">
        <f t="shared" si="4"/>
        <v>4.3720826643852136E-2</v>
      </c>
      <c r="L8" s="51">
        <f t="shared" si="2"/>
        <v>82049.21699779015</v>
      </c>
      <c r="M8" s="69">
        <f t="shared" si="5"/>
        <v>2.8688128584638148</v>
      </c>
      <c r="N8" s="51">
        <f t="shared" si="3"/>
        <v>18775.807482996028</v>
      </c>
      <c r="O8" s="66">
        <f t="shared" si="6"/>
        <v>-0.70153689487504789</v>
      </c>
      <c r="Q8">
        <v>38.256099700927699</v>
      </c>
      <c r="R8" s="37"/>
      <c r="S8">
        <v>27.076761798207059</v>
      </c>
      <c r="T8">
        <v>9.5096402529214856</v>
      </c>
      <c r="U8">
        <v>36834651682.94146</v>
      </c>
      <c r="V8">
        <v>5.5048114214259862E-2</v>
      </c>
      <c r="W8">
        <v>0.155212233759282</v>
      </c>
      <c r="X8">
        <v>23.882954799438199</v>
      </c>
      <c r="Y8" s="20">
        <f t="shared" si="7"/>
        <v>-0.52757893220400121</v>
      </c>
      <c r="Z8">
        <v>75.961878955612505</v>
      </c>
      <c r="AA8">
        <v>5.4706140442952399E-4</v>
      </c>
      <c r="AB8" s="77">
        <f t="shared" si="8"/>
        <v>-8.5835789589409515E-6</v>
      </c>
      <c r="AD8">
        <v>9.8971432332187881</v>
      </c>
      <c r="AE8">
        <v>39.847877286424129</v>
      </c>
      <c r="AF8">
        <v>23.187995656323011</v>
      </c>
      <c r="AG8">
        <v>29.88882255327351</v>
      </c>
    </row>
    <row r="9" spans="1:33" x14ac:dyDescent="0.25">
      <c r="A9" t="s">
        <v>75</v>
      </c>
      <c r="B9" s="3">
        <v>2006</v>
      </c>
      <c r="C9" s="50">
        <v>194361682395.94128</v>
      </c>
      <c r="D9">
        <v>9.0067660787175754</v>
      </c>
      <c r="E9" s="50">
        <v>44652955830.742096</v>
      </c>
      <c r="F9">
        <v>9.4381734039746306</v>
      </c>
      <c r="G9">
        <v>2426201</v>
      </c>
      <c r="H9" s="43">
        <v>4.4800000000000004</v>
      </c>
      <c r="I9" s="6">
        <f t="shared" si="0"/>
        <v>95.52</v>
      </c>
      <c r="J9" s="6">
        <f t="shared" si="1"/>
        <v>2317507.1952</v>
      </c>
      <c r="K9" s="66">
        <f t="shared" si="4"/>
        <v>6.6444694450976713E-2</v>
      </c>
      <c r="L9" s="51">
        <f t="shared" si="2"/>
        <v>83866.700737111605</v>
      </c>
      <c r="M9" s="69">
        <f t="shared" si="5"/>
        <v>2.2151140569329328</v>
      </c>
      <c r="N9" s="51">
        <f t="shared" si="3"/>
        <v>19267.666535502845</v>
      </c>
      <c r="O9" s="66">
        <f t="shared" si="6"/>
        <v>2.619642606328707</v>
      </c>
      <c r="Q9">
        <v>36.755790710449197</v>
      </c>
      <c r="R9" s="20">
        <f>Q9-Q8</f>
        <v>-1.5003089904785014</v>
      </c>
      <c r="S9">
        <v>26.578005985802772</v>
      </c>
      <c r="T9">
        <v>11.921913382779238</v>
      </c>
      <c r="U9">
        <v>41226046951.430176</v>
      </c>
      <c r="V9">
        <v>4.8865424451682515E-2</v>
      </c>
      <c r="W9">
        <v>0.15069969562712299</v>
      </c>
      <c r="X9">
        <v>23.2978195732057</v>
      </c>
      <c r="Y9" s="20">
        <f t="shared" si="7"/>
        <v>-0.5851352262324987</v>
      </c>
      <c r="Z9">
        <v>76.5515238251608</v>
      </c>
      <c r="AA9">
        <v>3.65545459554034E-3</v>
      </c>
      <c r="AB9" s="77">
        <f t="shared" si="8"/>
        <v>3.1083931911108161E-3</v>
      </c>
      <c r="AD9">
        <v>9.9069355027210513</v>
      </c>
      <c r="AE9">
        <v>38.106096406316425</v>
      </c>
      <c r="AF9">
        <v>23.086711145212458</v>
      </c>
      <c r="AG9">
        <v>30.711834579105247</v>
      </c>
    </row>
    <row r="10" spans="1:33" x14ac:dyDescent="0.25">
      <c r="A10" t="s">
        <v>75</v>
      </c>
      <c r="B10" s="3">
        <v>2007</v>
      </c>
      <c r="C10" s="50">
        <v>211896059498.4816</v>
      </c>
      <c r="D10">
        <v>9.0215195126889256</v>
      </c>
      <c r="E10" s="50">
        <v>51576309712.14518</v>
      </c>
      <c r="F10">
        <v>15.504805342889711</v>
      </c>
      <c r="G10">
        <v>2530038</v>
      </c>
      <c r="H10" s="43">
        <v>3.9</v>
      </c>
      <c r="I10" s="6">
        <f t="shared" si="0"/>
        <v>96.1</v>
      </c>
      <c r="J10" s="6">
        <f t="shared" si="1"/>
        <v>2431366.5179999997</v>
      </c>
      <c r="K10" s="66">
        <f t="shared" si="4"/>
        <v>4.9130083840008838E-2</v>
      </c>
      <c r="L10" s="51">
        <f t="shared" si="2"/>
        <v>87151.014842790406</v>
      </c>
      <c r="M10" s="69">
        <f t="shared" si="5"/>
        <v>3.9161122076016861</v>
      </c>
      <c r="N10" s="51">
        <f t="shared" si="3"/>
        <v>21212.889677600302</v>
      </c>
      <c r="O10" s="66">
        <f t="shared" si="6"/>
        <v>10.095789952110517</v>
      </c>
      <c r="Q10">
        <v>37.784400939941399</v>
      </c>
      <c r="R10" s="20">
        <f>Q10-Q9</f>
        <v>1.0286102294922017</v>
      </c>
      <c r="S10">
        <v>23.822651904527213</v>
      </c>
      <c r="T10">
        <v>5.9408665704516324</v>
      </c>
      <c r="U10">
        <v>43675231393.086388</v>
      </c>
      <c r="V10">
        <v>4.286799737144735E-2</v>
      </c>
      <c r="W10">
        <v>0.14645508484910399</v>
      </c>
      <c r="X10">
        <v>23.590067003098699</v>
      </c>
      <c r="Y10" s="20">
        <f t="shared" si="7"/>
        <v>0.29224742989299912</v>
      </c>
      <c r="Z10">
        <v>76.263477912052196</v>
      </c>
      <c r="AA10">
        <v>6.8551812889980296E-3</v>
      </c>
      <c r="AB10" s="77">
        <f t="shared" si="8"/>
        <v>3.1997266934576897E-3</v>
      </c>
      <c r="AD10">
        <v>9.1361273439883615</v>
      </c>
      <c r="AE10">
        <v>36.765963470158894</v>
      </c>
      <c r="AF10">
        <v>24.375682074209674</v>
      </c>
      <c r="AG10">
        <v>31.270315543664491</v>
      </c>
    </row>
    <row r="11" spans="1:33" x14ac:dyDescent="0.25">
      <c r="A11" t="s">
        <v>75</v>
      </c>
      <c r="B11" s="3">
        <v>2008</v>
      </c>
      <c r="C11" s="50">
        <v>215844707508.2283</v>
      </c>
      <c r="D11">
        <v>1.8634834546203507</v>
      </c>
      <c r="E11" s="50">
        <v>57123779390.104187</v>
      </c>
      <c r="F11">
        <v>10.755848390317652</v>
      </c>
      <c r="G11">
        <v>2737323</v>
      </c>
      <c r="H11" s="43">
        <v>3.96</v>
      </c>
      <c r="I11" s="6">
        <f t="shared" si="0"/>
        <v>96.04</v>
      </c>
      <c r="J11" s="6">
        <f t="shared" si="1"/>
        <v>2628925.0092000002</v>
      </c>
      <c r="K11" s="66">
        <f t="shared" si="4"/>
        <v>8.1254097124981689E-2</v>
      </c>
      <c r="L11" s="51">
        <f t="shared" si="2"/>
        <v>82103.790238547474</v>
      </c>
      <c r="M11" s="69">
        <f t="shared" si="5"/>
        <v>-5.7913549410153147</v>
      </c>
      <c r="N11" s="51">
        <f t="shared" si="3"/>
        <v>21728.949738086041</v>
      </c>
      <c r="O11" s="66">
        <f t="shared" si="6"/>
        <v>2.4327664374301223</v>
      </c>
      <c r="Q11">
        <v>40.407138824462898</v>
      </c>
      <c r="R11" s="20">
        <f t="shared" ref="R11:R25" si="9">Q11-Q10</f>
        <v>2.6227378845214986</v>
      </c>
      <c r="S11">
        <v>20.585664973848445</v>
      </c>
      <c r="T11">
        <v>-4.1884694683058541</v>
      </c>
      <c r="U11">
        <v>41845907660.975029</v>
      </c>
      <c r="V11">
        <v>4.1432188466446869E-2</v>
      </c>
      <c r="W11">
        <v>0.14231124802675299</v>
      </c>
      <c r="X11">
        <v>23.729672967526501</v>
      </c>
      <c r="Y11" s="20">
        <f t="shared" si="7"/>
        <v>0.13960596442780115</v>
      </c>
      <c r="Z11">
        <v>76.128015784446703</v>
      </c>
      <c r="AA11">
        <v>2.5386566425965599E-2</v>
      </c>
      <c r="AB11" s="77">
        <f t="shared" si="8"/>
        <v>1.853138513696757E-2</v>
      </c>
      <c r="AD11">
        <v>10.113213911286202</v>
      </c>
      <c r="AE11">
        <v>39.95092384654248</v>
      </c>
      <c r="AF11">
        <v>27.978919594541324</v>
      </c>
      <c r="AG11">
        <v>20.660826979180964</v>
      </c>
    </row>
    <row r="12" spans="1:33" x14ac:dyDescent="0.25">
      <c r="A12" t="s">
        <v>75</v>
      </c>
      <c r="B12" s="3">
        <v>2009</v>
      </c>
      <c r="C12" s="50">
        <v>216120888113.03256</v>
      </c>
      <c r="D12">
        <v>0.1279533827780881</v>
      </c>
      <c r="E12" s="50">
        <v>60258141945.338493</v>
      </c>
      <c r="F12">
        <v>5.4869663539406588</v>
      </c>
      <c r="G12">
        <v>2837096</v>
      </c>
      <c r="H12" s="43">
        <v>5.86</v>
      </c>
      <c r="I12" s="6">
        <f t="shared" si="0"/>
        <v>94.14</v>
      </c>
      <c r="J12" s="6">
        <f t="shared" si="1"/>
        <v>2670842.1743999999</v>
      </c>
      <c r="K12" s="66">
        <f t="shared" si="4"/>
        <v>1.5944602852234029E-2</v>
      </c>
      <c r="L12" s="51">
        <f t="shared" si="2"/>
        <v>80918.629406315915</v>
      </c>
      <c r="M12" s="69">
        <f t="shared" si="5"/>
        <v>-1.4434910115454442</v>
      </c>
      <c r="N12" s="51">
        <f t="shared" si="3"/>
        <v>22561.476122742213</v>
      </c>
      <c r="O12" s="66">
        <f t="shared" si="6"/>
        <v>3.8314156675365556</v>
      </c>
      <c r="Q12">
        <v>40.729148864746101</v>
      </c>
      <c r="R12" s="20">
        <f t="shared" si="9"/>
        <v>0.32201004028320313</v>
      </c>
      <c r="S12">
        <v>20.273376429073512</v>
      </c>
      <c r="T12">
        <v>-4.1502986226508227</v>
      </c>
      <c r="U12">
        <v>40109177531.685844</v>
      </c>
      <c r="V12">
        <v>4.0687761270138054E-2</v>
      </c>
      <c r="W12">
        <v>0.13906365808080101</v>
      </c>
      <c r="X12">
        <v>22.593183926345901</v>
      </c>
      <c r="Y12" s="20">
        <f t="shared" si="7"/>
        <v>-1.1364890411805995</v>
      </c>
      <c r="Z12">
        <v>77.267790000345798</v>
      </c>
      <c r="AA12">
        <v>6.7856716847083803E-3</v>
      </c>
      <c r="AB12" s="77">
        <f t="shared" si="8"/>
        <v>-1.8600894741257219E-2</v>
      </c>
      <c r="AD12">
        <v>9.9299738486408202</v>
      </c>
      <c r="AE12">
        <v>39.102921622057082</v>
      </c>
      <c r="AF12">
        <v>28.837459653073982</v>
      </c>
      <c r="AG12">
        <v>23.497058193413821</v>
      </c>
    </row>
    <row r="13" spans="1:33" x14ac:dyDescent="0.25">
      <c r="A13" t="s">
        <v>75</v>
      </c>
      <c r="B13" s="3">
        <v>2010</v>
      </c>
      <c r="C13" s="50">
        <v>247501100140.01782</v>
      </c>
      <c r="D13">
        <v>14.519749710899404</v>
      </c>
      <c r="E13" s="50">
        <v>64325859654.865166</v>
      </c>
      <c r="F13">
        <v>6.7504864541236316</v>
      </c>
      <c r="G13">
        <v>2936802</v>
      </c>
      <c r="H13" s="43">
        <v>4.12</v>
      </c>
      <c r="I13" s="6">
        <f t="shared" si="0"/>
        <v>95.88</v>
      </c>
      <c r="J13" s="6">
        <f t="shared" si="1"/>
        <v>2815805.7576000001</v>
      </c>
      <c r="K13" s="66">
        <f t="shared" si="4"/>
        <v>5.4276356944440586E-2</v>
      </c>
      <c r="L13" s="51">
        <f t="shared" si="2"/>
        <v>87897.078650400523</v>
      </c>
      <c r="M13" s="69">
        <f t="shared" si="5"/>
        <v>8.6240329270084271</v>
      </c>
      <c r="N13" s="51">
        <f t="shared" si="3"/>
        <v>22844.56570956518</v>
      </c>
      <c r="O13" s="66">
        <f t="shared" si="6"/>
        <v>1.2547476294674258</v>
      </c>
      <c r="Q13">
        <v>46.475578308105497</v>
      </c>
      <c r="R13" s="20">
        <f t="shared" si="9"/>
        <v>5.7464294433593963</v>
      </c>
      <c r="S13">
        <v>20.773833025312548</v>
      </c>
      <c r="T13">
        <v>29.675335626760187</v>
      </c>
      <c r="U13">
        <v>52011710581.34671</v>
      </c>
      <c r="V13">
        <v>3.614898888342135E-2</v>
      </c>
      <c r="W13">
        <v>0.13561924621409599</v>
      </c>
      <c r="X13">
        <v>21.723582478803099</v>
      </c>
      <c r="Y13" s="20">
        <f t="shared" si="7"/>
        <v>-0.86960144754280222</v>
      </c>
      <c r="Z13">
        <v>78.140762763266096</v>
      </c>
      <c r="AA13">
        <v>3.8512160672045999E-2</v>
      </c>
      <c r="AB13" s="77">
        <f t="shared" si="8"/>
        <v>3.1726488987337619E-2</v>
      </c>
      <c r="AD13">
        <v>9.6915683859659953</v>
      </c>
      <c r="AE13">
        <v>36.337838296581353</v>
      </c>
      <c r="AF13">
        <v>25.569721215450116</v>
      </c>
      <c r="AG13">
        <v>26.312365798407917</v>
      </c>
    </row>
    <row r="14" spans="1:33" x14ac:dyDescent="0.25">
      <c r="A14" t="s">
        <v>75</v>
      </c>
      <c r="B14" s="3">
        <v>2011</v>
      </c>
      <c r="C14" s="50">
        <v>262883130580.25568</v>
      </c>
      <c r="D14">
        <v>6.2149341685898918</v>
      </c>
      <c r="E14" s="50">
        <v>68420489880.530258</v>
      </c>
      <c r="F14">
        <v>6.3654496770575264</v>
      </c>
      <c r="G14">
        <v>3012462</v>
      </c>
      <c r="H14" s="43">
        <v>3.89</v>
      </c>
      <c r="I14" s="6">
        <f t="shared" si="0"/>
        <v>96.11</v>
      </c>
      <c r="J14" s="6">
        <f t="shared" si="1"/>
        <v>2895277.2281999998</v>
      </c>
      <c r="K14" s="66">
        <f t="shared" si="4"/>
        <v>2.822334970567561E-2</v>
      </c>
      <c r="L14" s="51">
        <f t="shared" si="2"/>
        <v>90797.222462765916</v>
      </c>
      <c r="M14" s="69">
        <f t="shared" si="5"/>
        <v>3.2994769074184451</v>
      </c>
      <c r="N14" s="51">
        <f t="shared" si="3"/>
        <v>23631.757682516443</v>
      </c>
      <c r="O14" s="66">
        <f t="shared" si="6"/>
        <v>3.4458609673707215</v>
      </c>
      <c r="Q14">
        <v>46.935169219970703</v>
      </c>
      <c r="R14" s="20">
        <f t="shared" si="9"/>
        <v>0.45959091186520595</v>
      </c>
      <c r="S14">
        <v>19.582551507977822</v>
      </c>
      <c r="T14">
        <v>7.8077670717552081</v>
      </c>
      <c r="U14">
        <v>56072663793.573723</v>
      </c>
      <c r="V14">
        <v>3.4607600751235389E-2</v>
      </c>
      <c r="W14">
        <v>0.13246039834856399</v>
      </c>
      <c r="X14">
        <v>20.7412116291523</v>
      </c>
      <c r="Y14" s="20">
        <f t="shared" si="7"/>
        <v>-0.98237084965079902</v>
      </c>
      <c r="Z14">
        <v>79.126327972499098</v>
      </c>
      <c r="AA14">
        <v>0.15430144547848201</v>
      </c>
      <c r="AB14" s="77">
        <f t="shared" si="8"/>
        <v>0.11578928480643602</v>
      </c>
      <c r="AD14">
        <v>9.2368426370194889</v>
      </c>
      <c r="AE14">
        <v>36.615610020152666</v>
      </c>
      <c r="AF14">
        <v>25.264914637905171</v>
      </c>
      <c r="AG14">
        <v>27.556785921536942</v>
      </c>
    </row>
    <row r="15" spans="1:33" x14ac:dyDescent="0.25">
      <c r="A15" t="s">
        <v>75</v>
      </c>
      <c r="B15" s="3">
        <v>2012</v>
      </c>
      <c r="C15" s="50">
        <v>274543305511.61057</v>
      </c>
      <c r="D15">
        <v>4.4354975937853709</v>
      </c>
      <c r="E15" s="50">
        <v>74324950448.238876</v>
      </c>
      <c r="F15">
        <v>8.6296671918287444</v>
      </c>
      <c r="G15">
        <v>3125729</v>
      </c>
      <c r="H15" s="43">
        <v>3.72</v>
      </c>
      <c r="I15" s="6">
        <f t="shared" si="0"/>
        <v>96.28</v>
      </c>
      <c r="J15" s="6">
        <f t="shared" si="1"/>
        <v>3009451.8812000002</v>
      </c>
      <c r="K15" s="66">
        <f t="shared" si="4"/>
        <v>3.943479121375297E-2</v>
      </c>
      <c r="L15" s="51">
        <f t="shared" si="2"/>
        <v>91227.012874563108</v>
      </c>
      <c r="M15" s="69">
        <f t="shared" si="5"/>
        <v>0.47335193758095445</v>
      </c>
      <c r="N15" s="51">
        <f t="shared" si="3"/>
        <v>24697.171904473937</v>
      </c>
      <c r="O15" s="66">
        <f t="shared" si="6"/>
        <v>4.5084002479668364</v>
      </c>
      <c r="Q15">
        <v>48.682609558105497</v>
      </c>
      <c r="R15" s="20">
        <f t="shared" si="9"/>
        <v>1.747440338134794</v>
      </c>
      <c r="S15">
        <v>19.116821980066192</v>
      </c>
      <c r="T15">
        <v>0.31910712270446595</v>
      </c>
      <c r="U15">
        <v>56251595657.629143</v>
      </c>
      <c r="V15">
        <v>3.3272726533169004E-2</v>
      </c>
      <c r="W15">
        <v>0.12955873329242601</v>
      </c>
      <c r="X15">
        <v>20.3739028359523</v>
      </c>
      <c r="Y15" s="20">
        <f t="shared" si="7"/>
        <v>-0.36730879319999943</v>
      </c>
      <c r="Z15">
        <v>79.496505082303997</v>
      </c>
      <c r="AA15">
        <v>0.14329419862700701</v>
      </c>
      <c r="AB15" s="77">
        <f t="shared" si="8"/>
        <v>-1.1007246851475E-2</v>
      </c>
      <c r="AD15">
        <v>8.8578668846884447</v>
      </c>
      <c r="AE15">
        <v>37.306048070547945</v>
      </c>
      <c r="AF15">
        <v>26.429988298955582</v>
      </c>
      <c r="AG15">
        <v>24.226259963852854</v>
      </c>
    </row>
    <row r="16" spans="1:33" x14ac:dyDescent="0.25">
      <c r="A16" t="s">
        <v>75</v>
      </c>
      <c r="B16" s="3">
        <v>2013</v>
      </c>
      <c r="C16" s="50">
        <v>287769788882.22137</v>
      </c>
      <c r="D16">
        <v>4.8176309912067552</v>
      </c>
      <c r="E16" s="50">
        <v>78902551233.793396</v>
      </c>
      <c r="F16">
        <v>6.1589019003012169</v>
      </c>
      <c r="G16">
        <v>3179345</v>
      </c>
      <c r="H16" s="43">
        <v>3.86</v>
      </c>
      <c r="I16" s="6">
        <f t="shared" si="0"/>
        <v>96.14</v>
      </c>
      <c r="J16" s="6">
        <f t="shared" si="1"/>
        <v>3056622.2830000003</v>
      </c>
      <c r="K16" s="66">
        <f t="shared" si="4"/>
        <v>1.5674084073140655E-2</v>
      </c>
      <c r="L16" s="51">
        <f t="shared" si="2"/>
        <v>94146.336131457603</v>
      </c>
      <c r="M16" s="69">
        <f t="shared" si="5"/>
        <v>3.2000645038203284</v>
      </c>
      <c r="N16" s="51">
        <f t="shared" si="3"/>
        <v>25813.641310090974</v>
      </c>
      <c r="O16" s="66">
        <f t="shared" si="6"/>
        <v>4.5206366540080927</v>
      </c>
      <c r="Q16">
        <v>50.001869201660199</v>
      </c>
      <c r="R16" s="20">
        <f t="shared" si="9"/>
        <v>1.3192596435547017</v>
      </c>
      <c r="S16">
        <v>17.638409614875453</v>
      </c>
      <c r="T16">
        <v>1.6712764155420388</v>
      </c>
      <c r="U16">
        <v>57191715309.221169</v>
      </c>
      <c r="V16">
        <v>3.4375216793813404E-2</v>
      </c>
      <c r="W16">
        <v>0.12679854020966699</v>
      </c>
      <c r="X16">
        <v>19.685489766741199</v>
      </c>
      <c r="Y16" s="20">
        <f t="shared" si="7"/>
        <v>-0.68841306921110146</v>
      </c>
      <c r="Z16">
        <v>80.187678894668295</v>
      </c>
      <c r="AA16">
        <v>0.119459449682427</v>
      </c>
      <c r="AB16" s="77">
        <f t="shared" si="8"/>
        <v>-2.3834748944580014E-2</v>
      </c>
      <c r="AD16">
        <v>9.7442177273746502</v>
      </c>
      <c r="AE16">
        <v>37.333460129295503</v>
      </c>
      <c r="AF16">
        <v>27.548215593668829</v>
      </c>
      <c r="AG16">
        <v>23.113812627266899</v>
      </c>
    </row>
    <row r="17" spans="1:33" x14ac:dyDescent="0.25">
      <c r="A17" t="s">
        <v>75</v>
      </c>
      <c r="B17" s="3">
        <v>2014</v>
      </c>
      <c r="C17" s="50">
        <v>299095084828.97827</v>
      </c>
      <c r="D17">
        <v>3.9355402770900696</v>
      </c>
      <c r="E17" s="50">
        <v>82232429581.946793</v>
      </c>
      <c r="F17">
        <v>4.2202416729045353</v>
      </c>
      <c r="G17">
        <v>3266959</v>
      </c>
      <c r="H17" s="43">
        <v>3.74</v>
      </c>
      <c r="I17" s="6">
        <f t="shared" si="0"/>
        <v>96.26</v>
      </c>
      <c r="J17" s="6">
        <f t="shared" si="1"/>
        <v>3144774.7334000003</v>
      </c>
      <c r="K17" s="66">
        <f t="shared" si="4"/>
        <v>2.8839824563956423E-2</v>
      </c>
      <c r="L17" s="51">
        <f t="shared" si="2"/>
        <v>95108.588113594087</v>
      </c>
      <c r="M17" s="69">
        <f t="shared" si="5"/>
        <v>1.0220811788075115</v>
      </c>
      <c r="N17" s="51">
        <f t="shared" si="3"/>
        <v>26148.909398365871</v>
      </c>
      <c r="O17" s="66">
        <f t="shared" si="6"/>
        <v>1.2988019948345511</v>
      </c>
      <c r="Q17">
        <v>51.152580261230497</v>
      </c>
      <c r="R17" s="20">
        <f t="shared" si="9"/>
        <v>1.1507110595702983</v>
      </c>
      <c r="S17">
        <v>17.999768892128522</v>
      </c>
      <c r="T17">
        <v>2.6831203913080088</v>
      </c>
      <c r="U17">
        <v>58726237884.821701</v>
      </c>
      <c r="V17">
        <v>3.4540851073536168E-2</v>
      </c>
      <c r="W17">
        <v>0.124092213197688</v>
      </c>
      <c r="X17">
        <v>17.5887805852729</v>
      </c>
      <c r="Y17" s="20">
        <f t="shared" si="7"/>
        <v>-2.0967091814682988</v>
      </c>
      <c r="Z17">
        <v>82.287159069072601</v>
      </c>
      <c r="AA17">
        <v>0.10487946932588101</v>
      </c>
      <c r="AB17" s="77">
        <f t="shared" si="8"/>
        <v>-1.4579980356545993E-2</v>
      </c>
      <c r="AD17">
        <v>9.6310320219758019</v>
      </c>
      <c r="AE17">
        <v>37.584381318964205</v>
      </c>
      <c r="AF17">
        <v>28.128209222306971</v>
      </c>
      <c r="AG17">
        <v>23.439752408773177</v>
      </c>
    </row>
    <row r="18" spans="1:33" x14ac:dyDescent="0.25">
      <c r="A18" t="s">
        <v>75</v>
      </c>
      <c r="B18" s="3">
        <v>2015</v>
      </c>
      <c r="C18" s="50">
        <v>307998545269.39795</v>
      </c>
      <c r="D18">
        <v>2.9767993163480639</v>
      </c>
      <c r="E18" s="50">
        <v>83844198352.517593</v>
      </c>
      <c r="F18">
        <v>1.9600159921878912</v>
      </c>
      <c r="G18">
        <v>3360400</v>
      </c>
      <c r="H18" s="43">
        <v>3.79</v>
      </c>
      <c r="I18" s="6">
        <f t="shared" si="0"/>
        <v>96.21</v>
      </c>
      <c r="J18" s="6">
        <f t="shared" si="1"/>
        <v>3233040.84</v>
      </c>
      <c r="K18" s="66">
        <f t="shared" si="4"/>
        <v>2.8067545081224287E-2</v>
      </c>
      <c r="L18" s="51">
        <f t="shared" si="2"/>
        <v>95265.899972175408</v>
      </c>
      <c r="M18" s="69">
        <f t="shared" si="5"/>
        <v>0.16540236975596098</v>
      </c>
      <c r="N18" s="51">
        <f t="shared" si="3"/>
        <v>25933.541363033819</v>
      </c>
      <c r="O18" s="66">
        <f t="shared" si="6"/>
        <v>-0.82362148283519399</v>
      </c>
      <c r="Q18">
        <v>52.041000366210902</v>
      </c>
      <c r="R18" s="20">
        <f t="shared" si="9"/>
        <v>0.8884201049804048</v>
      </c>
      <c r="S18">
        <v>18.089329854873405</v>
      </c>
      <c r="T18">
        <v>-5.1278017991461269</v>
      </c>
      <c r="U18">
        <v>55714872801.992981</v>
      </c>
      <c r="V18">
        <v>3.2613513802648333E-2</v>
      </c>
      <c r="W18">
        <v>0.12145966005548101</v>
      </c>
      <c r="X18">
        <v>17.2904642702552</v>
      </c>
      <c r="Y18" s="20">
        <f t="shared" si="7"/>
        <v>-0.29831631501770062</v>
      </c>
      <c r="Z18">
        <v>82.588076069689293</v>
      </c>
      <c r="AA18">
        <v>3.4391157293545603E-2</v>
      </c>
      <c r="AB18" s="77">
        <f t="shared" si="8"/>
        <v>-7.048831203233541E-2</v>
      </c>
      <c r="AD18">
        <v>10.19090831587924</v>
      </c>
      <c r="AE18">
        <v>37.158080606153213</v>
      </c>
      <c r="AF18">
        <v>27.222270897150295</v>
      </c>
      <c r="AG18">
        <v>27.297818059101541</v>
      </c>
    </row>
    <row r="19" spans="1:33" x14ac:dyDescent="0.25">
      <c r="A19" t="s">
        <v>75</v>
      </c>
      <c r="B19" s="3">
        <v>2016</v>
      </c>
      <c r="C19" s="50">
        <v>319541032495.04486</v>
      </c>
      <c r="D19">
        <v>3.7475784879279246</v>
      </c>
      <c r="E19" s="50">
        <v>84290655174.294907</v>
      </c>
      <c r="F19">
        <v>0.53248385761912687</v>
      </c>
      <c r="G19">
        <v>3396546</v>
      </c>
      <c r="H19" s="43">
        <v>4.08</v>
      </c>
      <c r="I19" s="6">
        <f t="shared" si="0"/>
        <v>95.92</v>
      </c>
      <c r="J19" s="6">
        <f t="shared" si="1"/>
        <v>3257966.9232000001</v>
      </c>
      <c r="K19" s="66">
        <f t="shared" si="4"/>
        <v>7.7097953393005167E-3</v>
      </c>
      <c r="L19" s="51">
        <f t="shared" si="2"/>
        <v>98079.888478790701</v>
      </c>
      <c r="M19" s="69">
        <f t="shared" si="5"/>
        <v>2.9538255634357968</v>
      </c>
      <c r="N19" s="51">
        <f t="shared" si="3"/>
        <v>25872.164193583641</v>
      </c>
      <c r="O19" s="66">
        <f t="shared" si="6"/>
        <v>-0.23667099140445852</v>
      </c>
      <c r="Q19">
        <v>52.7865180969238</v>
      </c>
      <c r="R19" s="20">
        <f t="shared" si="9"/>
        <v>0.74551773071289773</v>
      </c>
      <c r="S19">
        <v>17.441961312599027</v>
      </c>
      <c r="T19">
        <v>3.7010008068074569</v>
      </c>
      <c r="U19">
        <v>57776880693.906494</v>
      </c>
      <c r="V19">
        <v>3.1521289438126224E-2</v>
      </c>
      <c r="W19">
        <v>0.11897925916280699</v>
      </c>
      <c r="X19">
        <v>16.156803308709499</v>
      </c>
      <c r="Y19" s="20">
        <f t="shared" si="7"/>
        <v>-1.1336609615457007</v>
      </c>
      <c r="Z19">
        <v>83.724217432127702</v>
      </c>
      <c r="AA19">
        <v>2.9353972319112E-2</v>
      </c>
      <c r="AB19" s="77">
        <f t="shared" si="8"/>
        <v>-5.0371849744336034E-3</v>
      </c>
      <c r="AD19">
        <v>10.200372971650724</v>
      </c>
      <c r="AE19">
        <v>36.336754045415525</v>
      </c>
      <c r="AF19">
        <v>25.877029477577924</v>
      </c>
      <c r="AG19">
        <v>26.253769658413212</v>
      </c>
    </row>
    <row r="20" spans="1:33" x14ac:dyDescent="0.25">
      <c r="A20" t="s">
        <v>75</v>
      </c>
      <c r="B20" s="3">
        <v>2017</v>
      </c>
      <c r="C20" s="50">
        <v>333846562289.74597</v>
      </c>
      <c r="D20">
        <v>4.4768991584587638</v>
      </c>
      <c r="E20" s="50">
        <v>88598330696.634109</v>
      </c>
      <c r="F20">
        <v>5.1105018859230142</v>
      </c>
      <c r="G20">
        <v>3388507</v>
      </c>
      <c r="H20" s="43">
        <v>4.2</v>
      </c>
      <c r="I20" s="6">
        <f t="shared" si="0"/>
        <v>95.8</v>
      </c>
      <c r="J20" s="6">
        <f t="shared" si="1"/>
        <v>3246189.7059999998</v>
      </c>
      <c r="K20" s="66">
        <f t="shared" si="4"/>
        <v>-3.6148977192293381E-3</v>
      </c>
      <c r="L20" s="51">
        <f t="shared" si="2"/>
        <v>102842.59163064021</v>
      </c>
      <c r="M20" s="69">
        <f t="shared" si="5"/>
        <v>4.8559426664513561</v>
      </c>
      <c r="N20" s="51">
        <f t="shared" si="3"/>
        <v>27293.023119651934</v>
      </c>
      <c r="O20" s="66">
        <f t="shared" si="6"/>
        <v>5.4918441126029549</v>
      </c>
      <c r="Q20">
        <v>54.232109069824197</v>
      </c>
      <c r="R20" s="20">
        <f t="shared" si="9"/>
        <v>1.4455909729003977</v>
      </c>
      <c r="S20">
        <v>18.545847537786003</v>
      </c>
      <c r="T20">
        <v>10.406115334791167</v>
      </c>
      <c r="U20">
        <v>63789209535.759094</v>
      </c>
      <c r="V20">
        <v>3.0763583755226389E-2</v>
      </c>
      <c r="W20">
        <v>0.117077595142899</v>
      </c>
      <c r="X20">
        <v>15.8830026161212</v>
      </c>
      <c r="Y20" s="20">
        <f t="shared" si="7"/>
        <v>-0.2738006925882992</v>
      </c>
      <c r="Z20">
        <v>83.999919788735895</v>
      </c>
      <c r="AA20">
        <v>4.52888881904618E-4</v>
      </c>
      <c r="AB20" s="77">
        <f t="shared" si="8"/>
        <v>-2.8901083437207382E-2</v>
      </c>
      <c r="AD20">
        <v>10.140018759338188</v>
      </c>
      <c r="AE20">
        <v>35.184722354653985</v>
      </c>
      <c r="AF20">
        <v>25.115649681750725</v>
      </c>
      <c r="AG20">
        <v>26.545597667222111</v>
      </c>
    </row>
    <row r="21" spans="1:33" x14ac:dyDescent="0.25">
      <c r="A21" t="s">
        <v>75</v>
      </c>
      <c r="B21" s="3">
        <v>2018</v>
      </c>
      <c r="C21" s="50">
        <v>345370865382.86688</v>
      </c>
      <c r="D21">
        <v>3.4519759658686979</v>
      </c>
      <c r="E21" s="50">
        <v>84207444583.856125</v>
      </c>
      <c r="F21">
        <v>-4.9559467749032819</v>
      </c>
      <c r="G21">
        <v>3390276</v>
      </c>
      <c r="H21" s="43">
        <v>3.613</v>
      </c>
      <c r="I21" s="6">
        <f t="shared" si="0"/>
        <v>96.387</v>
      </c>
      <c r="J21" s="6">
        <f t="shared" si="1"/>
        <v>3267785.3281200002</v>
      </c>
      <c r="K21" s="66">
        <f t="shared" si="4"/>
        <v>6.652606309509511E-3</v>
      </c>
      <c r="L21" s="51">
        <f t="shared" si="2"/>
        <v>105689.58199636794</v>
      </c>
      <c r="M21" s="69">
        <f t="shared" si="5"/>
        <v>2.7682989319762723</v>
      </c>
      <c r="N21" s="51">
        <f t="shared" si="3"/>
        <v>25768.964643801057</v>
      </c>
      <c r="O21" s="66">
        <f t="shared" si="6"/>
        <v>-5.5840588606452393</v>
      </c>
      <c r="Q21">
        <v>55.760608673095703</v>
      </c>
      <c r="R21" s="20">
        <f t="shared" si="9"/>
        <v>1.5284996032715057</v>
      </c>
      <c r="S21">
        <v>20.717845766781217</v>
      </c>
      <c r="T21">
        <v>7.0287004412821261</v>
      </c>
      <c r="U21">
        <v>68272761987.889374</v>
      </c>
      <c r="V21">
        <v>3.0117148236328394E-2</v>
      </c>
      <c r="W21">
        <v>0.115089283007242</v>
      </c>
      <c r="X21">
        <v>16.038846154906299</v>
      </c>
      <c r="Y21" s="20">
        <f t="shared" si="7"/>
        <v>0.15584353878509916</v>
      </c>
      <c r="Z21">
        <v>83.846064562086497</v>
      </c>
      <c r="AA21">
        <v>1.8876715293803699E-4</v>
      </c>
      <c r="AB21" s="77">
        <f t="shared" si="8"/>
        <v>-2.6412172896658097E-4</v>
      </c>
      <c r="AD21">
        <v>9.9398348941138064</v>
      </c>
      <c r="AE21">
        <v>34.614491407338598</v>
      </c>
      <c r="AF21">
        <v>22.351805620065026</v>
      </c>
      <c r="AG21">
        <v>29.700268952184881</v>
      </c>
    </row>
    <row r="22" spans="1:33" x14ac:dyDescent="0.25">
      <c r="A22" t="s">
        <v>75</v>
      </c>
      <c r="B22" s="3">
        <v>2019</v>
      </c>
      <c r="C22" s="50">
        <v>349888458531.08569</v>
      </c>
      <c r="D22">
        <v>1.3080411815312658</v>
      </c>
      <c r="E22" s="50">
        <v>86300365501.063766</v>
      </c>
      <c r="F22">
        <v>2.4854345450697792</v>
      </c>
      <c r="G22">
        <v>3454121</v>
      </c>
      <c r="H22" s="43">
        <v>3.1</v>
      </c>
      <c r="I22" s="6">
        <f t="shared" si="0"/>
        <v>96.9</v>
      </c>
      <c r="J22" s="6">
        <f t="shared" si="1"/>
        <v>3347043.2490000003</v>
      </c>
      <c r="K22" s="66">
        <f t="shared" si="4"/>
        <v>2.4254323011358346E-2</v>
      </c>
      <c r="L22" s="51">
        <f t="shared" si="2"/>
        <v>104536.58124543872</v>
      </c>
      <c r="M22" s="69">
        <f t="shared" si="5"/>
        <v>-1.090931319010082</v>
      </c>
      <c r="N22" s="51">
        <f t="shared" si="3"/>
        <v>25784.060461975751</v>
      </c>
      <c r="O22" s="66">
        <f t="shared" si="6"/>
        <v>5.8581391931573523E-2</v>
      </c>
      <c r="Q22">
        <v>57.249900817871101</v>
      </c>
      <c r="R22" s="20">
        <f t="shared" si="9"/>
        <v>1.4892921447753977</v>
      </c>
      <c r="S22">
        <v>19.40403130191034</v>
      </c>
      <c r="T22">
        <v>-1.4550979032228923</v>
      </c>
      <c r="U22">
        <v>67279326459.731239</v>
      </c>
      <c r="V22">
        <v>3.2252130199608528E-2</v>
      </c>
      <c r="W22">
        <v>0.113041897035994</v>
      </c>
      <c r="X22">
        <v>14.9655328914049</v>
      </c>
      <c r="Y22" s="20">
        <f t="shared" si="7"/>
        <v>-1.0733132635013991</v>
      </c>
      <c r="Z22">
        <v>84.921455267899702</v>
      </c>
      <c r="AA22">
        <v>1.6926616042902101E-4</v>
      </c>
      <c r="AB22" s="77">
        <f t="shared" si="8"/>
        <v>-1.9500992509015986E-5</v>
      </c>
      <c r="AD22">
        <v>10.253396494246401</v>
      </c>
      <c r="AE22">
        <v>35.845393881281687</v>
      </c>
      <c r="AF22">
        <v>22.799478885505962</v>
      </c>
      <c r="AG22">
        <v>29.367995967723893</v>
      </c>
    </row>
    <row r="23" spans="1:33" x14ac:dyDescent="0.25">
      <c r="A23" t="s">
        <v>75</v>
      </c>
      <c r="B23" s="3">
        <v>2020</v>
      </c>
      <c r="C23" s="50">
        <v>336541232520.5025</v>
      </c>
      <c r="D23">
        <v>-3.8147088551071278</v>
      </c>
      <c r="E23" s="50">
        <v>74186532831.451279</v>
      </c>
      <c r="F23">
        <v>-14.036826610500484</v>
      </c>
      <c r="G23">
        <v>3431193</v>
      </c>
      <c r="H23" s="43">
        <v>4.0999999999999996</v>
      </c>
      <c r="I23" s="6">
        <f t="shared" si="0"/>
        <v>95.9</v>
      </c>
      <c r="J23" s="6">
        <f t="shared" si="1"/>
        <v>3290514.0870000003</v>
      </c>
      <c r="K23" s="66">
        <f t="shared" si="4"/>
        <v>-1.6889283404655522E-2</v>
      </c>
      <c r="L23" s="51">
        <f t="shared" si="2"/>
        <v>102276.18652358696</v>
      </c>
      <c r="M23" s="69">
        <f t="shared" si="5"/>
        <v>-2.1623002157920537</v>
      </c>
      <c r="N23" s="51">
        <f t="shared" si="3"/>
        <v>22545.575211041869</v>
      </c>
      <c r="O23" s="66">
        <f t="shared" si="6"/>
        <v>-12.560028144945354</v>
      </c>
      <c r="Q23">
        <v>58.2861518859863</v>
      </c>
      <c r="R23" s="20">
        <f t="shared" si="9"/>
        <v>1.0362510681151988</v>
      </c>
      <c r="S23">
        <v>19.653984525036179</v>
      </c>
      <c r="T23">
        <v>7.5307063016974496</v>
      </c>
      <c r="U23">
        <v>72345934937.173828</v>
      </c>
      <c r="V23">
        <v>3.281725211869508E-2</v>
      </c>
      <c r="W23">
        <v>0.108162685533748</v>
      </c>
      <c r="X23">
        <v>14.8295407728436</v>
      </c>
      <c r="Y23" s="20">
        <f t="shared" si="7"/>
        <v>-0.13599211856129934</v>
      </c>
      <c r="Z23">
        <v>85.0622965416227</v>
      </c>
      <c r="AA23">
        <v>2.4207226855628999E-4</v>
      </c>
      <c r="AB23" s="77">
        <f t="shared" si="8"/>
        <v>7.2806108127268987E-5</v>
      </c>
      <c r="AD23">
        <v>12.190147791383446</v>
      </c>
      <c r="AE23">
        <v>32.147432325908682</v>
      </c>
      <c r="AF23">
        <v>20.999459350147131</v>
      </c>
      <c r="AG23">
        <v>31.279400415186071</v>
      </c>
    </row>
    <row r="24" spans="1:33" x14ac:dyDescent="0.25">
      <c r="A24" t="s">
        <v>75</v>
      </c>
      <c r="B24" s="3">
        <v>2021</v>
      </c>
      <c r="C24" s="50">
        <v>369376902514.86536</v>
      </c>
      <c r="D24">
        <v>9.7568044629903028</v>
      </c>
      <c r="E24" s="50">
        <v>91394322913.825394</v>
      </c>
      <c r="F24">
        <v>23.19530166138037</v>
      </c>
      <c r="G24">
        <v>3385810</v>
      </c>
      <c r="H24" s="43">
        <v>4.6399999999999997</v>
      </c>
      <c r="I24" s="6">
        <f t="shared" si="0"/>
        <v>95.36</v>
      </c>
      <c r="J24" s="6">
        <f t="shared" si="1"/>
        <v>3228708.4160000002</v>
      </c>
      <c r="K24" s="66">
        <f t="shared" si="4"/>
        <v>-1.878298325607505E-2</v>
      </c>
      <c r="L24" s="51">
        <f t="shared" si="2"/>
        <v>114403.92098722901</v>
      </c>
      <c r="M24" s="69">
        <f t="shared" si="5"/>
        <v>11.857828176694039</v>
      </c>
      <c r="N24" s="51">
        <f t="shared" si="3"/>
        <v>28306.775074799876</v>
      </c>
      <c r="O24" s="66">
        <f t="shared" si="6"/>
        <v>25.553572307777785</v>
      </c>
      <c r="Q24">
        <v>61.837471008300803</v>
      </c>
      <c r="R24" s="20">
        <f t="shared" si="9"/>
        <v>3.5513191223145029</v>
      </c>
      <c r="S24">
        <v>20.633068003561824</v>
      </c>
      <c r="T24">
        <v>13.303540009852924</v>
      </c>
      <c r="U24">
        <v>81970505337.042892</v>
      </c>
      <c r="V24">
        <v>3.0551368665513827E-2</v>
      </c>
      <c r="W24">
        <v>0.107777556138585</v>
      </c>
      <c r="X24">
        <v>14.4449638584304</v>
      </c>
      <c r="Y24" s="20">
        <f t="shared" si="7"/>
        <v>-0.3845769144132003</v>
      </c>
      <c r="Z24">
        <v>85.447258585431001</v>
      </c>
      <c r="AA24">
        <v>1.80989109199595E-4</v>
      </c>
      <c r="AB24" s="77">
        <f t="shared" si="8"/>
        <v>-6.1083159356694992E-5</v>
      </c>
      <c r="AD24">
        <v>10.532697743092175</v>
      </c>
      <c r="AE24">
        <v>28.780240455600087</v>
      </c>
      <c r="AF24">
        <v>22.078228221894115</v>
      </c>
      <c r="AG24">
        <v>35.785344863952751</v>
      </c>
    </row>
    <row r="25" spans="1:33" x14ac:dyDescent="0.25">
      <c r="A25" t="s">
        <v>75</v>
      </c>
      <c r="B25" s="3">
        <v>2022</v>
      </c>
      <c r="C25" s="50">
        <v>384550906479.00623</v>
      </c>
      <c r="D25">
        <v>4.1080002189715117</v>
      </c>
      <c r="E25" s="50">
        <v>95674867710.435883</v>
      </c>
      <c r="F25">
        <v>4.6836003157948483</v>
      </c>
      <c r="G25">
        <v>3459003</v>
      </c>
      <c r="H25" s="43">
        <v>3.5910000000000002</v>
      </c>
      <c r="I25" s="6">
        <f t="shared" si="0"/>
        <v>96.409000000000006</v>
      </c>
      <c r="J25" s="6">
        <f t="shared" si="1"/>
        <v>3334790.2022700002</v>
      </c>
      <c r="K25" s="66">
        <f t="shared" si="4"/>
        <v>3.285579637489322E-2</v>
      </c>
      <c r="L25" s="51">
        <f t="shared" si="2"/>
        <v>115314.87234706442</v>
      </c>
      <c r="M25" s="69">
        <f t="shared" si="5"/>
        <v>0.79625886243627952</v>
      </c>
      <c r="N25" s="51">
        <f t="shared" si="3"/>
        <v>28689.921076687151</v>
      </c>
      <c r="O25" s="66">
        <f t="shared" si="6"/>
        <v>1.3535487559950652</v>
      </c>
      <c r="Q25">
        <v>63.086940765380902</v>
      </c>
      <c r="R25" s="20">
        <f t="shared" si="9"/>
        <v>1.2494697570800994</v>
      </c>
      <c r="S25">
        <v>19.655537649937781</v>
      </c>
      <c r="T25">
        <v>2.6997624563978491</v>
      </c>
      <c r="U25">
        <v>84183514265.451965</v>
      </c>
      <c r="V25">
        <v>2.597731637364643E-2</v>
      </c>
      <c r="W25">
        <v>9.0952445633474793E-2</v>
      </c>
      <c r="X25">
        <v>14.5645681583865</v>
      </c>
      <c r="Y25" s="20">
        <f t="shared" si="7"/>
        <v>0.11960429995609978</v>
      </c>
      <c r="Z25">
        <v>85.344449477412397</v>
      </c>
      <c r="AA25" t="s">
        <v>169</v>
      </c>
      <c r="AB25" s="76" t="e">
        <f t="shared" si="8"/>
        <v>#VALUE!</v>
      </c>
      <c r="AD25">
        <v>9.1289494952629333</v>
      </c>
      <c r="AE25">
        <v>28.099108159151914</v>
      </c>
      <c r="AF25">
        <v>20.338964403941983</v>
      </c>
      <c r="AG25">
        <v>39.774395154749833</v>
      </c>
    </row>
    <row r="26" spans="1:33" x14ac:dyDescent="0.25">
      <c r="A26" t="s">
        <v>75</v>
      </c>
      <c r="B26" s="3">
        <v>2023</v>
      </c>
      <c r="C26" s="50">
        <v>391555143381.88489</v>
      </c>
      <c r="D26">
        <v>1.8214069411538532</v>
      </c>
      <c r="E26" s="50">
        <v>94809012056.079865</v>
      </c>
      <c r="F26">
        <v>-0.90499801575536765</v>
      </c>
      <c r="G26">
        <v>3622441</v>
      </c>
      <c r="H26" s="43">
        <v>3.444</v>
      </c>
      <c r="I26" s="6">
        <f t="shared" si="0"/>
        <v>96.555999999999997</v>
      </c>
      <c r="J26" s="6">
        <f t="shared" si="1"/>
        <v>3497684.1319599999</v>
      </c>
      <c r="K26" s="66">
        <f t="shared" si="4"/>
        <v>4.8846829878268612E-2</v>
      </c>
      <c r="L26" s="51">
        <f t="shared" si="2"/>
        <v>111946.97079820893</v>
      </c>
      <c r="M26" s="69">
        <f t="shared" si="5"/>
        <v>-2.9206133435408721</v>
      </c>
      <c r="N26" s="51">
        <f t="shared" si="3"/>
        <v>27106.224713022231</v>
      </c>
      <c r="O26" s="66">
        <f t="shared" si="6"/>
        <v>-5.5200443369354524</v>
      </c>
      <c r="Q26" t="s">
        <v>169</v>
      </c>
      <c r="R26" s="37"/>
      <c r="S26">
        <v>16.975559443779353</v>
      </c>
      <c r="T26">
        <v>-4.2302587923025925</v>
      </c>
      <c r="U26">
        <v>80622333751.568375</v>
      </c>
      <c r="V26">
        <v>2.8849802007551339E-2</v>
      </c>
      <c r="W26">
        <v>7.9580186024164501E-2</v>
      </c>
      <c r="X26">
        <v>13.8432992197459</v>
      </c>
      <c r="Y26" s="20">
        <f t="shared" si="7"/>
        <v>-0.72126893864060015</v>
      </c>
      <c r="Z26">
        <v>86.077120594229896</v>
      </c>
      <c r="AA26" t="s">
        <v>169</v>
      </c>
      <c r="AB26" s="76" t="e">
        <f t="shared" si="8"/>
        <v>#VALUE!</v>
      </c>
      <c r="AD26">
        <v>9.8421032695316715</v>
      </c>
      <c r="AE26">
        <v>31.513116296958909</v>
      </c>
      <c r="AF26">
        <v>21.87302410554809</v>
      </c>
      <c r="AG26">
        <v>37.158805824026295</v>
      </c>
    </row>
    <row r="27" spans="1:33" x14ac:dyDescent="0.25">
      <c r="A27" t="s">
        <v>75</v>
      </c>
      <c r="B27" s="3">
        <v>2024</v>
      </c>
      <c r="C27" s="50">
        <v>408736675576.89142</v>
      </c>
      <c r="D27">
        <v>4.3880236246186541</v>
      </c>
      <c r="E27" s="50">
        <v>97592930009.273911</v>
      </c>
      <c r="F27">
        <v>2.9363431733128351</v>
      </c>
      <c r="G27">
        <v>3689424</v>
      </c>
      <c r="H27" s="43">
        <v>2.7370000000000001</v>
      </c>
      <c r="I27" s="6">
        <f t="shared" si="0"/>
        <v>97.263000000000005</v>
      </c>
      <c r="J27" s="6">
        <f t="shared" si="1"/>
        <v>3588444.4651200003</v>
      </c>
      <c r="K27" s="66">
        <f t="shared" si="4"/>
        <v>2.5948693402780471E-2</v>
      </c>
      <c r="L27" s="51">
        <f t="shared" si="2"/>
        <v>113903.58121739051</v>
      </c>
      <c r="M27" s="69">
        <f t="shared" si="5"/>
        <v>1.7478011287223569</v>
      </c>
      <c r="N27" s="51">
        <f t="shared" si="3"/>
        <v>27196.444297211754</v>
      </c>
      <c r="O27" s="66">
        <f t="shared" si="6"/>
        <v>0.33283714403127446</v>
      </c>
      <c r="Q27" t="s">
        <v>169</v>
      </c>
      <c r="R27" s="37"/>
      <c r="S27">
        <v>16.332704934853503</v>
      </c>
      <c r="T27">
        <v>4.2628399445695493</v>
      </c>
      <c r="U27">
        <v>84059134798.974411</v>
      </c>
      <c r="V27">
        <v>2.7439170694473516E-2</v>
      </c>
      <c r="W27">
        <v>9.7983733027354095E-2</v>
      </c>
      <c r="X27">
        <v>14.162557810979401</v>
      </c>
      <c r="Y27" s="20">
        <f t="shared" si="7"/>
        <v>0.31925859123350087</v>
      </c>
      <c r="Z27">
        <v>85.739458455993301</v>
      </c>
      <c r="AA27" t="s">
        <v>169</v>
      </c>
      <c r="AB27" s="76" t="e">
        <f t="shared" si="8"/>
        <v>#VALUE!</v>
      </c>
      <c r="AD27">
        <v>10.05318763287927</v>
      </c>
      <c r="AE27">
        <v>30.684280484260235</v>
      </c>
      <c r="AF27">
        <v>21.037456033494557</v>
      </c>
      <c r="AG27">
        <v>36.012331849548822</v>
      </c>
    </row>
    <row r="29" spans="1:33" x14ac:dyDescent="0.25">
      <c r="I29" s="1"/>
      <c r="J29" s="1"/>
      <c r="L29" s="1"/>
      <c r="M29" s="70"/>
      <c r="N29"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EA90F-50D6-4643-960F-C39E8FD2CC7A}">
  <dimension ref="A1:N35"/>
  <sheetViews>
    <sheetView zoomScale="221" workbookViewId="0">
      <selection sqref="A1:A1048576"/>
    </sheetView>
  </sheetViews>
  <sheetFormatPr defaultColWidth="11.42578125" defaultRowHeight="15" x14ac:dyDescent="0.25"/>
  <cols>
    <col min="1" max="1" width="10.85546875" style="3"/>
    <col min="2" max="2" width="18.7109375" bestFit="1" customWidth="1"/>
    <col min="3" max="3" width="17.7109375" bestFit="1" customWidth="1"/>
    <col min="4" max="4" width="15.140625" customWidth="1"/>
    <col min="6" max="6" width="28.28515625" customWidth="1"/>
    <col min="7" max="7" width="12.140625" bestFit="1" customWidth="1"/>
    <col min="8" max="9" width="11.85546875" bestFit="1" customWidth="1"/>
    <col min="10" max="10" width="11" bestFit="1" customWidth="1"/>
    <col min="11" max="11" width="12.28515625" bestFit="1" customWidth="1"/>
    <col min="12" max="12" width="12.7109375" bestFit="1" customWidth="1"/>
    <col min="13" max="13" width="12.28515625" bestFit="1" customWidth="1"/>
    <col min="14" max="14" width="12.7109375" bestFit="1" customWidth="1"/>
  </cols>
  <sheetData>
    <row r="1" spans="1:7" x14ac:dyDescent="0.25">
      <c r="A1" t="s">
        <v>201</v>
      </c>
      <c r="B1" t="s">
        <v>202</v>
      </c>
    </row>
    <row r="2" spans="1:7" x14ac:dyDescent="0.25">
      <c r="A2"/>
    </row>
    <row r="3" spans="1:7" ht="60" x14ac:dyDescent="0.25">
      <c r="A3" s="2" t="s">
        <v>74</v>
      </c>
      <c r="B3" s="2" t="s">
        <v>43</v>
      </c>
      <c r="C3" s="2" t="s">
        <v>80</v>
      </c>
      <c r="D3" s="2" t="s">
        <v>73</v>
      </c>
    </row>
    <row r="4" spans="1:7" ht="19.5" thickBot="1" x14ac:dyDescent="0.3">
      <c r="A4" s="47"/>
      <c r="B4" s="47" t="s">
        <v>106</v>
      </c>
      <c r="C4" s="47" t="s">
        <v>171</v>
      </c>
      <c r="D4" s="47"/>
    </row>
    <row r="5" spans="1:7" ht="15.75" thickTop="1" x14ac:dyDescent="0.25">
      <c r="A5" s="3">
        <v>2000</v>
      </c>
      <c r="B5" s="50">
        <v>140533304238.72125</v>
      </c>
      <c r="C5" s="50">
        <v>43703162220.646263</v>
      </c>
      <c r="D5">
        <v>2138100</v>
      </c>
    </row>
    <row r="6" spans="1:7" x14ac:dyDescent="0.25">
      <c r="A6" s="3">
        <v>2001</v>
      </c>
      <c r="B6" s="50">
        <v>139028385430.87299</v>
      </c>
      <c r="C6" s="50">
        <v>41427454403.287689</v>
      </c>
      <c r="D6">
        <v>2205923</v>
      </c>
    </row>
    <row r="7" spans="1:7" x14ac:dyDescent="0.25">
      <c r="A7" s="3">
        <v>2002</v>
      </c>
      <c r="B7" s="50">
        <v>144482970559.8894</v>
      </c>
      <c r="C7" s="50">
        <v>37635189933.264236</v>
      </c>
      <c r="D7">
        <v>2200772</v>
      </c>
      <c r="F7" t="s">
        <v>116</v>
      </c>
    </row>
    <row r="8" spans="1:7" ht="15.75" thickBot="1" x14ac:dyDescent="0.3">
      <c r="A8" s="3">
        <v>2003</v>
      </c>
      <c r="B8" s="50">
        <v>151054425108.65015</v>
      </c>
      <c r="C8" s="50">
        <v>35694579310.094017</v>
      </c>
      <c r="D8">
        <v>2176377</v>
      </c>
    </row>
    <row r="9" spans="1:7" x14ac:dyDescent="0.25">
      <c r="A9" s="3">
        <v>2004</v>
      </c>
      <c r="B9" s="50">
        <v>166069208808.39377</v>
      </c>
      <c r="C9" s="50">
        <v>39369010601.349266</v>
      </c>
      <c r="D9">
        <v>2211220</v>
      </c>
      <c r="F9" s="11" t="s">
        <v>117</v>
      </c>
      <c r="G9" s="11"/>
    </row>
    <row r="10" spans="1:7" x14ac:dyDescent="0.25">
      <c r="A10" s="3">
        <v>2005</v>
      </c>
      <c r="B10" s="50">
        <v>178302402123.90665</v>
      </c>
      <c r="C10" s="50">
        <v>40801992980.92485</v>
      </c>
      <c r="D10">
        <v>2301785</v>
      </c>
      <c r="F10" t="s">
        <v>118</v>
      </c>
      <c r="G10">
        <v>0.9810080918984202</v>
      </c>
    </row>
    <row r="11" spans="1:7" x14ac:dyDescent="0.25">
      <c r="A11" s="3">
        <v>2006</v>
      </c>
      <c r="B11" s="50">
        <v>194361682395.94128</v>
      </c>
      <c r="C11" s="50">
        <v>44652955830.742096</v>
      </c>
      <c r="D11">
        <v>2426201</v>
      </c>
      <c r="F11" t="s">
        <v>119</v>
      </c>
      <c r="G11">
        <v>0.96237687637017932</v>
      </c>
    </row>
    <row r="12" spans="1:7" x14ac:dyDescent="0.25">
      <c r="A12" s="3">
        <v>2007</v>
      </c>
      <c r="B12" s="50">
        <v>211896059498.4816</v>
      </c>
      <c r="C12" s="50">
        <v>51576309712.14518</v>
      </c>
      <c r="D12">
        <v>2530038</v>
      </c>
      <c r="F12" t="s">
        <v>120</v>
      </c>
      <c r="G12">
        <v>0.95895659240383191</v>
      </c>
    </row>
    <row r="13" spans="1:7" x14ac:dyDescent="0.25">
      <c r="A13" s="3">
        <v>2008</v>
      </c>
      <c r="B13" s="50">
        <v>215844707508.2283</v>
      </c>
      <c r="C13" s="50">
        <v>57123779390.104187</v>
      </c>
      <c r="D13">
        <v>2737323</v>
      </c>
      <c r="F13" t="s">
        <v>121</v>
      </c>
      <c r="G13">
        <v>17592326383.0252</v>
      </c>
    </row>
    <row r="14" spans="1:7" ht="15.75" thickBot="1" x14ac:dyDescent="0.3">
      <c r="A14" s="3">
        <v>2009</v>
      </c>
      <c r="B14" s="50">
        <v>216120888113.03256</v>
      </c>
      <c r="C14" s="50">
        <v>60258141945.338493</v>
      </c>
      <c r="D14">
        <v>2837096</v>
      </c>
      <c r="F14" s="9" t="s">
        <v>122</v>
      </c>
      <c r="G14" s="9">
        <v>25</v>
      </c>
    </row>
    <row r="15" spans="1:7" x14ac:dyDescent="0.25">
      <c r="A15" s="3">
        <v>2010</v>
      </c>
      <c r="B15" s="50">
        <v>247501100140.01782</v>
      </c>
      <c r="C15" s="50">
        <v>64325859654.865166</v>
      </c>
      <c r="D15">
        <v>2936802</v>
      </c>
    </row>
    <row r="16" spans="1:7" ht="15.75" thickBot="1" x14ac:dyDescent="0.3">
      <c r="A16" s="3">
        <v>2011</v>
      </c>
      <c r="B16" s="50">
        <v>262883130580.25568</v>
      </c>
      <c r="C16" s="50">
        <v>68420489880.530258</v>
      </c>
      <c r="D16">
        <v>3012462</v>
      </c>
      <c r="F16" t="s">
        <v>123</v>
      </c>
    </row>
    <row r="17" spans="1:14" x14ac:dyDescent="0.25">
      <c r="A17" s="3">
        <v>2012</v>
      </c>
      <c r="B17" s="50">
        <v>274543305511.61057</v>
      </c>
      <c r="C17" s="50">
        <v>74324950448.238876</v>
      </c>
      <c r="D17">
        <v>3125729</v>
      </c>
      <c r="F17" s="10"/>
      <c r="G17" s="10" t="s">
        <v>128</v>
      </c>
      <c r="H17" s="10" t="s">
        <v>129</v>
      </c>
      <c r="I17" s="10" t="s">
        <v>130</v>
      </c>
      <c r="J17" s="10" t="s">
        <v>131</v>
      </c>
      <c r="K17" s="10" t="s">
        <v>132</v>
      </c>
    </row>
    <row r="18" spans="1:14" x14ac:dyDescent="0.25">
      <c r="A18" s="3">
        <v>2013</v>
      </c>
      <c r="B18" s="50">
        <v>287769788882.22137</v>
      </c>
      <c r="C18" s="50">
        <v>78902551233.793396</v>
      </c>
      <c r="D18">
        <v>3179345</v>
      </c>
      <c r="F18" t="s">
        <v>124</v>
      </c>
      <c r="G18">
        <v>2</v>
      </c>
      <c r="H18">
        <v>1.7416446817746077E+23</v>
      </c>
      <c r="I18">
        <v>8.7082234088730386E+22</v>
      </c>
      <c r="J18">
        <v>281.37338473622276</v>
      </c>
      <c r="K18">
        <v>2.1379785628883874E-16</v>
      </c>
    </row>
    <row r="19" spans="1:14" x14ac:dyDescent="0.25">
      <c r="A19" s="3">
        <v>2014</v>
      </c>
      <c r="B19" s="50">
        <v>299095084828.97827</v>
      </c>
      <c r="C19" s="50">
        <v>82232429581.946793</v>
      </c>
      <c r="D19">
        <v>3266959</v>
      </c>
      <c r="F19" t="s">
        <v>125</v>
      </c>
      <c r="G19">
        <v>22</v>
      </c>
      <c r="H19">
        <v>6.8087788464714579E+21</v>
      </c>
      <c r="I19">
        <v>3.0948994756688445E+20</v>
      </c>
    </row>
    <row r="20" spans="1:14" ht="15.75" thickBot="1" x14ac:dyDescent="0.3">
      <c r="A20" s="3">
        <v>2015</v>
      </c>
      <c r="B20" s="50">
        <v>307998545269.39795</v>
      </c>
      <c r="C20" s="50">
        <v>83844198352.517593</v>
      </c>
      <c r="D20">
        <v>3360400</v>
      </c>
      <c r="F20" s="9" t="s">
        <v>126</v>
      </c>
      <c r="G20" s="9">
        <v>24</v>
      </c>
      <c r="H20" s="9">
        <v>1.8097324702393224E+23</v>
      </c>
      <c r="I20" s="9"/>
      <c r="J20" s="9"/>
      <c r="K20" s="9"/>
    </row>
    <row r="21" spans="1:14" ht="15.75" thickBot="1" x14ac:dyDescent="0.3">
      <c r="A21" s="3">
        <v>2016</v>
      </c>
      <c r="B21" s="50">
        <v>319541032495.04486</v>
      </c>
      <c r="C21" s="50">
        <v>84290655174.294907</v>
      </c>
      <c r="D21">
        <v>3396546</v>
      </c>
    </row>
    <row r="22" spans="1:14" x14ac:dyDescent="0.25">
      <c r="A22" s="3">
        <v>2017</v>
      </c>
      <c r="B22" s="50">
        <v>333846562289.74597</v>
      </c>
      <c r="C22" s="50">
        <v>88598330696.634109</v>
      </c>
      <c r="D22">
        <v>3388507</v>
      </c>
      <c r="F22" s="10"/>
      <c r="G22" s="10" t="s">
        <v>133</v>
      </c>
      <c r="H22" s="10" t="s">
        <v>121</v>
      </c>
      <c r="I22" s="10" t="s">
        <v>134</v>
      </c>
      <c r="J22" s="10" t="s">
        <v>135</v>
      </c>
      <c r="K22" s="10" t="s">
        <v>136</v>
      </c>
      <c r="L22" s="10" t="s">
        <v>137</v>
      </c>
      <c r="M22" s="10" t="s">
        <v>138</v>
      </c>
      <c r="N22" s="10" t="s">
        <v>139</v>
      </c>
    </row>
    <row r="23" spans="1:14" x14ac:dyDescent="0.25">
      <c r="A23" s="3">
        <v>2018</v>
      </c>
      <c r="B23" s="50">
        <v>345370865382.86688</v>
      </c>
      <c r="C23" s="50">
        <v>84207444583.856125</v>
      </c>
      <c r="D23">
        <v>3390276</v>
      </c>
      <c r="F23" t="s">
        <v>127</v>
      </c>
      <c r="G23">
        <v>-119340160792.40738</v>
      </c>
      <c r="H23">
        <v>46696072846.433517</v>
      </c>
      <c r="I23">
        <v>-2.5556787437965922</v>
      </c>
      <c r="J23">
        <v>1.8026316008650432E-2</v>
      </c>
      <c r="K23">
        <v>-216181888645.51035</v>
      </c>
      <c r="L23">
        <v>-22498432939.304424</v>
      </c>
      <c r="M23">
        <v>-216181888645.51035</v>
      </c>
      <c r="N23">
        <v>-22498432939.304424</v>
      </c>
    </row>
    <row r="24" spans="1:14" x14ac:dyDescent="0.25">
      <c r="A24" s="3">
        <v>2019</v>
      </c>
      <c r="B24" s="50">
        <v>349888458531.08569</v>
      </c>
      <c r="C24" s="50">
        <v>86300365501.063766</v>
      </c>
      <c r="D24">
        <v>3454121</v>
      </c>
      <c r="F24" t="s">
        <v>176</v>
      </c>
      <c r="G24">
        <v>1.8391625528334754</v>
      </c>
      <c r="H24">
        <v>0.88518744407544481</v>
      </c>
      <c r="I24">
        <v>2.0777097157703506</v>
      </c>
      <c r="J24">
        <v>4.9613065667791084E-2</v>
      </c>
      <c r="K24">
        <v>3.3961525186094058E-3</v>
      </c>
      <c r="L24">
        <v>3.6749289531483416</v>
      </c>
      <c r="M24">
        <v>3.3961525186094058E-3</v>
      </c>
      <c r="N24">
        <v>3.6749289531483416</v>
      </c>
    </row>
    <row r="25" spans="1:14" ht="15.75" thickBot="1" x14ac:dyDescent="0.3">
      <c r="A25" s="3">
        <v>2020</v>
      </c>
      <c r="B25" s="50">
        <v>336541232520.5025</v>
      </c>
      <c r="C25" s="50">
        <v>74186532831.451279</v>
      </c>
      <c r="D25">
        <v>3431193</v>
      </c>
      <c r="F25" s="9" t="s">
        <v>177</v>
      </c>
      <c r="G25" s="9">
        <v>88424.065089560012</v>
      </c>
      <c r="H25" s="9">
        <v>35272.219818150508</v>
      </c>
      <c r="I25" s="9">
        <v>2.5069038905245886</v>
      </c>
      <c r="J25" s="9">
        <v>2.0062217111787711E-2</v>
      </c>
      <c r="K25" s="9">
        <v>15273.958363507038</v>
      </c>
      <c r="L25" s="9">
        <v>161574.17181561299</v>
      </c>
      <c r="M25" s="9">
        <v>15273.958363507038</v>
      </c>
      <c r="N25" s="9">
        <v>161574.17181561299</v>
      </c>
    </row>
    <row r="26" spans="1:14" x14ac:dyDescent="0.25">
      <c r="A26" s="3">
        <v>2021</v>
      </c>
      <c r="B26" s="50">
        <v>369376902514.86536</v>
      </c>
      <c r="C26" s="50">
        <v>91394322913.825394</v>
      </c>
      <c r="D26">
        <v>3385810</v>
      </c>
    </row>
    <row r="27" spans="1:14" x14ac:dyDescent="0.25">
      <c r="A27" s="3">
        <v>2022</v>
      </c>
      <c r="B27" s="50">
        <v>384550906479.00623</v>
      </c>
      <c r="C27" s="50">
        <v>95674867710.435883</v>
      </c>
      <c r="D27">
        <v>3459003</v>
      </c>
    </row>
    <row r="28" spans="1:14" x14ac:dyDescent="0.25">
      <c r="A28" s="3">
        <v>2023</v>
      </c>
      <c r="B28" s="50">
        <v>391555143381.88489</v>
      </c>
      <c r="C28" s="50">
        <v>94809012056.079865</v>
      </c>
      <c r="D28">
        <v>3622441</v>
      </c>
    </row>
    <row r="29" spans="1:14" x14ac:dyDescent="0.25">
      <c r="A29" s="3">
        <v>2024</v>
      </c>
      <c r="B29" s="50">
        <v>408736675576.89142</v>
      </c>
      <c r="C29" s="50">
        <v>97592930009.273911</v>
      </c>
      <c r="D29">
        <v>3689424</v>
      </c>
    </row>
    <row r="31" spans="1:14" x14ac:dyDescent="0.25">
      <c r="F31" s="52" t="s">
        <v>178</v>
      </c>
      <c r="G31" s="52" t="s">
        <v>179</v>
      </c>
    </row>
    <row r="32" spans="1:14" x14ac:dyDescent="0.25">
      <c r="F32" s="52" t="s">
        <v>180</v>
      </c>
      <c r="G32" t="s">
        <v>181</v>
      </c>
    </row>
    <row r="33" spans="6:7" x14ac:dyDescent="0.25">
      <c r="F33" s="52" t="s">
        <v>182</v>
      </c>
      <c r="G33" t="s">
        <v>183</v>
      </c>
    </row>
    <row r="34" spans="6:7" x14ac:dyDescent="0.25">
      <c r="F34" s="52" t="s">
        <v>184</v>
      </c>
      <c r="G34" t="s">
        <v>185</v>
      </c>
    </row>
    <row r="35" spans="6:7" x14ac:dyDescent="0.25">
      <c r="F35" s="52" t="s">
        <v>186</v>
      </c>
      <c r="G35" t="s">
        <v>187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D9D41-AA99-6A43-84AB-57EBB3ED87C4}">
  <dimension ref="A1:P46"/>
  <sheetViews>
    <sheetView zoomScale="194" workbookViewId="0">
      <selection sqref="A1:XFD1"/>
    </sheetView>
  </sheetViews>
  <sheetFormatPr defaultColWidth="11.42578125" defaultRowHeight="15" x14ac:dyDescent="0.25"/>
  <cols>
    <col min="1" max="1" width="9" style="3"/>
    <col min="2" max="3" width="8.85546875"/>
    <col min="4" max="4" width="13.28515625" customWidth="1"/>
    <col min="5" max="5" width="12.140625" customWidth="1"/>
    <col min="6" max="6" width="18.28515625" customWidth="1"/>
    <col min="8" max="8" width="24.42578125" customWidth="1"/>
  </cols>
  <sheetData>
    <row r="1" spans="1:8" x14ac:dyDescent="0.25">
      <c r="A1" t="s">
        <v>201</v>
      </c>
    </row>
    <row r="2" spans="1:8" x14ac:dyDescent="0.25">
      <c r="A2"/>
    </row>
    <row r="3" spans="1:8" ht="120" x14ac:dyDescent="0.25">
      <c r="A3" s="2" t="s">
        <v>74</v>
      </c>
      <c r="B3" s="2" t="s">
        <v>29</v>
      </c>
      <c r="C3" s="2" t="s">
        <v>40</v>
      </c>
      <c r="D3" t="s">
        <v>149</v>
      </c>
      <c r="E3" t="s">
        <v>154</v>
      </c>
      <c r="F3" t="s">
        <v>153</v>
      </c>
    </row>
    <row r="4" spans="1:8" ht="19.5" thickBot="1" x14ac:dyDescent="0.3">
      <c r="A4" s="47"/>
      <c r="B4" s="47"/>
      <c r="C4" s="47"/>
      <c r="D4" t="s">
        <v>150</v>
      </c>
      <c r="E4" t="s">
        <v>152</v>
      </c>
      <c r="F4" t="s">
        <v>152</v>
      </c>
    </row>
    <row r="5" spans="1:8" ht="15.75" thickTop="1" x14ac:dyDescent="0.25">
      <c r="A5" s="3">
        <v>2000</v>
      </c>
      <c r="B5">
        <v>9.0383163255516337</v>
      </c>
      <c r="C5">
        <v>11.414764762166143</v>
      </c>
    </row>
    <row r="6" spans="1:8" x14ac:dyDescent="0.25">
      <c r="A6" s="3">
        <v>2001</v>
      </c>
      <c r="B6">
        <v>-1.0708627510044835</v>
      </c>
      <c r="C6">
        <v>-5.2071925730891024</v>
      </c>
      <c r="D6">
        <v>3.1078337377305879E-2</v>
      </c>
      <c r="F6">
        <v>7.6344786991480989E-5</v>
      </c>
    </row>
    <row r="7" spans="1:8" x14ac:dyDescent="0.25">
      <c r="A7" s="3">
        <v>2002</v>
      </c>
      <c r="B7">
        <v>3.923360767020128</v>
      </c>
      <c r="C7">
        <v>-9.1539886402542265</v>
      </c>
      <c r="D7">
        <v>-2.1927623777409942E-2</v>
      </c>
      <c r="F7">
        <v>3.1609031574915034E-5</v>
      </c>
    </row>
    <row r="8" spans="1:8" x14ac:dyDescent="0.25">
      <c r="A8" s="3">
        <v>2003</v>
      </c>
      <c r="B8">
        <v>4.5482554264322914</v>
      </c>
      <c r="C8">
        <v>-5.1563726039681654</v>
      </c>
      <c r="D8">
        <v>-1.4019524271750093E-2</v>
      </c>
      <c r="F8">
        <v>1.5972907046467799E-4</v>
      </c>
    </row>
    <row r="9" spans="1:8" x14ac:dyDescent="0.25">
      <c r="A9" s="3">
        <v>2004</v>
      </c>
      <c r="B9">
        <v>9.9399826843495731</v>
      </c>
      <c r="C9">
        <v>10.294087680187801</v>
      </c>
      <c r="D9">
        <v>1.6981685674058087E-2</v>
      </c>
      <c r="F9">
        <v>-3.8072277881575061E-5</v>
      </c>
    </row>
    <row r="10" spans="1:8" x14ac:dyDescent="0.25">
      <c r="A10" s="3">
        <v>2005</v>
      </c>
      <c r="B10">
        <v>7.366322392507584</v>
      </c>
      <c r="C10">
        <v>3.6398739965450631</v>
      </c>
      <c r="D10">
        <v>4.3720826643852136E-2</v>
      </c>
      <c r="F10">
        <v>-8.5835789589409515E-6</v>
      </c>
    </row>
    <row r="11" spans="1:8" x14ac:dyDescent="0.25">
      <c r="A11" s="3">
        <v>2006</v>
      </c>
      <c r="B11">
        <v>9.0067660787175754</v>
      </c>
      <c r="C11">
        <v>9.4381734039746306</v>
      </c>
      <c r="D11">
        <v>6.6444694450976713E-2</v>
      </c>
      <c r="E11">
        <v>-1.5003089904785014</v>
      </c>
      <c r="F11">
        <v>3.1083931911108161E-3</v>
      </c>
    </row>
    <row r="12" spans="1:8" x14ac:dyDescent="0.25">
      <c r="A12" s="3">
        <v>2007</v>
      </c>
      <c r="B12">
        <v>9.0215195126889256</v>
      </c>
      <c r="C12">
        <v>15.504805342889711</v>
      </c>
      <c r="D12">
        <v>4.9130083840008838E-2</v>
      </c>
      <c r="E12">
        <v>1.0286102294922017</v>
      </c>
      <c r="F12">
        <v>3.1997266934576897E-3</v>
      </c>
    </row>
    <row r="13" spans="1:8" x14ac:dyDescent="0.25">
      <c r="A13" s="3">
        <v>2008</v>
      </c>
      <c r="B13">
        <v>1.8634834546203507</v>
      </c>
      <c r="C13">
        <v>10.755848390317652</v>
      </c>
      <c r="D13">
        <v>8.1254097124981689E-2</v>
      </c>
      <c r="E13">
        <v>2.6227378845214986</v>
      </c>
      <c r="F13">
        <v>1.853138513696757E-2</v>
      </c>
    </row>
    <row r="14" spans="1:8" x14ac:dyDescent="0.25">
      <c r="A14" s="3">
        <v>2009</v>
      </c>
      <c r="B14">
        <v>0.1279533827780881</v>
      </c>
      <c r="C14">
        <v>5.4869663539406588</v>
      </c>
      <c r="D14">
        <v>1.5944602852234029E-2</v>
      </c>
      <c r="E14">
        <v>0.32201004028320313</v>
      </c>
      <c r="F14">
        <v>-1.8600894741257219E-2</v>
      </c>
    </row>
    <row r="15" spans="1:8" x14ac:dyDescent="0.25">
      <c r="A15" s="3">
        <v>2010</v>
      </c>
      <c r="B15">
        <v>14.519749710899404</v>
      </c>
      <c r="C15">
        <v>6.7504864541236316</v>
      </c>
      <c r="D15">
        <v>5.4276356944440586E-2</v>
      </c>
      <c r="E15">
        <v>5.7464294433593963</v>
      </c>
      <c r="F15">
        <v>3.1726488987337619E-2</v>
      </c>
      <c r="H15" t="s">
        <v>116</v>
      </c>
    </row>
    <row r="16" spans="1:8" ht="15.75" thickBot="1" x14ac:dyDescent="0.3">
      <c r="A16" s="3">
        <v>2011</v>
      </c>
      <c r="B16">
        <v>6.2149341685898918</v>
      </c>
      <c r="C16">
        <v>6.3654496770575264</v>
      </c>
      <c r="D16">
        <v>2.822334970567561E-2</v>
      </c>
      <c r="E16">
        <v>0.45959091186520595</v>
      </c>
      <c r="F16">
        <v>0.11578928480643602</v>
      </c>
    </row>
    <row r="17" spans="1:16" x14ac:dyDescent="0.25">
      <c r="A17" s="3">
        <v>2012</v>
      </c>
      <c r="B17">
        <v>4.4354975937853709</v>
      </c>
      <c r="C17">
        <v>8.6296671918287444</v>
      </c>
      <c r="D17">
        <v>3.943479121375297E-2</v>
      </c>
      <c r="E17">
        <v>1.747440338134794</v>
      </c>
      <c r="F17">
        <v>-1.1007246851475E-2</v>
      </c>
      <c r="H17" s="11" t="s">
        <v>117</v>
      </c>
      <c r="I17" s="11"/>
    </row>
    <row r="18" spans="1:16" x14ac:dyDescent="0.25">
      <c r="A18" s="3">
        <v>2013</v>
      </c>
      <c r="B18">
        <v>4.8176309912067552</v>
      </c>
      <c r="C18">
        <v>6.1589019003012169</v>
      </c>
      <c r="D18">
        <v>1.5674084073140655E-2</v>
      </c>
      <c r="E18">
        <v>1.3192596435547017</v>
      </c>
      <c r="F18">
        <v>-2.3834748944580014E-2</v>
      </c>
      <c r="H18" t="s">
        <v>118</v>
      </c>
      <c r="I18">
        <v>0.74879384889793033</v>
      </c>
    </row>
    <row r="19" spans="1:16" x14ac:dyDescent="0.25">
      <c r="A19" s="3">
        <v>2014</v>
      </c>
      <c r="B19">
        <v>3.9355402770900696</v>
      </c>
      <c r="C19">
        <v>4.2202416729045353</v>
      </c>
      <c r="D19">
        <v>2.8839824563956423E-2</v>
      </c>
      <c r="E19">
        <v>1.1507110595702983</v>
      </c>
      <c r="F19">
        <v>-1.4579980356545993E-2</v>
      </c>
      <c r="H19" t="s">
        <v>119</v>
      </c>
      <c r="I19">
        <v>0.56069222814737651</v>
      </c>
    </row>
    <row r="20" spans="1:16" x14ac:dyDescent="0.25">
      <c r="A20" s="3">
        <v>2015</v>
      </c>
      <c r="B20">
        <v>2.9767993163480639</v>
      </c>
      <c r="C20">
        <v>1.9600159921878912</v>
      </c>
      <c r="D20">
        <v>2.8067545081224287E-2</v>
      </c>
      <c r="E20">
        <v>0.8884201049804048</v>
      </c>
      <c r="F20">
        <v>-7.048831203233541E-2</v>
      </c>
      <c r="H20" t="s">
        <v>120</v>
      </c>
      <c r="I20">
        <v>0.40094394747369527</v>
      </c>
    </row>
    <row r="21" spans="1:16" x14ac:dyDescent="0.25">
      <c r="A21" s="3">
        <v>2016</v>
      </c>
      <c r="B21">
        <v>3.7475784879279246</v>
      </c>
      <c r="C21">
        <v>0.53248385761912687</v>
      </c>
      <c r="D21">
        <v>7.7097953393005167E-3</v>
      </c>
      <c r="E21">
        <v>0.74551773071289773</v>
      </c>
      <c r="F21">
        <v>-5.0371849744336034E-3</v>
      </c>
      <c r="H21" t="s">
        <v>121</v>
      </c>
      <c r="I21">
        <v>3.3475789840655952</v>
      </c>
    </row>
    <row r="22" spans="1:16" ht="15.75" thickBot="1" x14ac:dyDescent="0.3">
      <c r="A22" s="3">
        <v>2017</v>
      </c>
      <c r="B22">
        <v>4.4768991584587638</v>
      </c>
      <c r="C22">
        <v>5.1105018859230142</v>
      </c>
      <c r="D22">
        <v>-3.6148977192293381E-3</v>
      </c>
      <c r="E22">
        <v>1.4455909729003977</v>
      </c>
      <c r="F22">
        <v>-2.8901083437207382E-2</v>
      </c>
      <c r="H22" s="9" t="s">
        <v>122</v>
      </c>
      <c r="I22" s="9">
        <v>16</v>
      </c>
    </row>
    <row r="23" spans="1:16" x14ac:dyDescent="0.25">
      <c r="A23" s="3">
        <v>2018</v>
      </c>
      <c r="B23">
        <v>3.4519759658686979</v>
      </c>
      <c r="C23">
        <v>-4.9559467749032819</v>
      </c>
      <c r="D23">
        <v>6.652606309509511E-3</v>
      </c>
      <c r="E23">
        <v>1.5284996032715057</v>
      </c>
      <c r="F23">
        <v>-2.6412172896658097E-4</v>
      </c>
    </row>
    <row r="24" spans="1:16" ht="15.75" thickBot="1" x14ac:dyDescent="0.3">
      <c r="A24" s="3">
        <v>2019</v>
      </c>
      <c r="B24">
        <v>1.3080411815312658</v>
      </c>
      <c r="C24">
        <v>2.4854345450697792</v>
      </c>
      <c r="D24">
        <v>2.4254323011358346E-2</v>
      </c>
      <c r="E24">
        <v>1.4892921447753977</v>
      </c>
      <c r="F24">
        <v>-1.9500992509015986E-5</v>
      </c>
      <c r="H24" t="s">
        <v>123</v>
      </c>
    </row>
    <row r="25" spans="1:16" x14ac:dyDescent="0.25">
      <c r="A25" s="3">
        <v>2020</v>
      </c>
      <c r="B25">
        <v>-3.8147088551071278</v>
      </c>
      <c r="C25">
        <v>-14.036826610500484</v>
      </c>
      <c r="D25">
        <v>-1.6889283404655522E-2</v>
      </c>
      <c r="E25">
        <v>1.0362510681151988</v>
      </c>
      <c r="F25">
        <v>7.2806108127268987E-5</v>
      </c>
      <c r="H25" s="10"/>
      <c r="I25" s="10" t="s">
        <v>128</v>
      </c>
      <c r="J25" s="10" t="s">
        <v>129</v>
      </c>
      <c r="K25" s="10" t="s">
        <v>130</v>
      </c>
      <c r="L25" s="10" t="s">
        <v>131</v>
      </c>
      <c r="M25" s="10" t="s">
        <v>132</v>
      </c>
    </row>
    <row r="26" spans="1:16" x14ac:dyDescent="0.25">
      <c r="A26" s="3">
        <v>2021</v>
      </c>
      <c r="B26">
        <v>9.7568044629903028</v>
      </c>
      <c r="C26">
        <v>23.19530166138037</v>
      </c>
      <c r="D26">
        <v>-1.878298325607505E-2</v>
      </c>
      <c r="E26">
        <v>3.5513191223145029</v>
      </c>
      <c r="F26">
        <v>-6.1083159356694992E-5</v>
      </c>
      <c r="H26" t="s">
        <v>124</v>
      </c>
      <c r="I26">
        <v>4</v>
      </c>
      <c r="J26">
        <v>157.32944129344224</v>
      </c>
      <c r="K26">
        <v>39.332360323360561</v>
      </c>
      <c r="L26">
        <v>3.5098482799492889</v>
      </c>
      <c r="M26">
        <v>4.428882026885321E-2</v>
      </c>
    </row>
    <row r="27" spans="1:16" x14ac:dyDescent="0.25">
      <c r="A27" s="3">
        <v>2022</v>
      </c>
      <c r="B27">
        <v>4.1080002189715117</v>
      </c>
      <c r="C27">
        <v>4.6836003157948483</v>
      </c>
      <c r="D27">
        <v>3.285579637489322E-2</v>
      </c>
      <c r="E27">
        <v>1.2494697570800994</v>
      </c>
      <c r="H27" t="s">
        <v>125</v>
      </c>
      <c r="I27">
        <v>11</v>
      </c>
      <c r="J27">
        <v>123.26913560013405</v>
      </c>
      <c r="K27">
        <v>11.206285054557641</v>
      </c>
    </row>
    <row r="28" spans="1:16" ht="15.75" thickBot="1" x14ac:dyDescent="0.3">
      <c r="A28" s="3">
        <v>2023</v>
      </c>
      <c r="B28">
        <v>1.8214069411538532</v>
      </c>
      <c r="C28">
        <v>-0.90499801575536765</v>
      </c>
      <c r="D28">
        <v>4.8846829878268612E-2</v>
      </c>
      <c r="H28" s="9" t="s">
        <v>126</v>
      </c>
      <c r="I28" s="9">
        <v>15</v>
      </c>
      <c r="J28" s="9">
        <v>280.59857689357631</v>
      </c>
      <c r="K28" s="9"/>
      <c r="L28" s="9"/>
      <c r="M28" s="9"/>
    </row>
    <row r="29" spans="1:16" ht="15.75" thickBot="1" x14ac:dyDescent="0.3">
      <c r="A29" s="3">
        <v>2024</v>
      </c>
      <c r="B29">
        <v>4.3880236246186541</v>
      </c>
      <c r="C29">
        <v>2.9363431733128351</v>
      </c>
      <c r="D29">
        <v>2.5948693402780471E-2</v>
      </c>
    </row>
    <row r="30" spans="1:16" x14ac:dyDescent="0.25">
      <c r="H30" s="10"/>
      <c r="I30" s="10" t="s">
        <v>133</v>
      </c>
      <c r="J30" s="10" t="s">
        <v>121</v>
      </c>
      <c r="K30" s="10" t="s">
        <v>134</v>
      </c>
      <c r="L30" s="10" t="s">
        <v>135</v>
      </c>
      <c r="M30" s="10" t="s">
        <v>136</v>
      </c>
      <c r="N30" s="10" t="s">
        <v>137</v>
      </c>
      <c r="O30" s="10" t="s">
        <v>138</v>
      </c>
      <c r="P30" s="10" t="s">
        <v>139</v>
      </c>
    </row>
    <row r="31" spans="1:16" x14ac:dyDescent="0.25">
      <c r="H31" t="s">
        <v>127</v>
      </c>
      <c r="I31">
        <v>1.4990278711041103</v>
      </c>
      <c r="J31">
        <v>1.4357816663818508</v>
      </c>
      <c r="K31">
        <v>1.0440500155442429</v>
      </c>
      <c r="L31">
        <v>0.31886402678531861</v>
      </c>
      <c r="M31">
        <v>-1.6611062697339869</v>
      </c>
      <c r="N31">
        <v>4.6591620119422075</v>
      </c>
      <c r="O31">
        <v>-1.6611062697339869</v>
      </c>
      <c r="P31">
        <v>4.6591620119422075</v>
      </c>
    </row>
    <row r="32" spans="1:16" x14ac:dyDescent="0.25">
      <c r="H32" t="s">
        <v>176</v>
      </c>
      <c r="I32">
        <v>0.27711550125604839</v>
      </c>
      <c r="J32">
        <v>0.11486385390079441</v>
      </c>
      <c r="K32">
        <v>2.4125561858248936</v>
      </c>
      <c r="L32">
        <v>3.4458151205658379E-2</v>
      </c>
      <c r="M32">
        <v>2.4301863389465841E-2</v>
      </c>
      <c r="N32">
        <v>0.52992913912263095</v>
      </c>
      <c r="O32">
        <v>2.4301863389465841E-2</v>
      </c>
      <c r="P32">
        <v>0.52992913912263095</v>
      </c>
    </row>
    <row r="33" spans="8:16" x14ac:dyDescent="0.25">
      <c r="H33" t="s">
        <v>177</v>
      </c>
      <c r="I33">
        <v>21.7810845745813</v>
      </c>
      <c r="J33">
        <v>33.150542699795125</v>
      </c>
      <c r="K33">
        <v>0.65703553549112514</v>
      </c>
      <c r="L33">
        <v>0.52466667126772515</v>
      </c>
      <c r="M33">
        <v>-51.182767956651965</v>
      </c>
      <c r="N33">
        <v>94.744937105814572</v>
      </c>
      <c r="O33">
        <v>-51.182767956651965</v>
      </c>
      <c r="P33">
        <v>94.744937105814572</v>
      </c>
    </row>
    <row r="34" spans="8:16" x14ac:dyDescent="0.25">
      <c r="H34" t="s">
        <v>188</v>
      </c>
      <c r="I34">
        <v>0.79453200675214586</v>
      </c>
      <c r="J34">
        <v>0.57493141629755407</v>
      </c>
      <c r="K34">
        <v>1.381959628974142</v>
      </c>
      <c r="L34">
        <v>0.19440317937718402</v>
      </c>
      <c r="M34">
        <v>-0.47088350858923855</v>
      </c>
      <c r="N34">
        <v>2.0599475220935304</v>
      </c>
      <c r="O34">
        <v>-0.47088350858923855</v>
      </c>
      <c r="P34">
        <v>2.0599475220935304</v>
      </c>
    </row>
    <row r="35" spans="8:16" ht="15.75" thickBot="1" x14ac:dyDescent="0.3">
      <c r="H35" s="9" t="s">
        <v>189</v>
      </c>
      <c r="I35" s="9">
        <v>17.681980331220654</v>
      </c>
      <c r="J35" s="9">
        <v>23.334899625258643</v>
      </c>
      <c r="K35" s="9">
        <v>0.75774829183670278</v>
      </c>
      <c r="L35" s="9">
        <v>0.46452569355961315</v>
      </c>
      <c r="M35" s="9">
        <v>-33.67778745620155</v>
      </c>
      <c r="N35" s="9">
        <v>69.041748118642857</v>
      </c>
      <c r="O35" s="9">
        <v>-33.67778745620155</v>
      </c>
      <c r="P35" s="9">
        <v>69.041748118642857</v>
      </c>
    </row>
    <row r="40" spans="8:16" x14ac:dyDescent="0.25">
      <c r="H40" s="52" t="s">
        <v>178</v>
      </c>
      <c r="I40" s="52" t="s">
        <v>179</v>
      </c>
    </row>
    <row r="41" spans="8:16" x14ac:dyDescent="0.25">
      <c r="H41" s="52" t="s">
        <v>190</v>
      </c>
      <c r="I41" t="s">
        <v>191</v>
      </c>
    </row>
    <row r="42" spans="8:16" x14ac:dyDescent="0.25">
      <c r="H42" s="52" t="s">
        <v>192</v>
      </c>
      <c r="I42" t="s">
        <v>193</v>
      </c>
    </row>
    <row r="43" spans="8:16" x14ac:dyDescent="0.25">
      <c r="H43" s="52" t="s">
        <v>194</v>
      </c>
      <c r="I43" t="s">
        <v>195</v>
      </c>
    </row>
    <row r="44" spans="8:16" x14ac:dyDescent="0.25">
      <c r="H44" s="52" t="s">
        <v>196</v>
      </c>
      <c r="I44" t="s">
        <v>197</v>
      </c>
    </row>
    <row r="45" spans="8:16" x14ac:dyDescent="0.25">
      <c r="H45" s="52" t="s">
        <v>198</v>
      </c>
      <c r="I45" t="s">
        <v>199</v>
      </c>
    </row>
    <row r="46" spans="8:16" x14ac:dyDescent="0.25">
      <c r="H46" s="52" t="s">
        <v>186</v>
      </c>
      <c r="I46" s="52"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7182-47FF-1840-8E7F-A03675EC4950}">
  <dimension ref="A1:P39"/>
  <sheetViews>
    <sheetView topLeftCell="A12" zoomScale="164" workbookViewId="0">
      <selection activeCell="H44" sqref="H44"/>
    </sheetView>
  </sheetViews>
  <sheetFormatPr defaultColWidth="11.42578125" defaultRowHeight="15" x14ac:dyDescent="0.25"/>
  <cols>
    <col min="1" max="1" width="9" style="3"/>
    <col min="2" max="2" width="15.7109375" customWidth="1"/>
    <col min="4" max="4" width="8.85546875"/>
    <col min="5" max="5" width="13.28515625" style="20" customWidth="1"/>
  </cols>
  <sheetData>
    <row r="1" spans="1:9" x14ac:dyDescent="0.25">
      <c r="A1" t="s">
        <v>203</v>
      </c>
      <c r="E1"/>
    </row>
    <row r="2" spans="1:9" x14ac:dyDescent="0.25">
      <c r="A2"/>
      <c r="E2"/>
    </row>
    <row r="3" spans="1:9" ht="105" x14ac:dyDescent="0.25">
      <c r="A3" s="2" t="s">
        <v>74</v>
      </c>
      <c r="B3" t="s">
        <v>114</v>
      </c>
      <c r="C3" t="s">
        <v>160</v>
      </c>
      <c r="D3" s="2" t="s">
        <v>71</v>
      </c>
      <c r="E3" s="31" t="s">
        <v>154</v>
      </c>
    </row>
    <row r="4" spans="1:9" ht="113.25" thickBot="1" x14ac:dyDescent="0.3">
      <c r="A4" s="47"/>
      <c r="B4" t="s">
        <v>143</v>
      </c>
      <c r="C4" t="s">
        <v>146</v>
      </c>
      <c r="D4" s="47"/>
      <c r="E4" s="44" t="s">
        <v>152</v>
      </c>
    </row>
    <row r="5" spans="1:9" ht="15.75" thickTop="1" x14ac:dyDescent="0.25">
      <c r="A5" s="3">
        <v>2000</v>
      </c>
      <c r="D5">
        <v>15.146298038161788</v>
      </c>
      <c r="E5" s="37"/>
    </row>
    <row r="6" spans="1:9" x14ac:dyDescent="0.25">
      <c r="A6" s="3">
        <v>2001</v>
      </c>
      <c r="B6">
        <v>-4.0527439451052576E-2</v>
      </c>
      <c r="C6">
        <v>-8.0643982221274613E-2</v>
      </c>
      <c r="D6">
        <v>-11.605048125430017</v>
      </c>
      <c r="E6" s="37"/>
    </row>
    <row r="7" spans="1:9" x14ac:dyDescent="0.25">
      <c r="A7" s="3">
        <v>2002</v>
      </c>
      <c r="B7">
        <v>6.253241880097056E-2</v>
      </c>
      <c r="C7">
        <v>-7.1172915540240064E-2</v>
      </c>
      <c r="D7">
        <v>8.4686746225800107</v>
      </c>
      <c r="E7" s="37"/>
    </row>
    <row r="8" spans="1:9" x14ac:dyDescent="0.25">
      <c r="A8" s="3">
        <v>2003</v>
      </c>
      <c r="B8">
        <v>6.034813061802706E-2</v>
      </c>
      <c r="C8">
        <v>-3.8078037742280128E-2</v>
      </c>
      <c r="D8">
        <v>2.9963638945377227</v>
      </c>
      <c r="E8" s="37"/>
    </row>
    <row r="9" spans="1:9" x14ac:dyDescent="0.25">
      <c r="A9" s="3">
        <v>2004</v>
      </c>
      <c r="B9">
        <v>8.1041912878510494E-2</v>
      </c>
      <c r="C9">
        <v>8.4523833947752855E-2</v>
      </c>
      <c r="D9">
        <v>13.8458129716023</v>
      </c>
      <c r="E9" s="37"/>
    </row>
    <row r="10" spans="1:9" x14ac:dyDescent="0.25">
      <c r="A10" s="3">
        <v>2005</v>
      </c>
      <c r="B10">
        <v>2.8688128584638147E-2</v>
      </c>
      <c r="C10">
        <v>-7.0153689487504793E-3</v>
      </c>
      <c r="D10">
        <v>9.5096402529214856</v>
      </c>
      <c r="E10" s="37"/>
    </row>
    <row r="11" spans="1:9" x14ac:dyDescent="0.25">
      <c r="A11" s="3">
        <v>2006</v>
      </c>
      <c r="B11">
        <v>2.2151140569329326E-2</v>
      </c>
      <c r="C11">
        <v>2.6196426063287068E-2</v>
      </c>
      <c r="D11">
        <v>11.921913382779238</v>
      </c>
      <c r="E11" s="20">
        <f>D11-D10</f>
        <v>2.412273129857752</v>
      </c>
    </row>
    <row r="12" spans="1:9" x14ac:dyDescent="0.25">
      <c r="A12" s="3">
        <v>2007</v>
      </c>
      <c r="B12">
        <v>3.9161122076016859E-2</v>
      </c>
      <c r="C12">
        <v>0.10095789952110516</v>
      </c>
      <c r="D12">
        <v>5.9408665704516324</v>
      </c>
      <c r="E12" s="20">
        <f>D12-D11</f>
        <v>-5.9810468123276053</v>
      </c>
      <c r="H12" t="s">
        <v>116</v>
      </c>
    </row>
    <row r="13" spans="1:9" ht="15.75" thickBot="1" x14ac:dyDescent="0.3">
      <c r="A13" s="3">
        <v>2008</v>
      </c>
      <c r="B13">
        <v>-5.7913549410153149E-2</v>
      </c>
      <c r="C13">
        <v>2.4327664374301224E-2</v>
      </c>
      <c r="D13">
        <v>-4.1884694683058541</v>
      </c>
      <c r="E13" s="20">
        <f t="shared" ref="E13:E27" si="0">D13-D12</f>
        <v>-10.129336038757486</v>
      </c>
    </row>
    <row r="14" spans="1:9" x14ac:dyDescent="0.25">
      <c r="A14" s="3">
        <v>2009</v>
      </c>
      <c r="B14">
        <v>-1.4434910115454443E-2</v>
      </c>
      <c r="C14">
        <v>3.8314156675365557E-2</v>
      </c>
      <c r="D14">
        <v>-4.1502986226508227</v>
      </c>
      <c r="E14" s="20">
        <f t="shared" si="0"/>
        <v>3.8170845655031371E-2</v>
      </c>
      <c r="H14" s="11" t="s">
        <v>117</v>
      </c>
      <c r="I14" s="11"/>
    </row>
    <row r="15" spans="1:9" x14ac:dyDescent="0.25">
      <c r="A15" s="3">
        <v>2010</v>
      </c>
      <c r="B15">
        <v>8.6240329270084265E-2</v>
      </c>
      <c r="C15">
        <v>1.2547476294674259E-2</v>
      </c>
      <c r="D15">
        <v>29.675335626760187</v>
      </c>
      <c r="E15" s="20">
        <f t="shared" si="0"/>
        <v>33.82563424941101</v>
      </c>
      <c r="H15" t="s">
        <v>118</v>
      </c>
      <c r="I15">
        <v>0.90198875174192805</v>
      </c>
    </row>
    <row r="16" spans="1:9" x14ac:dyDescent="0.25">
      <c r="A16" s="3">
        <v>2011</v>
      </c>
      <c r="B16">
        <v>3.299476907418445E-2</v>
      </c>
      <c r="C16">
        <v>3.4458609673707216E-2</v>
      </c>
      <c r="D16">
        <v>7.8077670717552081</v>
      </c>
      <c r="E16" s="20">
        <f t="shared" si="0"/>
        <v>-21.867568555004979</v>
      </c>
      <c r="H16" t="s">
        <v>119</v>
      </c>
      <c r="I16">
        <v>0.81358370826896154</v>
      </c>
    </row>
    <row r="17" spans="1:16" x14ac:dyDescent="0.25">
      <c r="A17" s="3">
        <v>2012</v>
      </c>
      <c r="B17">
        <v>4.7335193758095443E-3</v>
      </c>
      <c r="C17">
        <v>4.5084002479668366E-2</v>
      </c>
      <c r="D17">
        <v>0.31910712270446595</v>
      </c>
      <c r="E17" s="20">
        <f t="shared" si="0"/>
        <v>-7.4886599490507422</v>
      </c>
      <c r="H17" t="s">
        <v>120</v>
      </c>
      <c r="I17">
        <v>0.77056456402333728</v>
      </c>
    </row>
    <row r="18" spans="1:16" x14ac:dyDescent="0.25">
      <c r="A18" s="3">
        <v>2013</v>
      </c>
      <c r="B18">
        <v>3.2000645038203282E-2</v>
      </c>
      <c r="C18">
        <v>4.5206366540080929E-2</v>
      </c>
      <c r="D18">
        <v>1.6712764155420388</v>
      </c>
      <c r="E18" s="20">
        <f t="shared" si="0"/>
        <v>1.3521692928375728</v>
      </c>
      <c r="H18" t="s">
        <v>121</v>
      </c>
      <c r="I18">
        <v>1.9491398103786726E-2</v>
      </c>
    </row>
    <row r="19" spans="1:16" ht="15.75" thickBot="1" x14ac:dyDescent="0.3">
      <c r="A19" s="3">
        <v>2014</v>
      </c>
      <c r="B19">
        <v>1.0220811788075115E-2</v>
      </c>
      <c r="C19">
        <v>1.298801994834551E-2</v>
      </c>
      <c r="D19">
        <v>2.6831203913080088</v>
      </c>
      <c r="E19" s="20">
        <f t="shared" si="0"/>
        <v>1.0118439757659701</v>
      </c>
      <c r="H19" s="9" t="s">
        <v>122</v>
      </c>
      <c r="I19" s="9">
        <v>17</v>
      </c>
    </row>
    <row r="20" spans="1:16" x14ac:dyDescent="0.25">
      <c r="A20" s="3">
        <v>2015</v>
      </c>
      <c r="B20">
        <v>1.6540236975596098E-3</v>
      </c>
      <c r="C20">
        <v>-8.2362148283519395E-3</v>
      </c>
      <c r="D20">
        <v>-5.1278017991461269</v>
      </c>
      <c r="E20" s="20">
        <f t="shared" si="0"/>
        <v>-7.8109221904541357</v>
      </c>
    </row>
    <row r="21" spans="1:16" ht="15.75" thickBot="1" x14ac:dyDescent="0.3">
      <c r="A21" s="3">
        <v>2016</v>
      </c>
      <c r="B21">
        <v>2.9538255634357968E-2</v>
      </c>
      <c r="C21">
        <v>-2.3667099140445851E-3</v>
      </c>
      <c r="D21">
        <v>3.7010008068074569</v>
      </c>
      <c r="E21" s="20">
        <f t="shared" si="0"/>
        <v>8.8288026059535838</v>
      </c>
      <c r="H21" t="s">
        <v>123</v>
      </c>
    </row>
    <row r="22" spans="1:16" x14ac:dyDescent="0.25">
      <c r="A22" s="3">
        <v>2017</v>
      </c>
      <c r="B22">
        <v>4.8559426664513565E-2</v>
      </c>
      <c r="C22">
        <v>5.4918441126029546E-2</v>
      </c>
      <c r="D22">
        <v>10.406115334791167</v>
      </c>
      <c r="E22" s="20">
        <f t="shared" si="0"/>
        <v>6.7051145279837101</v>
      </c>
      <c r="H22" s="10"/>
      <c r="I22" s="10" t="s">
        <v>128</v>
      </c>
      <c r="J22" s="10" t="s">
        <v>129</v>
      </c>
      <c r="K22" s="10" t="s">
        <v>130</v>
      </c>
      <c r="L22" s="10" t="s">
        <v>131</v>
      </c>
      <c r="M22" s="10" t="s">
        <v>132</v>
      </c>
    </row>
    <row r="23" spans="1:16" x14ac:dyDescent="0.25">
      <c r="A23" s="3">
        <v>2018</v>
      </c>
      <c r="B23">
        <v>2.7682989319762721E-2</v>
      </c>
      <c r="C23">
        <v>-5.5840588606452392E-2</v>
      </c>
      <c r="D23">
        <v>7.0287004412821261</v>
      </c>
      <c r="E23" s="20">
        <f t="shared" si="0"/>
        <v>-3.3774148935090409</v>
      </c>
      <c r="H23" t="s">
        <v>124</v>
      </c>
      <c r="I23">
        <v>3</v>
      </c>
      <c r="J23">
        <v>2.1554984499098692E-2</v>
      </c>
      <c r="K23">
        <v>7.1849948330328971E-3</v>
      </c>
      <c r="L23">
        <v>18.91213139024066</v>
      </c>
      <c r="M23">
        <v>5.0419414776305132E-5</v>
      </c>
    </row>
    <row r="24" spans="1:16" x14ac:dyDescent="0.25">
      <c r="A24" s="3">
        <v>2019</v>
      </c>
      <c r="B24">
        <v>-1.0909313190100821E-2</v>
      </c>
      <c r="C24">
        <v>5.8581391931573521E-4</v>
      </c>
      <c r="D24">
        <v>-1.4550979032228923</v>
      </c>
      <c r="E24" s="20">
        <f t="shared" si="0"/>
        <v>-8.4837983445050185</v>
      </c>
      <c r="H24" t="s">
        <v>125</v>
      </c>
      <c r="I24">
        <v>13</v>
      </c>
      <c r="J24">
        <v>4.9388898005239094E-3</v>
      </c>
      <c r="K24">
        <v>3.7991460004030073E-4</v>
      </c>
    </row>
    <row r="25" spans="1:16" ht="15.75" thickBot="1" x14ac:dyDescent="0.3">
      <c r="A25" s="3">
        <v>2020</v>
      </c>
      <c r="B25">
        <v>-2.1623002157920537E-2</v>
      </c>
      <c r="C25">
        <v>-0.12560028144945354</v>
      </c>
      <c r="D25">
        <v>7.5307063016974496</v>
      </c>
      <c r="E25" s="20">
        <f t="shared" si="0"/>
        <v>8.9858042049203419</v>
      </c>
      <c r="H25" s="9" t="s">
        <v>126</v>
      </c>
      <c r="I25" s="9">
        <v>16</v>
      </c>
      <c r="J25" s="9">
        <v>2.6493874299622602E-2</v>
      </c>
      <c r="K25" s="9"/>
      <c r="L25" s="9"/>
      <c r="M25" s="9"/>
    </row>
    <row r="26" spans="1:16" ht="15.75" thickBot="1" x14ac:dyDescent="0.3">
      <c r="A26" s="3">
        <v>2021</v>
      </c>
      <c r="B26">
        <v>0.11857828176694038</v>
      </c>
      <c r="C26">
        <v>0.25553572307777783</v>
      </c>
      <c r="D26">
        <v>13.303540009852924</v>
      </c>
      <c r="E26" s="20">
        <f t="shared" si="0"/>
        <v>5.7728337081554741</v>
      </c>
    </row>
    <row r="27" spans="1:16" x14ac:dyDescent="0.25">
      <c r="A27" s="3">
        <v>2022</v>
      </c>
      <c r="B27">
        <v>7.9625886243627955E-3</v>
      </c>
      <c r="C27">
        <v>1.3535487559950652E-2</v>
      </c>
      <c r="D27">
        <v>2.6997624563978491</v>
      </c>
      <c r="E27" s="20">
        <f t="shared" si="0"/>
        <v>-10.603777553455075</v>
      </c>
      <c r="H27" s="10"/>
      <c r="I27" s="10" t="s">
        <v>133</v>
      </c>
      <c r="J27" s="10" t="s">
        <v>121</v>
      </c>
      <c r="K27" s="10" t="s">
        <v>134</v>
      </c>
      <c r="L27" s="10" t="s">
        <v>135</v>
      </c>
      <c r="M27" s="10" t="s">
        <v>136</v>
      </c>
      <c r="N27" s="10" t="s">
        <v>137</v>
      </c>
      <c r="O27" s="10" t="s">
        <v>138</v>
      </c>
      <c r="P27" s="10" t="s">
        <v>139</v>
      </c>
    </row>
    <row r="28" spans="1:16" x14ac:dyDescent="0.25">
      <c r="A28" s="3">
        <v>2023</v>
      </c>
      <c r="B28">
        <v>-2.9206133435408722E-2</v>
      </c>
      <c r="C28">
        <v>-5.5200443369354521E-2</v>
      </c>
      <c r="D28">
        <v>-4.2302587923025925</v>
      </c>
      <c r="E28" s="37"/>
      <c r="H28" t="s">
        <v>127</v>
      </c>
      <c r="I28">
        <v>-2.8569089236023899E-3</v>
      </c>
      <c r="J28">
        <v>6.5821045602487598E-3</v>
      </c>
      <c r="K28">
        <v>-0.43404186266746542</v>
      </c>
      <c r="L28">
        <v>0.67137459058500015</v>
      </c>
      <c r="M28">
        <v>-1.7076681309124625E-2</v>
      </c>
      <c r="N28">
        <v>1.1362863461919843E-2</v>
      </c>
      <c r="O28">
        <v>-1.7076681309124625E-2</v>
      </c>
      <c r="P28">
        <v>1.1362863461919843E-2</v>
      </c>
    </row>
    <row r="29" spans="1:16" x14ac:dyDescent="0.25">
      <c r="A29" s="3">
        <v>2024</v>
      </c>
      <c r="B29">
        <v>1.7478011287223569E-2</v>
      </c>
      <c r="C29">
        <v>3.3283714403127447E-3</v>
      </c>
      <c r="D29">
        <v>4.2628399445695493</v>
      </c>
      <c r="E29" s="37"/>
      <c r="H29" t="s">
        <v>176</v>
      </c>
      <c r="I29">
        <v>0.27916180199100482</v>
      </c>
      <c r="J29">
        <v>6.6142547333244886E-2</v>
      </c>
      <c r="K29">
        <v>4.2206085681053169</v>
      </c>
      <c r="L29">
        <v>1.0004154623841236E-3</v>
      </c>
      <c r="M29">
        <v>0.13626951587365591</v>
      </c>
      <c r="N29">
        <v>0.42205408810835376</v>
      </c>
      <c r="O29">
        <v>0.13626951587365591</v>
      </c>
      <c r="P29">
        <v>0.42205408810835376</v>
      </c>
    </row>
    <row r="30" spans="1:16" x14ac:dyDescent="0.25">
      <c r="H30" t="s">
        <v>177</v>
      </c>
      <c r="I30">
        <v>3.0543645743851878E-3</v>
      </c>
      <c r="J30">
        <v>8.546553671031497E-4</v>
      </c>
      <c r="K30">
        <v>3.5737967512424826</v>
      </c>
      <c r="L30">
        <v>3.3980150397199147E-3</v>
      </c>
      <c r="M30">
        <v>1.2079939072178415E-3</v>
      </c>
      <c r="N30">
        <v>4.9007352415525339E-3</v>
      </c>
      <c r="O30">
        <v>1.2079939072178415E-3</v>
      </c>
      <c r="P30">
        <v>4.9007352415525339E-3</v>
      </c>
    </row>
    <row r="31" spans="1:16" ht="15.75" thickBot="1" x14ac:dyDescent="0.3">
      <c r="H31" s="9" t="s">
        <v>188</v>
      </c>
      <c r="I31" s="9">
        <v>1.4002104791369487E-4</v>
      </c>
      <c r="J31" s="9">
        <v>5.8974359401737673E-4</v>
      </c>
      <c r="K31" s="9">
        <v>0.23742699256783986</v>
      </c>
      <c r="L31" s="9">
        <v>0.8160263084702134</v>
      </c>
      <c r="M31" s="9">
        <v>-1.1340425279511639E-3</v>
      </c>
      <c r="N31" s="9">
        <v>1.4140846237785537E-3</v>
      </c>
      <c r="O31" s="9">
        <v>-1.1340425279511639E-3</v>
      </c>
      <c r="P31" s="9">
        <v>1.4140846237785537E-3</v>
      </c>
    </row>
    <row r="34" spans="8:9" x14ac:dyDescent="0.25">
      <c r="H34" s="52" t="s">
        <v>178</v>
      </c>
      <c r="I34" s="52" t="s">
        <v>179</v>
      </c>
    </row>
    <row r="35" spans="8:9" x14ac:dyDescent="0.25">
      <c r="H35" s="52" t="s">
        <v>204</v>
      </c>
      <c r="I35" t="s">
        <v>205</v>
      </c>
    </row>
    <row r="36" spans="8:9" x14ac:dyDescent="0.25">
      <c r="H36" s="52" t="s">
        <v>206</v>
      </c>
      <c r="I36" t="s">
        <v>207</v>
      </c>
    </row>
    <row r="37" spans="8:9" x14ac:dyDescent="0.25">
      <c r="H37" s="52" t="s">
        <v>208</v>
      </c>
      <c r="I37" t="s">
        <v>209</v>
      </c>
    </row>
    <row r="38" spans="8:9" x14ac:dyDescent="0.25">
      <c r="H38" s="52" t="s">
        <v>210</v>
      </c>
      <c r="I38" t="s">
        <v>211</v>
      </c>
    </row>
    <row r="39" spans="8:9" x14ac:dyDescent="0.25">
      <c r="H39" s="52" t="s">
        <v>186</v>
      </c>
      <c r="I39" s="52" t="s">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AECA-F9D8-4E94-9029-29AE891E1F4A}">
  <dimension ref="A1:M28"/>
  <sheetViews>
    <sheetView zoomScale="150" workbookViewId="0">
      <selection activeCell="I10" sqref="I10"/>
    </sheetView>
  </sheetViews>
  <sheetFormatPr defaultColWidth="8.85546875" defaultRowHeight="15" x14ac:dyDescent="0.25"/>
  <cols>
    <col min="1" max="1" width="12" bestFit="1" customWidth="1"/>
    <col min="2" max="2" width="12.28515625" bestFit="1" customWidth="1"/>
    <col min="3" max="3" width="11.140625" style="6" bestFit="1" customWidth="1"/>
    <col min="6" max="6" width="12.42578125" bestFit="1" customWidth="1"/>
    <col min="7" max="7" width="11.85546875" bestFit="1" customWidth="1"/>
    <col min="8" max="8" width="10.85546875" bestFit="1" customWidth="1"/>
    <col min="9" max="9" width="9" bestFit="1" customWidth="1"/>
    <col min="10" max="10" width="12.28515625" bestFit="1" customWidth="1"/>
    <col min="11" max="11" width="12.7109375" bestFit="1" customWidth="1"/>
    <col min="12" max="12" width="12.28515625" bestFit="1" customWidth="1"/>
    <col min="13" max="13" width="12.7109375" bestFit="1" customWidth="1"/>
  </cols>
  <sheetData>
    <row r="1" spans="1:13" ht="75" x14ac:dyDescent="0.25">
      <c r="A1" s="2" t="s">
        <v>43</v>
      </c>
      <c r="B1" s="2" t="s">
        <v>80</v>
      </c>
      <c r="C1" s="4" t="s">
        <v>108</v>
      </c>
      <c r="E1" t="s">
        <v>116</v>
      </c>
    </row>
    <row r="2" spans="1:13" ht="15.75" thickBot="1" x14ac:dyDescent="0.3">
      <c r="A2">
        <v>140533304238.72125</v>
      </c>
      <c r="B2">
        <v>43703162220.646263</v>
      </c>
      <c r="C2" s="6">
        <v>2058990.2999999998</v>
      </c>
    </row>
    <row r="3" spans="1:13" x14ac:dyDescent="0.25">
      <c r="A3">
        <v>139028385430.87299</v>
      </c>
      <c r="B3">
        <v>41427454403.287689</v>
      </c>
      <c r="C3" s="6">
        <v>2122980.2952000001</v>
      </c>
      <c r="E3" s="11" t="s">
        <v>117</v>
      </c>
      <c r="F3" s="11"/>
    </row>
    <row r="4" spans="1:13" x14ac:dyDescent="0.25">
      <c r="A4">
        <v>144482970559.8894</v>
      </c>
      <c r="B4">
        <v>37635189933.264236</v>
      </c>
      <c r="C4" s="6">
        <v>2076428.3819999998</v>
      </c>
      <c r="E4" t="s">
        <v>118</v>
      </c>
      <c r="F4">
        <v>0.98087740551070124</v>
      </c>
    </row>
    <row r="5" spans="1:13" x14ac:dyDescent="0.25">
      <c r="A5">
        <v>151054425108.65015</v>
      </c>
      <c r="B5">
        <v>35694579310.094017</v>
      </c>
      <c r="C5" s="6">
        <v>2047317.8439</v>
      </c>
      <c r="E5" t="s">
        <v>119</v>
      </c>
      <c r="F5" s="12">
        <v>0.96212048464140454</v>
      </c>
    </row>
    <row r="6" spans="1:13" x14ac:dyDescent="0.25">
      <c r="A6">
        <v>166069208808.39377</v>
      </c>
      <c r="B6">
        <v>39369010601.349266</v>
      </c>
      <c r="C6" s="6">
        <v>2082084.7520000001</v>
      </c>
      <c r="E6" t="s">
        <v>120</v>
      </c>
      <c r="F6">
        <v>0.95867689233607767</v>
      </c>
    </row>
    <row r="7" spans="1:13" x14ac:dyDescent="0.25">
      <c r="A7">
        <v>178302402123.90665</v>
      </c>
      <c r="B7">
        <v>40801992980.92485</v>
      </c>
      <c r="C7" s="6">
        <v>2173115.2185</v>
      </c>
      <c r="E7" t="s">
        <v>121</v>
      </c>
      <c r="F7">
        <v>17652168151.839451</v>
      </c>
    </row>
    <row r="8" spans="1:13" ht="15.75" thickBot="1" x14ac:dyDescent="0.3">
      <c r="A8">
        <v>194361682395.94128</v>
      </c>
      <c r="B8">
        <v>44652955830.742096</v>
      </c>
      <c r="C8" s="6">
        <v>2317507.1952</v>
      </c>
      <c r="E8" s="9" t="s">
        <v>122</v>
      </c>
      <c r="F8" s="13">
        <v>25</v>
      </c>
    </row>
    <row r="9" spans="1:13" x14ac:dyDescent="0.25">
      <c r="A9">
        <v>211896059498.4816</v>
      </c>
      <c r="B9">
        <v>51576309712.14518</v>
      </c>
      <c r="C9" s="6">
        <v>2431366.5179999997</v>
      </c>
    </row>
    <row r="10" spans="1:13" ht="15.75" thickBot="1" x14ac:dyDescent="0.3">
      <c r="A10">
        <v>215844707508.2283</v>
      </c>
      <c r="B10">
        <v>57123779390.104187</v>
      </c>
      <c r="C10" s="6">
        <v>2628925.0092000002</v>
      </c>
      <c r="E10" t="s">
        <v>123</v>
      </c>
    </row>
    <row r="11" spans="1:13" x14ac:dyDescent="0.25">
      <c r="A11">
        <v>216120888113.03256</v>
      </c>
      <c r="B11">
        <v>60258141945.338493</v>
      </c>
      <c r="C11" s="6">
        <v>2670842.1743999999</v>
      </c>
      <c r="E11" s="10"/>
      <c r="F11" s="10" t="s">
        <v>128</v>
      </c>
      <c r="G11" s="10" t="s">
        <v>129</v>
      </c>
      <c r="H11" s="10" t="s">
        <v>130</v>
      </c>
      <c r="I11" s="10" t="s">
        <v>131</v>
      </c>
      <c r="J11" s="10" t="s">
        <v>132</v>
      </c>
    </row>
    <row r="12" spans="1:13" x14ac:dyDescent="0.25">
      <c r="A12">
        <v>247501100140.01782</v>
      </c>
      <c r="B12">
        <v>64325859654.865166</v>
      </c>
      <c r="C12" s="6">
        <v>2815805.7576000001</v>
      </c>
      <c r="E12" t="s">
        <v>124</v>
      </c>
      <c r="F12">
        <v>2</v>
      </c>
      <c r="G12">
        <v>1.7411806813379431E+23</v>
      </c>
      <c r="H12">
        <v>8.7059034066897156E+22</v>
      </c>
      <c r="I12">
        <v>279.39442283951837</v>
      </c>
      <c r="J12">
        <v>2.3038200450523506E-16</v>
      </c>
    </row>
    <row r="13" spans="1:13" x14ac:dyDescent="0.25">
      <c r="A13">
        <v>262883130580.25568</v>
      </c>
      <c r="B13">
        <v>68420489880.530258</v>
      </c>
      <c r="C13" s="6">
        <v>2895277.2281999998</v>
      </c>
      <c r="E13" t="s">
        <v>125</v>
      </c>
      <c r="F13">
        <v>22</v>
      </c>
      <c r="G13">
        <v>6.8551788901379311E+21</v>
      </c>
      <c r="H13">
        <v>3.1159904046081507E+20</v>
      </c>
    </row>
    <row r="14" spans="1:13" ht="15.75" thickBot="1" x14ac:dyDescent="0.3">
      <c r="A14">
        <v>274543305511.61057</v>
      </c>
      <c r="B14">
        <v>74324950448.238876</v>
      </c>
      <c r="C14" s="6">
        <v>3009451.8812000002</v>
      </c>
      <c r="E14" s="9" t="s">
        <v>126</v>
      </c>
      <c r="F14" s="9">
        <v>24</v>
      </c>
      <c r="G14" s="9">
        <v>1.8097324702393224E+23</v>
      </c>
      <c r="H14" s="9"/>
      <c r="I14" s="9"/>
      <c r="J14" s="9"/>
    </row>
    <row r="15" spans="1:13" ht="15.75" thickBot="1" x14ac:dyDescent="0.3">
      <c r="A15">
        <v>287769788882.22137</v>
      </c>
      <c r="B15">
        <v>78902551233.793396</v>
      </c>
      <c r="C15" s="6">
        <v>3056622.2830000003</v>
      </c>
    </row>
    <row r="16" spans="1:13" x14ac:dyDescent="0.25">
      <c r="A16">
        <v>299095084828.97827</v>
      </c>
      <c r="B16">
        <v>82232429581.946793</v>
      </c>
      <c r="C16" s="6">
        <v>3144774.7334000003</v>
      </c>
      <c r="E16" s="10"/>
      <c r="F16" s="14" t="s">
        <v>133</v>
      </c>
      <c r="G16" s="10" t="s">
        <v>121</v>
      </c>
      <c r="H16" s="10" t="s">
        <v>134</v>
      </c>
      <c r="I16" s="14" t="s">
        <v>135</v>
      </c>
      <c r="J16" s="10" t="s">
        <v>136</v>
      </c>
      <c r="K16" s="10" t="s">
        <v>137</v>
      </c>
      <c r="L16" s="10" t="s">
        <v>138</v>
      </c>
      <c r="M16" s="10" t="s">
        <v>139</v>
      </c>
    </row>
    <row r="17" spans="1:13" x14ac:dyDescent="0.25">
      <c r="A17">
        <v>307998545269.39795</v>
      </c>
      <c r="B17">
        <v>83844198352.517593</v>
      </c>
      <c r="C17" s="6">
        <v>3233040.84</v>
      </c>
      <c r="E17" t="s">
        <v>127</v>
      </c>
      <c r="F17" s="12">
        <v>-113161816008.73782</v>
      </c>
      <c r="G17">
        <v>44971266471.871254</v>
      </c>
      <c r="H17">
        <v>-2.5163137462343554</v>
      </c>
      <c r="I17" s="12">
        <v>1.965345641486229E-2</v>
      </c>
      <c r="J17">
        <v>-206426514374.28693</v>
      </c>
      <c r="K17">
        <v>-19897117643.188736</v>
      </c>
      <c r="L17">
        <v>-206426514374.28693</v>
      </c>
      <c r="M17">
        <v>-19897117643.188736</v>
      </c>
    </row>
    <row r="18" spans="1:13" x14ac:dyDescent="0.25">
      <c r="A18">
        <v>319541032495.04486</v>
      </c>
      <c r="B18">
        <v>84290655174.294907</v>
      </c>
      <c r="C18" s="6">
        <v>3257966.9232000001</v>
      </c>
      <c r="E18" t="s">
        <v>80</v>
      </c>
      <c r="F18" s="12">
        <v>1.800813466879718</v>
      </c>
      <c r="G18">
        <v>0.91384660647729232</v>
      </c>
      <c r="H18">
        <v>1.9705861510188423</v>
      </c>
      <c r="I18" s="12">
        <v>6.1483377423879396E-2</v>
      </c>
      <c r="J18">
        <v>-9.4388398489027248E-2</v>
      </c>
      <c r="K18">
        <v>3.6960153322484635</v>
      </c>
      <c r="L18">
        <v>-9.4388398489027248E-2</v>
      </c>
      <c r="M18">
        <v>3.6960153322484635</v>
      </c>
    </row>
    <row r="19" spans="1:13" ht="15.75" thickBot="1" x14ac:dyDescent="0.3">
      <c r="A19">
        <v>333846562289.74597</v>
      </c>
      <c r="B19">
        <v>88598330696.634109</v>
      </c>
      <c r="C19" s="6">
        <v>3246189.7059999998</v>
      </c>
      <c r="E19" s="9" t="s">
        <v>108</v>
      </c>
      <c r="F19" s="13">
        <v>90960.124457354628</v>
      </c>
      <c r="G19" s="9">
        <v>36849.464837520442</v>
      </c>
      <c r="H19" s="9">
        <v>2.4684245716572319</v>
      </c>
      <c r="I19" s="13">
        <v>2.1817592591986689E-2</v>
      </c>
      <c r="J19" s="9">
        <v>14539.011764144583</v>
      </c>
      <c r="K19" s="9">
        <v>167381.23715056467</v>
      </c>
      <c r="L19" s="9">
        <v>14539.011764144583</v>
      </c>
      <c r="M19" s="9">
        <v>167381.23715056467</v>
      </c>
    </row>
    <row r="20" spans="1:13" x14ac:dyDescent="0.25">
      <c r="A20">
        <v>345370865382.86688</v>
      </c>
      <c r="B20">
        <v>84207444583.856125</v>
      </c>
      <c r="C20" s="6">
        <v>3267785.3281200002</v>
      </c>
    </row>
    <row r="21" spans="1:13" x14ac:dyDescent="0.25">
      <c r="A21">
        <v>349888458531.08569</v>
      </c>
      <c r="B21">
        <v>86300365501.063766</v>
      </c>
      <c r="C21" s="6">
        <v>3347043.2490000003</v>
      </c>
    </row>
    <row r="22" spans="1:13" x14ac:dyDescent="0.25">
      <c r="A22">
        <v>336541232520.5025</v>
      </c>
      <c r="B22">
        <v>74186532831.451279</v>
      </c>
      <c r="C22" s="6">
        <v>3290514.0870000003</v>
      </c>
    </row>
    <row r="23" spans="1:13" x14ac:dyDescent="0.25">
      <c r="A23">
        <v>369376902514.86536</v>
      </c>
      <c r="B23">
        <v>91394322913.825394</v>
      </c>
      <c r="C23" s="6">
        <v>3228708.4160000002</v>
      </c>
    </row>
    <row r="24" spans="1:13" x14ac:dyDescent="0.25">
      <c r="A24">
        <v>384550906479.00623</v>
      </c>
      <c r="B24">
        <v>95674867710.435883</v>
      </c>
      <c r="C24" s="6">
        <v>3334790.2022700002</v>
      </c>
    </row>
    <row r="25" spans="1:13" x14ac:dyDescent="0.25">
      <c r="A25">
        <v>391555143381.88489</v>
      </c>
      <c r="B25">
        <v>94809012056.079865</v>
      </c>
      <c r="C25" s="6">
        <v>3497684.1319599999</v>
      </c>
    </row>
    <row r="26" spans="1:13" x14ac:dyDescent="0.25">
      <c r="A26">
        <v>408736675576.89142</v>
      </c>
      <c r="B26">
        <v>97592930009.273911</v>
      </c>
      <c r="C26" s="6">
        <v>3588444.4651200003</v>
      </c>
    </row>
    <row r="28" spans="1:13" x14ac:dyDescent="0.25">
      <c r="C28" s="1"/>
    </row>
  </sheetData>
  <sheetProtection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5112-9F7A-4E65-AF87-66BF12EAFA09}">
  <dimension ref="A1:Q33"/>
  <sheetViews>
    <sheetView workbookViewId="0">
      <selection activeCell="L7" sqref="L7"/>
    </sheetView>
  </sheetViews>
  <sheetFormatPr defaultColWidth="8.85546875" defaultRowHeight="15" x14ac:dyDescent="0.25"/>
  <cols>
    <col min="5" max="5" width="9" style="33"/>
    <col min="6" max="6" width="13.28515625" style="20" customWidth="1"/>
    <col min="7" max="7" width="11.42578125" style="20" bestFit="1" customWidth="1"/>
    <col min="10" max="10" width="12.28515625" bestFit="1" customWidth="1"/>
    <col min="11" max="11" width="13" bestFit="1" customWidth="1"/>
  </cols>
  <sheetData>
    <row r="1" spans="1:17" ht="120" x14ac:dyDescent="0.25">
      <c r="A1" s="2" t="s">
        <v>28</v>
      </c>
      <c r="B1" s="2" t="s">
        <v>74</v>
      </c>
      <c r="C1" s="2" t="s">
        <v>29</v>
      </c>
      <c r="D1" s="2" t="s">
        <v>40</v>
      </c>
      <c r="E1" s="32" t="s">
        <v>149</v>
      </c>
      <c r="F1" s="31" t="s">
        <v>154</v>
      </c>
      <c r="G1" s="31" t="s">
        <v>153</v>
      </c>
      <c r="I1" t="s">
        <v>116</v>
      </c>
    </row>
    <row r="2" spans="1:17" ht="15.75" thickBot="1" x14ac:dyDescent="0.3">
      <c r="A2" t="s">
        <v>75</v>
      </c>
      <c r="B2">
        <v>2000</v>
      </c>
      <c r="C2">
        <v>9.0383163255516337</v>
      </c>
      <c r="D2">
        <v>11.414764762166143</v>
      </c>
    </row>
    <row r="3" spans="1:17" x14ac:dyDescent="0.25">
      <c r="A3" t="s">
        <v>75</v>
      </c>
      <c r="B3">
        <v>2001</v>
      </c>
      <c r="C3">
        <v>-1.0708627510044835</v>
      </c>
      <c r="D3">
        <v>-5.2071925730891024</v>
      </c>
      <c r="E3" s="33">
        <v>3.1078337377305879E-2</v>
      </c>
      <c r="G3" s="20">
        <v>7.6344786991480989E-5</v>
      </c>
      <c r="I3" s="11" t="s">
        <v>117</v>
      </c>
      <c r="J3" s="11"/>
    </row>
    <row r="4" spans="1:17" x14ac:dyDescent="0.25">
      <c r="A4" t="s">
        <v>75</v>
      </c>
      <c r="B4">
        <v>2002</v>
      </c>
      <c r="C4">
        <v>3.923360767020128</v>
      </c>
      <c r="D4">
        <v>-9.1539886402542265</v>
      </c>
      <c r="E4" s="33">
        <v>-2.1927623777409942E-2</v>
      </c>
      <c r="G4" s="20">
        <v>3.1609031574915034E-5</v>
      </c>
      <c r="I4" t="s">
        <v>118</v>
      </c>
      <c r="J4">
        <v>0.82393292350564329</v>
      </c>
    </row>
    <row r="5" spans="1:17" x14ac:dyDescent="0.25">
      <c r="A5" t="s">
        <v>75</v>
      </c>
      <c r="B5">
        <v>2003</v>
      </c>
      <c r="C5">
        <v>4.5482554264322914</v>
      </c>
      <c r="D5">
        <v>-5.1563726039681654</v>
      </c>
      <c r="E5" s="33">
        <v>-1.4019524271750093E-2</v>
      </c>
      <c r="G5" s="20">
        <v>1.5972907046467799E-4</v>
      </c>
      <c r="I5" t="s">
        <v>119</v>
      </c>
      <c r="J5">
        <v>0.67886546243655621</v>
      </c>
    </row>
    <row r="6" spans="1:17" x14ac:dyDescent="0.25">
      <c r="A6" t="s">
        <v>75</v>
      </c>
      <c r="B6">
        <v>2004</v>
      </c>
      <c r="C6">
        <v>9.9399826843495731</v>
      </c>
      <c r="D6">
        <v>10.294087680187801</v>
      </c>
      <c r="E6" s="33">
        <v>1.6981685674058087E-2</v>
      </c>
      <c r="G6" s="20">
        <v>-3.8072277881575061E-5</v>
      </c>
      <c r="I6" t="s">
        <v>120</v>
      </c>
      <c r="J6">
        <v>0.55041164741117865</v>
      </c>
    </row>
    <row r="7" spans="1:17" x14ac:dyDescent="0.25">
      <c r="A7" t="s">
        <v>75</v>
      </c>
      <c r="B7">
        <v>2005</v>
      </c>
      <c r="C7">
        <v>7.366322392507584</v>
      </c>
      <c r="D7">
        <v>3.6398739965450631</v>
      </c>
      <c r="E7" s="33">
        <v>4.3720826643852136E-2</v>
      </c>
      <c r="G7" s="20">
        <v>-8.5835789589409515E-6</v>
      </c>
      <c r="I7" t="s">
        <v>121</v>
      </c>
      <c r="J7">
        <v>2.8961175812830007</v>
      </c>
    </row>
    <row r="8" spans="1:17" s="34" customFormat="1" ht="15.75" thickBot="1" x14ac:dyDescent="0.3">
      <c r="A8" s="34" t="s">
        <v>75</v>
      </c>
      <c r="B8" s="34">
        <v>2006</v>
      </c>
      <c r="C8" s="34">
        <v>9.0067660787175754</v>
      </c>
      <c r="D8" s="34">
        <v>9.4381734039746306</v>
      </c>
      <c r="E8" s="35">
        <v>6.6444694450976713E-2</v>
      </c>
      <c r="F8" s="34">
        <v>-1.5003089904785014</v>
      </c>
      <c r="G8" s="34">
        <v>3.1083931911108161E-3</v>
      </c>
      <c r="I8" s="9" t="s">
        <v>122</v>
      </c>
      <c r="J8" s="9">
        <v>15</v>
      </c>
      <c r="K8"/>
      <c r="L8"/>
      <c r="M8"/>
      <c r="N8"/>
      <c r="O8"/>
      <c r="P8"/>
      <c r="Q8"/>
    </row>
    <row r="9" spans="1:17" s="34" customFormat="1" x14ac:dyDescent="0.25">
      <c r="A9" s="34" t="s">
        <v>75</v>
      </c>
      <c r="B9" s="34">
        <v>2007</v>
      </c>
      <c r="C9" s="34">
        <v>9.0215195126889256</v>
      </c>
      <c r="D9" s="34">
        <v>15.504805342889711</v>
      </c>
      <c r="E9" s="35">
        <v>4.9130083840008838E-2</v>
      </c>
      <c r="F9" s="34">
        <v>1.0286102294922017</v>
      </c>
      <c r="G9" s="34">
        <v>3.1997266934576897E-3</v>
      </c>
      <c r="I9"/>
      <c r="J9"/>
      <c r="K9"/>
      <c r="L9"/>
      <c r="M9"/>
      <c r="N9"/>
      <c r="O9"/>
      <c r="P9"/>
      <c r="Q9"/>
    </row>
    <row r="10" spans="1:17" s="34" customFormat="1" ht="15.75" thickBot="1" x14ac:dyDescent="0.3">
      <c r="A10" s="34" t="s">
        <v>75</v>
      </c>
      <c r="B10" s="34">
        <v>2008</v>
      </c>
      <c r="C10" s="34">
        <v>1.8634834546203507</v>
      </c>
      <c r="D10" s="34">
        <v>10.755848390317652</v>
      </c>
      <c r="E10" s="35">
        <v>8.1254097124981689E-2</v>
      </c>
      <c r="F10" s="34">
        <v>2.6227378845214986</v>
      </c>
      <c r="G10" s="34">
        <v>1.853138513696757E-2</v>
      </c>
      <c r="I10" t="s">
        <v>123</v>
      </c>
      <c r="J10"/>
      <c r="K10"/>
      <c r="L10"/>
      <c r="M10"/>
      <c r="N10"/>
      <c r="O10"/>
      <c r="P10"/>
      <c r="Q10"/>
    </row>
    <row r="11" spans="1:17" s="34" customFormat="1" x14ac:dyDescent="0.25">
      <c r="A11" s="34" t="s">
        <v>75</v>
      </c>
      <c r="B11" s="34">
        <v>2009</v>
      </c>
      <c r="C11" s="34">
        <v>0.1279533827780881</v>
      </c>
      <c r="D11" s="34">
        <v>5.4869663539406588</v>
      </c>
      <c r="E11" s="35">
        <v>1.5944602852234029E-2</v>
      </c>
      <c r="F11" s="34">
        <v>0.32201004028320313</v>
      </c>
      <c r="G11" s="34">
        <v>-1.8600894741257219E-2</v>
      </c>
      <c r="I11" s="10"/>
      <c r="J11" s="10" t="s">
        <v>128</v>
      </c>
      <c r="K11" s="10" t="s">
        <v>129</v>
      </c>
      <c r="L11" s="10" t="s">
        <v>130</v>
      </c>
      <c r="M11" s="10" t="s">
        <v>131</v>
      </c>
      <c r="N11" s="10" t="s">
        <v>132</v>
      </c>
      <c r="O11"/>
      <c r="P11"/>
      <c r="Q11"/>
    </row>
    <row r="12" spans="1:17" s="34" customFormat="1" x14ac:dyDescent="0.25">
      <c r="A12" s="34" t="s">
        <v>75</v>
      </c>
      <c r="B12" s="34">
        <v>2010</v>
      </c>
      <c r="C12" s="34">
        <v>14.519749710899404</v>
      </c>
      <c r="D12" s="34">
        <v>6.7504864541236316</v>
      </c>
      <c r="E12" s="35">
        <v>5.4276356944440586E-2</v>
      </c>
      <c r="F12" s="34">
        <v>5.7464294433593963</v>
      </c>
      <c r="G12" s="34">
        <v>3.1726488987337619E-2</v>
      </c>
      <c r="I12" t="s">
        <v>124</v>
      </c>
      <c r="J12">
        <v>4</v>
      </c>
      <c r="K12">
        <v>177.30830520693888</v>
      </c>
      <c r="L12">
        <v>44.327076301734721</v>
      </c>
      <c r="M12">
        <v>5.284899185769131</v>
      </c>
      <c r="N12">
        <v>1.5008161051736435E-2</v>
      </c>
      <c r="O12"/>
      <c r="P12"/>
      <c r="Q12"/>
    </row>
    <row r="13" spans="1:17" s="34" customFormat="1" x14ac:dyDescent="0.25">
      <c r="A13" s="34" t="s">
        <v>75</v>
      </c>
      <c r="B13" s="34">
        <v>2011</v>
      </c>
      <c r="C13" s="34">
        <v>6.2149341685898918</v>
      </c>
      <c r="D13" s="34">
        <v>6.3654496770575264</v>
      </c>
      <c r="E13" s="35">
        <v>2.822334970567561E-2</v>
      </c>
      <c r="F13" s="34">
        <v>0.45959091186520595</v>
      </c>
      <c r="G13" s="34">
        <v>0.11578928480643602</v>
      </c>
      <c r="I13" t="s">
        <v>125</v>
      </c>
      <c r="J13">
        <v>10</v>
      </c>
      <c r="K13">
        <v>83.874970446164966</v>
      </c>
      <c r="L13">
        <v>8.3874970446164969</v>
      </c>
      <c r="M13"/>
      <c r="N13"/>
      <c r="O13"/>
      <c r="P13"/>
      <c r="Q13"/>
    </row>
    <row r="14" spans="1:17" s="34" customFormat="1" ht="15.75" thickBot="1" x14ac:dyDescent="0.3">
      <c r="A14" s="34" t="s">
        <v>75</v>
      </c>
      <c r="B14" s="34">
        <v>2012</v>
      </c>
      <c r="C14" s="34">
        <v>4.4354975937853709</v>
      </c>
      <c r="D14" s="34">
        <v>8.6296671918287444</v>
      </c>
      <c r="E14" s="35">
        <v>3.943479121375297E-2</v>
      </c>
      <c r="F14" s="34">
        <v>1.747440338134794</v>
      </c>
      <c r="G14" s="34">
        <v>-1.1007246851475E-2</v>
      </c>
      <c r="I14" s="9" t="s">
        <v>126</v>
      </c>
      <c r="J14" s="9">
        <v>14</v>
      </c>
      <c r="K14" s="9">
        <v>261.18327565310386</v>
      </c>
      <c r="L14" s="9"/>
      <c r="M14" s="9"/>
      <c r="N14" s="9"/>
      <c r="O14"/>
      <c r="P14"/>
      <c r="Q14"/>
    </row>
    <row r="15" spans="1:17" s="34" customFormat="1" ht="15.75" thickBot="1" x14ac:dyDescent="0.3">
      <c r="A15" s="34" t="s">
        <v>75</v>
      </c>
      <c r="B15" s="34">
        <v>2013</v>
      </c>
      <c r="C15" s="34">
        <v>4.8176309912067552</v>
      </c>
      <c r="D15" s="34">
        <v>6.1589019003012169</v>
      </c>
      <c r="E15" s="35">
        <v>1.5674084073140655E-2</v>
      </c>
      <c r="F15" s="34">
        <v>1.3192596435547017</v>
      </c>
      <c r="G15" s="34">
        <v>-2.3834748944580014E-2</v>
      </c>
      <c r="I15"/>
      <c r="J15"/>
      <c r="K15"/>
      <c r="L15"/>
      <c r="M15"/>
      <c r="N15"/>
      <c r="O15"/>
      <c r="P15"/>
      <c r="Q15"/>
    </row>
    <row r="16" spans="1:17" s="34" customFormat="1" x14ac:dyDescent="0.25">
      <c r="A16" s="34" t="s">
        <v>75</v>
      </c>
      <c r="B16" s="34">
        <v>2014</v>
      </c>
      <c r="C16" s="34">
        <v>3.9355402770900696</v>
      </c>
      <c r="D16" s="34">
        <v>4.2202416729045353</v>
      </c>
      <c r="E16" s="35">
        <v>2.8839824563956423E-2</v>
      </c>
      <c r="F16" s="34">
        <v>1.1507110595702983</v>
      </c>
      <c r="G16" s="34">
        <v>-1.4579980356545993E-2</v>
      </c>
      <c r="I16" s="10"/>
      <c r="J16" s="36" t="s">
        <v>133</v>
      </c>
      <c r="K16" s="36" t="s">
        <v>121</v>
      </c>
      <c r="L16" s="10" t="s">
        <v>134</v>
      </c>
      <c r="M16" s="10" t="s">
        <v>135</v>
      </c>
      <c r="N16" s="10" t="s">
        <v>136</v>
      </c>
      <c r="O16" s="10" t="s">
        <v>137</v>
      </c>
      <c r="P16" s="10" t="s">
        <v>138</v>
      </c>
      <c r="Q16" s="10" t="s">
        <v>139</v>
      </c>
    </row>
    <row r="17" spans="1:17" s="34" customFormat="1" x14ac:dyDescent="0.25">
      <c r="A17" s="34" t="s">
        <v>75</v>
      </c>
      <c r="B17" s="34">
        <v>2015</v>
      </c>
      <c r="C17" s="34">
        <v>2.9767993163480639</v>
      </c>
      <c r="D17" s="34">
        <v>1.9600159921878912</v>
      </c>
      <c r="E17" s="35">
        <v>2.8067545081224287E-2</v>
      </c>
      <c r="F17" s="34">
        <v>0.8884201049804048</v>
      </c>
      <c r="G17" s="34">
        <v>-7.048831203233541E-2</v>
      </c>
      <c r="I17" t="s">
        <v>127</v>
      </c>
      <c r="J17">
        <v>0.74453604665789208</v>
      </c>
      <c r="K17">
        <v>1.2900141659011393</v>
      </c>
      <c r="L17">
        <v>0.57715338818608752</v>
      </c>
      <c r="M17">
        <v>0.57659766247818589</v>
      </c>
      <c r="N17">
        <v>-2.1297946359991036</v>
      </c>
      <c r="O17">
        <v>3.6188667293148882</v>
      </c>
      <c r="P17">
        <v>-2.1297946359991036</v>
      </c>
      <c r="Q17">
        <v>3.6188667293148882</v>
      </c>
    </row>
    <row r="18" spans="1:17" s="34" customFormat="1" x14ac:dyDescent="0.25">
      <c r="A18" s="34" t="s">
        <v>75</v>
      </c>
      <c r="B18" s="34">
        <v>2016</v>
      </c>
      <c r="C18" s="34">
        <v>3.7475784879279246</v>
      </c>
      <c r="D18" s="34">
        <v>0.53248385761912687</v>
      </c>
      <c r="E18" s="35">
        <v>7.7097953393005167E-3</v>
      </c>
      <c r="F18" s="34">
        <v>0.74551773071289773</v>
      </c>
      <c r="G18" s="34">
        <v>-5.0371849744336034E-3</v>
      </c>
      <c r="I18">
        <v>9.4381734039746306</v>
      </c>
      <c r="J18">
        <v>0.23778909514372215</v>
      </c>
      <c r="K18">
        <v>0.10101629249765647</v>
      </c>
      <c r="L18">
        <v>2.3539677537585213</v>
      </c>
      <c r="M18">
        <v>4.0366528062239213E-2</v>
      </c>
      <c r="N18">
        <v>1.2710769146084183E-2</v>
      </c>
      <c r="O18">
        <v>0.46286742114136015</v>
      </c>
      <c r="P18">
        <v>1.2710769146084183E-2</v>
      </c>
      <c r="Q18">
        <v>0.46286742114136015</v>
      </c>
    </row>
    <row r="19" spans="1:17" s="34" customFormat="1" x14ac:dyDescent="0.25">
      <c r="A19" s="34" t="s">
        <v>75</v>
      </c>
      <c r="B19" s="34">
        <v>2017</v>
      </c>
      <c r="C19" s="34">
        <v>4.4768991584587638</v>
      </c>
      <c r="D19" s="34">
        <v>5.1105018859230142</v>
      </c>
      <c r="E19" s="35">
        <v>-3.6148977192293381E-3</v>
      </c>
      <c r="F19" s="34">
        <v>1.4455909729003977</v>
      </c>
      <c r="G19" s="34">
        <v>-2.8901083437207382E-2</v>
      </c>
      <c r="I19">
        <v>6.6444694450976713E-2</v>
      </c>
      <c r="J19">
        <v>-4.765631722815999</v>
      </c>
      <c r="K19">
        <v>31.186145566812122</v>
      </c>
      <c r="L19">
        <v>-0.15281246323327369</v>
      </c>
      <c r="M19">
        <v>0.88158558796621778</v>
      </c>
      <c r="N19">
        <v>-74.252694303929601</v>
      </c>
      <c r="O19">
        <v>64.721430858297609</v>
      </c>
      <c r="P19">
        <v>-74.252694303929601</v>
      </c>
      <c r="Q19">
        <v>64.721430858297609</v>
      </c>
    </row>
    <row r="20" spans="1:17" s="34" customFormat="1" x14ac:dyDescent="0.25">
      <c r="A20" s="34" t="s">
        <v>75</v>
      </c>
      <c r="B20" s="34">
        <v>2018</v>
      </c>
      <c r="C20" s="34">
        <v>3.4519759658686979</v>
      </c>
      <c r="D20" s="34">
        <v>-4.9559467749032819</v>
      </c>
      <c r="E20" s="35">
        <v>6.652606309509511E-3</v>
      </c>
      <c r="F20" s="34">
        <v>1.5284996032715057</v>
      </c>
      <c r="G20" s="34">
        <v>-2.6412172896658097E-4</v>
      </c>
      <c r="I20">
        <v>-1.5003089904785014</v>
      </c>
      <c r="J20">
        <v>1.5457225898946869</v>
      </c>
      <c r="K20">
        <v>0.60625522367897222</v>
      </c>
      <c r="L20">
        <v>2.5496235405852552</v>
      </c>
      <c r="M20">
        <v>2.8882595401599251E-2</v>
      </c>
      <c r="N20">
        <v>0.19490177179593982</v>
      </c>
      <c r="O20">
        <v>2.896543407993434</v>
      </c>
      <c r="P20">
        <v>0.19490177179593982</v>
      </c>
      <c r="Q20">
        <v>2.896543407993434</v>
      </c>
    </row>
    <row r="21" spans="1:17" s="34" customFormat="1" ht="15.75" thickBot="1" x14ac:dyDescent="0.3">
      <c r="A21" s="34" t="s">
        <v>75</v>
      </c>
      <c r="B21" s="34">
        <v>2019</v>
      </c>
      <c r="C21" s="34">
        <v>1.3080411815312658</v>
      </c>
      <c r="D21" s="34">
        <v>2.4854345450697792</v>
      </c>
      <c r="E21" s="35">
        <v>2.4254323011358346E-2</v>
      </c>
      <c r="F21" s="34">
        <v>1.4892921447753977</v>
      </c>
      <c r="G21" s="34">
        <v>-1.9500992509015986E-5</v>
      </c>
      <c r="I21" s="9">
        <v>3.1083931911108161E-3</v>
      </c>
      <c r="J21" s="9">
        <v>18.104708455422788</v>
      </c>
      <c r="K21" s="9">
        <v>20.188849261855861</v>
      </c>
      <c r="L21" s="9">
        <v>0.89676772660981829</v>
      </c>
      <c r="M21" s="9">
        <v>0.39092064395145643</v>
      </c>
      <c r="N21" s="9">
        <v>-26.878850961812674</v>
      </c>
      <c r="O21" s="9">
        <v>63.08826787265825</v>
      </c>
      <c r="P21" s="9">
        <v>-26.878850961812674</v>
      </c>
      <c r="Q21" s="9">
        <v>63.08826787265825</v>
      </c>
    </row>
    <row r="22" spans="1:17" s="34" customFormat="1" x14ac:dyDescent="0.25">
      <c r="A22" s="34" t="s">
        <v>75</v>
      </c>
      <c r="B22" s="34">
        <v>2020</v>
      </c>
      <c r="C22" s="34">
        <v>-3.8147088551071278</v>
      </c>
      <c r="D22" s="34">
        <v>-14.036826610500484</v>
      </c>
      <c r="E22" s="35">
        <v>-1.6889283404655522E-2</v>
      </c>
      <c r="F22" s="34">
        <v>1.0362510681151988</v>
      </c>
      <c r="G22" s="34">
        <v>7.2806108127268987E-5</v>
      </c>
      <c r="I22"/>
      <c r="J22"/>
      <c r="K22"/>
      <c r="L22"/>
      <c r="M22"/>
      <c r="N22"/>
      <c r="O22"/>
      <c r="P22"/>
      <c r="Q22"/>
    </row>
    <row r="23" spans="1:17" s="34" customFormat="1" x14ac:dyDescent="0.25">
      <c r="A23" s="34" t="s">
        <v>75</v>
      </c>
      <c r="B23" s="34">
        <v>2021</v>
      </c>
      <c r="C23" s="34">
        <v>9.7568044629903028</v>
      </c>
      <c r="D23" s="34">
        <v>23.19530166138037</v>
      </c>
      <c r="E23" s="35">
        <v>-1.878298325607505E-2</v>
      </c>
      <c r="F23" s="34">
        <v>3.5513191223145029</v>
      </c>
      <c r="G23" s="34">
        <v>-6.1083159356694992E-5</v>
      </c>
      <c r="I23"/>
      <c r="J23"/>
      <c r="K23"/>
      <c r="L23"/>
      <c r="M23"/>
      <c r="N23"/>
      <c r="O23"/>
      <c r="P23"/>
      <c r="Q23"/>
    </row>
    <row r="24" spans="1:17" x14ac:dyDescent="0.25">
      <c r="A24" t="s">
        <v>75</v>
      </c>
      <c r="B24">
        <v>2022</v>
      </c>
      <c r="C24">
        <v>4.1080002189715117</v>
      </c>
      <c r="D24">
        <v>4.6836003157948483</v>
      </c>
      <c r="E24" s="33">
        <v>3.285579637489322E-2</v>
      </c>
      <c r="F24" s="20">
        <v>1.2494697570800994</v>
      </c>
    </row>
    <row r="25" spans="1:17" x14ac:dyDescent="0.25">
      <c r="A25" t="s">
        <v>75</v>
      </c>
      <c r="B25">
        <v>2023</v>
      </c>
      <c r="C25">
        <v>1.8214069411538532</v>
      </c>
      <c r="D25">
        <v>-0.90499801575536765</v>
      </c>
      <c r="E25" s="33">
        <v>4.8846829878268612E-2</v>
      </c>
    </row>
    <row r="26" spans="1:17" x14ac:dyDescent="0.25">
      <c r="A26" t="s">
        <v>75</v>
      </c>
      <c r="B26">
        <v>2024</v>
      </c>
      <c r="C26">
        <v>4.3880236246186541</v>
      </c>
      <c r="D26">
        <v>2.9363431733128351</v>
      </c>
      <c r="E26" s="33">
        <v>2.5948693402780471E-2</v>
      </c>
    </row>
    <row r="28" spans="1:17" x14ac:dyDescent="0.25">
      <c r="A28" t="s">
        <v>113</v>
      </c>
      <c r="C28">
        <v>4.7963708207198028</v>
      </c>
      <c r="D28">
        <v>4.0059049215621823</v>
      </c>
    </row>
    <row r="31" spans="1:17" x14ac:dyDescent="0.25">
      <c r="A31" t="s">
        <v>157</v>
      </c>
    </row>
    <row r="32" spans="1:17" x14ac:dyDescent="0.25">
      <c r="A32" t="s">
        <v>158</v>
      </c>
    </row>
    <row r="33" spans="1:1" x14ac:dyDescent="0.25">
      <c r="A33" t="s">
        <v>159</v>
      </c>
    </row>
  </sheetData>
  <sheetProtection sheet="1" objects="1" scenarios="1" selectLockedCells="1" selectUnlockedCell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6D3-3ACC-423F-8903-C5F506436891}">
  <dimension ref="A1:N20"/>
  <sheetViews>
    <sheetView workbookViewId="0">
      <selection activeCell="F17" sqref="F17"/>
    </sheetView>
  </sheetViews>
  <sheetFormatPr defaultColWidth="8.85546875" defaultRowHeight="15" x14ac:dyDescent="0.25"/>
  <cols>
    <col min="1" max="1" width="12.140625" style="8" customWidth="1"/>
    <col min="2" max="2" width="9" style="33"/>
    <col min="3" max="3" width="13.28515625" style="20" customWidth="1"/>
    <col min="6" max="6" width="36" customWidth="1"/>
  </cols>
  <sheetData>
    <row r="1" spans="1:14" ht="105" x14ac:dyDescent="0.25">
      <c r="A1" s="7" t="s">
        <v>114</v>
      </c>
      <c r="B1" s="32" t="s">
        <v>160</v>
      </c>
      <c r="C1" s="31" t="s">
        <v>154</v>
      </c>
      <c r="D1" s="2" t="s">
        <v>71</v>
      </c>
      <c r="F1" t="s">
        <v>116</v>
      </c>
    </row>
    <row r="2" spans="1:14" ht="15.75" thickBot="1" x14ac:dyDescent="0.3">
      <c r="A2" s="8">
        <v>2.2151140569329326E-2</v>
      </c>
      <c r="B2" s="33">
        <v>2.6196426063287068E-2</v>
      </c>
      <c r="C2" s="20">
        <v>-1.5003089904785014</v>
      </c>
      <c r="D2">
        <v>11.921913382779238</v>
      </c>
    </row>
    <row r="3" spans="1:14" x14ac:dyDescent="0.25">
      <c r="A3" s="8">
        <v>3.9161122076016859E-2</v>
      </c>
      <c r="B3" s="33">
        <v>0.10095789952110516</v>
      </c>
      <c r="C3" s="20">
        <v>1.0286102294922017</v>
      </c>
      <c r="D3">
        <v>5.9408665704516324</v>
      </c>
      <c r="F3" s="11" t="s">
        <v>117</v>
      </c>
      <c r="G3" s="11"/>
    </row>
    <row r="4" spans="1:14" x14ac:dyDescent="0.25">
      <c r="A4" s="8">
        <v>-5.7913549410153149E-2</v>
      </c>
      <c r="B4" s="33">
        <v>2.4327664374301224E-2</v>
      </c>
      <c r="C4" s="20">
        <v>2.6227378845214986</v>
      </c>
      <c r="D4">
        <v>-4.1884694683058541</v>
      </c>
      <c r="F4" t="s">
        <v>118</v>
      </c>
      <c r="G4">
        <v>0.90255618496708157</v>
      </c>
    </row>
    <row r="5" spans="1:14" x14ac:dyDescent="0.25">
      <c r="A5" s="8">
        <v>-1.4434910115454443E-2</v>
      </c>
      <c r="B5" s="33">
        <v>3.8314156675365557E-2</v>
      </c>
      <c r="C5" s="20">
        <v>0.32201004028320313</v>
      </c>
      <c r="D5">
        <v>-4.1502986226508227</v>
      </c>
      <c r="F5" t="s">
        <v>119</v>
      </c>
      <c r="G5" s="37">
        <v>0.81460766702233278</v>
      </c>
    </row>
    <row r="6" spans="1:14" x14ac:dyDescent="0.25">
      <c r="A6" s="8">
        <v>8.6240329270084265E-2</v>
      </c>
      <c r="B6" s="33">
        <v>1.2547476294674259E-2</v>
      </c>
      <c r="C6" s="20">
        <v>5.7464294433593963</v>
      </c>
      <c r="D6">
        <v>29.675335626760187</v>
      </c>
      <c r="F6" t="s">
        <v>120</v>
      </c>
      <c r="G6">
        <v>0.77182482095056337</v>
      </c>
    </row>
    <row r="7" spans="1:14" x14ac:dyDescent="0.25">
      <c r="A7" s="8">
        <v>3.299476907418445E-2</v>
      </c>
      <c r="B7" s="33">
        <v>3.4458609673707216E-2</v>
      </c>
      <c r="C7" s="20">
        <v>0.45959091186520595</v>
      </c>
      <c r="D7">
        <v>7.8077670717552081</v>
      </c>
      <c r="F7" t="s">
        <v>121</v>
      </c>
      <c r="G7">
        <v>1.9437792621639249E-2</v>
      </c>
    </row>
    <row r="8" spans="1:14" ht="15.75" thickBot="1" x14ac:dyDescent="0.3">
      <c r="A8" s="8">
        <v>4.7335193758095443E-3</v>
      </c>
      <c r="B8" s="33">
        <v>4.5084002479668366E-2</v>
      </c>
      <c r="C8" s="20">
        <v>1.747440338134794</v>
      </c>
      <c r="D8">
        <v>0.31910712270446595</v>
      </c>
      <c r="F8" s="9" t="s">
        <v>122</v>
      </c>
      <c r="G8" s="38">
        <v>17</v>
      </c>
    </row>
    <row r="9" spans="1:14" x14ac:dyDescent="0.25">
      <c r="A9" s="8">
        <v>3.2000645038203282E-2</v>
      </c>
      <c r="B9" s="33">
        <v>4.5206366540080929E-2</v>
      </c>
      <c r="C9" s="20">
        <v>1.3192596435547017</v>
      </c>
      <c r="D9">
        <v>1.6712764155420388</v>
      </c>
    </row>
    <row r="10" spans="1:14" ht="15.75" thickBot="1" x14ac:dyDescent="0.3">
      <c r="A10" s="8">
        <v>1.0220811788075115E-2</v>
      </c>
      <c r="B10" s="33">
        <v>1.298801994834551E-2</v>
      </c>
      <c r="C10" s="20">
        <v>1.1507110595702983</v>
      </c>
      <c r="D10">
        <v>2.6831203913080088</v>
      </c>
      <c r="F10" t="s">
        <v>123</v>
      </c>
    </row>
    <row r="11" spans="1:14" x14ac:dyDescent="0.25">
      <c r="A11" s="8">
        <v>1.6540236975596098E-3</v>
      </c>
      <c r="B11" s="33">
        <v>-8.2362148283519395E-3</v>
      </c>
      <c r="C11" s="20">
        <v>0.8884201049804048</v>
      </c>
      <c r="D11">
        <v>-5.1278017991461269</v>
      </c>
      <c r="F11" s="10"/>
      <c r="G11" s="10" t="s">
        <v>128</v>
      </c>
      <c r="H11" s="10" t="s">
        <v>129</v>
      </c>
      <c r="I11" s="10" t="s">
        <v>130</v>
      </c>
      <c r="J11" s="10" t="s">
        <v>131</v>
      </c>
      <c r="K11" s="10" t="s">
        <v>132</v>
      </c>
    </row>
    <row r="12" spans="1:14" x14ac:dyDescent="0.25">
      <c r="A12" s="8">
        <v>2.9538255634357968E-2</v>
      </c>
      <c r="B12" s="33">
        <v>-2.3667099140445851E-3</v>
      </c>
      <c r="C12" s="20">
        <v>0.74551773071289773</v>
      </c>
      <c r="D12">
        <v>3.7010008068074569</v>
      </c>
      <c r="F12" t="s">
        <v>124</v>
      </c>
      <c r="G12">
        <v>3</v>
      </c>
      <c r="H12">
        <v>2.1582113133598507E-2</v>
      </c>
      <c r="I12">
        <v>7.1940377111995024E-3</v>
      </c>
      <c r="J12">
        <v>19.040520718416136</v>
      </c>
      <c r="K12">
        <v>4.8672019036150807E-5</v>
      </c>
    </row>
    <row r="13" spans="1:14" x14ac:dyDescent="0.25">
      <c r="A13" s="8">
        <v>4.8559426664513565E-2</v>
      </c>
      <c r="B13" s="33">
        <v>5.4918441126029546E-2</v>
      </c>
      <c r="C13" s="20">
        <v>1.4455909729003977</v>
      </c>
      <c r="D13">
        <v>10.406115334791167</v>
      </c>
      <c r="F13" t="s">
        <v>125</v>
      </c>
      <c r="G13">
        <v>13</v>
      </c>
      <c r="H13">
        <v>4.9117611660240926E-3</v>
      </c>
      <c r="I13">
        <v>3.7782778200185326E-4</v>
      </c>
    </row>
    <row r="14" spans="1:14" ht="15.75" thickBot="1" x14ac:dyDescent="0.3">
      <c r="A14" s="8">
        <v>2.7682989319762721E-2</v>
      </c>
      <c r="B14" s="33">
        <v>-5.5840588606452392E-2</v>
      </c>
      <c r="C14" s="20">
        <v>1.5284996032715057</v>
      </c>
      <c r="D14">
        <v>7.0287004412821261</v>
      </c>
      <c r="F14" s="9" t="s">
        <v>126</v>
      </c>
      <c r="G14" s="9">
        <v>16</v>
      </c>
      <c r="H14" s="9">
        <v>2.6493874299622598E-2</v>
      </c>
      <c r="I14" s="9"/>
      <c r="J14" s="9"/>
      <c r="K14" s="9"/>
    </row>
    <row r="15" spans="1:14" ht="15.75" thickBot="1" x14ac:dyDescent="0.3">
      <c r="A15" s="8">
        <v>-1.0909313190100821E-2</v>
      </c>
      <c r="B15" s="33">
        <v>5.8581391931573521E-4</v>
      </c>
      <c r="C15" s="20">
        <v>1.4892921447753977</v>
      </c>
      <c r="D15">
        <v>-1.4550979032228923</v>
      </c>
    </row>
    <row r="16" spans="1:14" x14ac:dyDescent="0.25">
      <c r="A16" s="8">
        <v>-2.1623002157920537E-2</v>
      </c>
      <c r="B16" s="33">
        <v>-0.12560028144945354</v>
      </c>
      <c r="C16" s="20">
        <v>1.0362510681151988</v>
      </c>
      <c r="D16">
        <v>7.5307063016974496</v>
      </c>
      <c r="F16" s="10"/>
      <c r="G16" s="10" t="s">
        <v>133</v>
      </c>
      <c r="H16" s="10" t="s">
        <v>121</v>
      </c>
      <c r="I16" s="10" t="s">
        <v>134</v>
      </c>
      <c r="J16" s="10" t="s">
        <v>135</v>
      </c>
      <c r="K16" s="10" t="s">
        <v>136</v>
      </c>
      <c r="L16" s="10" t="s">
        <v>137</v>
      </c>
      <c r="M16" s="10" t="s">
        <v>138</v>
      </c>
      <c r="N16" s="10" t="s">
        <v>139</v>
      </c>
    </row>
    <row r="17" spans="1:14" x14ac:dyDescent="0.25">
      <c r="A17" s="8">
        <v>0.11857828176694038</v>
      </c>
      <c r="B17" s="33">
        <v>0.25553572307777783</v>
      </c>
      <c r="C17" s="20">
        <v>3.5513191223145029</v>
      </c>
      <c r="D17">
        <v>13.303540009852924</v>
      </c>
      <c r="F17" t="s">
        <v>127</v>
      </c>
      <c r="G17">
        <v>-2.3691376758903926E-3</v>
      </c>
      <c r="H17">
        <v>6.7164117621336637E-3</v>
      </c>
      <c r="I17">
        <v>-0.35273859909056066</v>
      </c>
      <c r="J17">
        <v>0.72993781617758779</v>
      </c>
      <c r="K17">
        <v>-1.6879063130701994E-2</v>
      </c>
      <c r="L17">
        <v>1.2140787778921209E-2</v>
      </c>
      <c r="M17">
        <v>-1.6879063130701994E-2</v>
      </c>
      <c r="N17">
        <v>1.2140787778921209E-2</v>
      </c>
    </row>
    <row r="18" spans="1:14" x14ac:dyDescent="0.25">
      <c r="A18" s="8">
        <v>7.9625886243627955E-3</v>
      </c>
      <c r="B18" s="33">
        <v>1.3535487559950652E-2</v>
      </c>
      <c r="C18" s="20">
        <v>1.2494697570800994</v>
      </c>
      <c r="D18">
        <v>2.6997624563978491</v>
      </c>
      <c r="F18" t="s">
        <v>160</v>
      </c>
      <c r="G18">
        <v>0.28086591243648851</v>
      </c>
      <c r="H18">
        <v>6.6019121440717352E-2</v>
      </c>
      <c r="I18">
        <v>4.2543115737869268</v>
      </c>
      <c r="J18">
        <v>9.3964046218829658E-4</v>
      </c>
      <c r="K18">
        <v>0.138240271748752</v>
      </c>
      <c r="L18">
        <v>0.42349155312422504</v>
      </c>
      <c r="M18">
        <v>0.138240271748752</v>
      </c>
      <c r="N18">
        <v>0.42349155312422504</v>
      </c>
    </row>
    <row r="19" spans="1:14" x14ac:dyDescent="0.25">
      <c r="F19" t="s">
        <v>154</v>
      </c>
      <c r="G19">
        <v>-1.3738151214681749E-3</v>
      </c>
      <c r="H19">
        <v>3.8326829660824892E-3</v>
      </c>
      <c r="I19">
        <v>-0.35844736797324939</v>
      </c>
      <c r="J19">
        <v>0.72576228588149083</v>
      </c>
      <c r="K19">
        <v>-9.6538232715516325E-3</v>
      </c>
      <c r="L19">
        <v>6.9061930286152835E-3</v>
      </c>
      <c r="M19">
        <v>-9.6538232715516325E-3</v>
      </c>
      <c r="N19">
        <v>6.9061930286152835E-3</v>
      </c>
    </row>
    <row r="20" spans="1:14" ht="15.75" thickBot="1" x14ac:dyDescent="0.3">
      <c r="F20" s="9" t="s">
        <v>71</v>
      </c>
      <c r="G20" s="9">
        <v>3.322412053943481E-3</v>
      </c>
      <c r="H20" s="9">
        <v>6.7523402500177694E-4</v>
      </c>
      <c r="I20" s="9">
        <v>4.9203860156998722</v>
      </c>
      <c r="J20" s="9">
        <v>2.7976643221786326E-4</v>
      </c>
      <c r="K20" s="9">
        <v>1.8636576305524285E-3</v>
      </c>
      <c r="L20" s="9">
        <v>4.7811664773345338E-3</v>
      </c>
      <c r="M20" s="9">
        <v>1.8636576305524285E-3</v>
      </c>
      <c r="N20" s="9">
        <v>4.7811664773345338E-3</v>
      </c>
    </row>
  </sheetData>
  <sheetProtection sheet="1" objects="1" scenarios="1" selectLockedCells="1" selectUnlockedCell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50B5-D3B7-45EF-87FA-2DEE08221817}">
  <dimension ref="A1"/>
  <sheetViews>
    <sheetView topLeftCell="A10" workbookViewId="0">
      <selection activeCell="L25" sqref="L25"/>
    </sheetView>
  </sheetViews>
  <sheetFormatPr defaultColWidth="8.85546875" defaultRowHeight="15" x14ac:dyDescent="0.25"/>
  <sheetData/>
  <sheetProtection sheet="1" objects="1" scenarios="1" selectLockedCells="1" selectUnlockedCells="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heetViews>
  <sheetFormatPr defaultColWidth="8.85546875" defaultRowHeight="15" x14ac:dyDescent="0.25"/>
  <cols>
    <col min="1" max="1" width="15.85546875" customWidth="1"/>
    <col min="2" max="16" width="50.85546875" customWidth="1"/>
  </cols>
  <sheetData>
    <row r="1" spans="1:16" x14ac:dyDescent="0.25">
      <c r="A1" t="s">
        <v>16</v>
      </c>
      <c r="B1" t="s">
        <v>47</v>
      </c>
      <c r="C1" t="s">
        <v>101</v>
      </c>
      <c r="D1" t="s">
        <v>65</v>
      </c>
      <c r="E1" t="s">
        <v>93</v>
      </c>
      <c r="F1" t="s">
        <v>55</v>
      </c>
      <c r="G1" t="s">
        <v>26</v>
      </c>
      <c r="H1" t="s">
        <v>97</v>
      </c>
      <c r="I1" t="s">
        <v>67</v>
      </c>
      <c r="J1" t="s">
        <v>32</v>
      </c>
      <c r="K1" t="s">
        <v>2</v>
      </c>
      <c r="L1" t="s">
        <v>87</v>
      </c>
      <c r="M1" t="s">
        <v>0</v>
      </c>
      <c r="N1" t="s">
        <v>41</v>
      </c>
      <c r="O1" t="s">
        <v>98</v>
      </c>
      <c r="P1" t="s">
        <v>91</v>
      </c>
    </row>
    <row r="2" spans="1:16" x14ac:dyDescent="0.25">
      <c r="A2" t="s">
        <v>1</v>
      </c>
      <c r="B2" t="s">
        <v>52</v>
      </c>
      <c r="C2" t="s">
        <v>43</v>
      </c>
      <c r="D2" t="s">
        <v>31</v>
      </c>
      <c r="E2" t="s">
        <v>6</v>
      </c>
      <c r="F2" t="s">
        <v>15</v>
      </c>
      <c r="G2" t="s">
        <v>44</v>
      </c>
      <c r="H2" t="s">
        <v>82</v>
      </c>
      <c r="I2" t="s">
        <v>25</v>
      </c>
      <c r="J2" t="s">
        <v>66</v>
      </c>
      <c r="K2" t="s">
        <v>78</v>
      </c>
      <c r="L2" t="s">
        <v>70</v>
      </c>
      <c r="M2" t="s">
        <v>88</v>
      </c>
      <c r="N2" t="s">
        <v>21</v>
      </c>
      <c r="P2" t="s">
        <v>5</v>
      </c>
    </row>
    <row r="3" spans="1:16" x14ac:dyDescent="0.25">
      <c r="A3" t="s">
        <v>22</v>
      </c>
      <c r="B3" t="s">
        <v>52</v>
      </c>
      <c r="C3" t="s">
        <v>8</v>
      </c>
      <c r="D3" t="s">
        <v>96</v>
      </c>
      <c r="E3" t="s">
        <v>6</v>
      </c>
      <c r="F3" t="s">
        <v>69</v>
      </c>
      <c r="G3" t="s">
        <v>44</v>
      </c>
      <c r="H3" t="s">
        <v>86</v>
      </c>
      <c r="I3" t="s">
        <v>25</v>
      </c>
      <c r="J3" t="s">
        <v>53</v>
      </c>
      <c r="K3" t="s">
        <v>23</v>
      </c>
      <c r="L3" t="s">
        <v>70</v>
      </c>
      <c r="M3" t="s">
        <v>88</v>
      </c>
      <c r="N3" t="s">
        <v>21</v>
      </c>
      <c r="P3" t="s">
        <v>5</v>
      </c>
    </row>
    <row r="4" spans="1:16" x14ac:dyDescent="0.25">
      <c r="A4" t="s">
        <v>92</v>
      </c>
      <c r="B4" t="s">
        <v>52</v>
      </c>
      <c r="C4" t="s">
        <v>80</v>
      </c>
      <c r="D4" t="s">
        <v>72</v>
      </c>
      <c r="E4" t="s">
        <v>6</v>
      </c>
      <c r="F4" t="s">
        <v>79</v>
      </c>
      <c r="G4" t="s">
        <v>44</v>
      </c>
      <c r="H4" t="s">
        <v>82</v>
      </c>
      <c r="I4" t="s">
        <v>25</v>
      </c>
      <c r="J4" t="s">
        <v>66</v>
      </c>
      <c r="K4" t="s">
        <v>78</v>
      </c>
      <c r="L4" t="s">
        <v>70</v>
      </c>
      <c r="M4" t="s">
        <v>89</v>
      </c>
      <c r="P4" t="s">
        <v>5</v>
      </c>
    </row>
    <row r="5" spans="1:16" x14ac:dyDescent="0.25">
      <c r="A5" t="s">
        <v>59</v>
      </c>
      <c r="B5" t="s">
        <v>52</v>
      </c>
      <c r="C5" t="s">
        <v>40</v>
      </c>
      <c r="D5" t="s">
        <v>102</v>
      </c>
      <c r="E5" t="s">
        <v>6</v>
      </c>
      <c r="F5" t="s">
        <v>69</v>
      </c>
      <c r="G5" t="s">
        <v>44</v>
      </c>
      <c r="H5" t="s">
        <v>86</v>
      </c>
      <c r="I5" t="s">
        <v>25</v>
      </c>
      <c r="J5" t="s">
        <v>53</v>
      </c>
      <c r="K5" t="s">
        <v>23</v>
      </c>
      <c r="L5" t="s">
        <v>70</v>
      </c>
      <c r="M5" t="s">
        <v>89</v>
      </c>
      <c r="P5" t="s">
        <v>5</v>
      </c>
    </row>
    <row r="6" spans="1:16" x14ac:dyDescent="0.25">
      <c r="A6" t="s">
        <v>42</v>
      </c>
      <c r="B6" t="s">
        <v>52</v>
      </c>
      <c r="C6" t="s">
        <v>73</v>
      </c>
      <c r="D6" t="s">
        <v>45</v>
      </c>
      <c r="E6" t="s">
        <v>56</v>
      </c>
      <c r="F6" t="s">
        <v>94</v>
      </c>
      <c r="G6" t="s">
        <v>44</v>
      </c>
      <c r="H6" t="s">
        <v>14</v>
      </c>
      <c r="I6" t="s">
        <v>25</v>
      </c>
      <c r="J6" t="s">
        <v>57</v>
      </c>
      <c r="K6" t="s">
        <v>58</v>
      </c>
      <c r="L6" t="s">
        <v>105</v>
      </c>
      <c r="M6" t="s">
        <v>61</v>
      </c>
      <c r="P6" t="s">
        <v>5</v>
      </c>
    </row>
    <row r="7" spans="1:16" x14ac:dyDescent="0.25">
      <c r="A7" t="s">
        <v>35</v>
      </c>
      <c r="B7" t="s">
        <v>52</v>
      </c>
      <c r="C7" t="s">
        <v>39</v>
      </c>
      <c r="D7" t="s">
        <v>68</v>
      </c>
      <c r="E7" t="s">
        <v>6</v>
      </c>
      <c r="F7" t="s">
        <v>104</v>
      </c>
      <c r="G7" t="s">
        <v>44</v>
      </c>
      <c r="H7" t="s">
        <v>86</v>
      </c>
      <c r="I7" t="s">
        <v>25</v>
      </c>
      <c r="J7" t="s">
        <v>66</v>
      </c>
      <c r="K7" t="s">
        <v>23</v>
      </c>
      <c r="L7" t="s">
        <v>70</v>
      </c>
      <c r="M7" t="s">
        <v>51</v>
      </c>
      <c r="N7" t="s">
        <v>19</v>
      </c>
      <c r="O7" t="s">
        <v>48</v>
      </c>
      <c r="P7" t="s">
        <v>5</v>
      </c>
    </row>
    <row r="8" spans="1:16" x14ac:dyDescent="0.25">
      <c r="A8" t="s">
        <v>95</v>
      </c>
      <c r="B8" t="s">
        <v>52</v>
      </c>
      <c r="C8" t="s">
        <v>71</v>
      </c>
      <c r="D8" t="s">
        <v>12</v>
      </c>
      <c r="E8" t="s">
        <v>6</v>
      </c>
      <c r="F8" t="s">
        <v>69</v>
      </c>
      <c r="G8" t="s">
        <v>44</v>
      </c>
      <c r="H8" t="s">
        <v>86</v>
      </c>
      <c r="I8" t="s">
        <v>25</v>
      </c>
      <c r="J8" t="s">
        <v>53</v>
      </c>
      <c r="K8" t="s">
        <v>23</v>
      </c>
      <c r="L8" t="s">
        <v>70</v>
      </c>
      <c r="M8" t="s">
        <v>51</v>
      </c>
      <c r="N8" t="s">
        <v>19</v>
      </c>
      <c r="O8" t="s">
        <v>48</v>
      </c>
      <c r="P8" t="s">
        <v>5</v>
      </c>
    </row>
    <row r="9" spans="1:16" x14ac:dyDescent="0.25">
      <c r="A9" t="s">
        <v>76</v>
      </c>
      <c r="B9" t="s">
        <v>52</v>
      </c>
      <c r="C9" t="s">
        <v>103</v>
      </c>
      <c r="D9" t="s">
        <v>33</v>
      </c>
      <c r="E9" t="s">
        <v>6</v>
      </c>
      <c r="F9" t="s">
        <v>85</v>
      </c>
      <c r="G9" t="s">
        <v>44</v>
      </c>
      <c r="H9" t="s">
        <v>82</v>
      </c>
      <c r="I9" t="s">
        <v>25</v>
      </c>
      <c r="J9" t="s">
        <v>66</v>
      </c>
      <c r="K9" t="s">
        <v>78</v>
      </c>
      <c r="L9" t="s">
        <v>70</v>
      </c>
      <c r="M9" t="s">
        <v>51</v>
      </c>
      <c r="N9" t="s">
        <v>19</v>
      </c>
      <c r="O9" t="s">
        <v>48</v>
      </c>
      <c r="P9" t="s">
        <v>5</v>
      </c>
    </row>
    <row r="10" spans="1:16" x14ac:dyDescent="0.25">
      <c r="A10" t="s">
        <v>64</v>
      </c>
      <c r="B10" t="s">
        <v>52</v>
      </c>
      <c r="C10" t="s">
        <v>38</v>
      </c>
      <c r="D10" t="s">
        <v>99</v>
      </c>
      <c r="E10" t="s">
        <v>6</v>
      </c>
      <c r="F10" t="s">
        <v>104</v>
      </c>
      <c r="G10" t="s">
        <v>44</v>
      </c>
      <c r="H10" t="s">
        <v>86</v>
      </c>
      <c r="I10" t="s">
        <v>25</v>
      </c>
      <c r="J10" t="s">
        <v>66</v>
      </c>
      <c r="K10" t="s">
        <v>23</v>
      </c>
      <c r="L10" t="s">
        <v>70</v>
      </c>
      <c r="M10" t="s">
        <v>51</v>
      </c>
      <c r="N10" t="s">
        <v>90</v>
      </c>
      <c r="O10" t="s">
        <v>48</v>
      </c>
      <c r="P10" t="s">
        <v>5</v>
      </c>
    </row>
    <row r="11" spans="1:16" x14ac:dyDescent="0.25">
      <c r="A11" t="s">
        <v>18</v>
      </c>
      <c r="B11" t="s">
        <v>52</v>
      </c>
      <c r="C11" t="s">
        <v>63</v>
      </c>
      <c r="D11" t="s">
        <v>77</v>
      </c>
      <c r="E11" t="s">
        <v>34</v>
      </c>
      <c r="F11" t="s">
        <v>9</v>
      </c>
      <c r="G11" t="s">
        <v>44</v>
      </c>
      <c r="H11" t="s">
        <v>7</v>
      </c>
      <c r="I11" t="s">
        <v>25</v>
      </c>
      <c r="J11" t="s">
        <v>49</v>
      </c>
      <c r="K11" t="s">
        <v>23</v>
      </c>
      <c r="L11" t="s">
        <v>60</v>
      </c>
      <c r="M11" t="s">
        <v>83</v>
      </c>
      <c r="N11" t="s">
        <v>50</v>
      </c>
      <c r="O11" t="s">
        <v>37</v>
      </c>
      <c r="P11" t="s">
        <v>5</v>
      </c>
    </row>
    <row r="12" spans="1:16" x14ac:dyDescent="0.25">
      <c r="A12" t="s">
        <v>20</v>
      </c>
      <c r="B12" t="s">
        <v>52</v>
      </c>
      <c r="C12" t="s">
        <v>81</v>
      </c>
      <c r="D12" t="s">
        <v>46</v>
      </c>
      <c r="E12" t="s">
        <v>34</v>
      </c>
      <c r="F12" t="s">
        <v>54</v>
      </c>
      <c r="G12" t="s">
        <v>44</v>
      </c>
      <c r="H12" t="s">
        <v>3</v>
      </c>
      <c r="I12" t="s">
        <v>25</v>
      </c>
      <c r="J12" t="s">
        <v>49</v>
      </c>
      <c r="K12" t="s">
        <v>23</v>
      </c>
      <c r="L12" t="s">
        <v>13</v>
      </c>
      <c r="M12" t="s">
        <v>62</v>
      </c>
      <c r="N12" t="s">
        <v>30</v>
      </c>
      <c r="P12" t="s">
        <v>5</v>
      </c>
    </row>
    <row r="13" spans="1:16" x14ac:dyDescent="0.25">
      <c r="A13" t="s">
        <v>17</v>
      </c>
      <c r="B13" t="s">
        <v>52</v>
      </c>
      <c r="C13" t="s">
        <v>11</v>
      </c>
      <c r="D13" t="s">
        <v>10</v>
      </c>
      <c r="E13" t="s">
        <v>34</v>
      </c>
      <c r="F13" t="s">
        <v>54</v>
      </c>
      <c r="G13" t="s">
        <v>44</v>
      </c>
      <c r="H13" t="s">
        <v>3</v>
      </c>
      <c r="I13" t="s">
        <v>25</v>
      </c>
      <c r="J13" t="s">
        <v>49</v>
      </c>
      <c r="K13" t="s">
        <v>23</v>
      </c>
      <c r="L13" t="s">
        <v>13</v>
      </c>
      <c r="M13" t="s">
        <v>4</v>
      </c>
      <c r="N13" t="s">
        <v>36</v>
      </c>
      <c r="P13" t="s">
        <v>5</v>
      </c>
    </row>
    <row r="14" spans="1:16" x14ac:dyDescent="0.25">
      <c r="A14" t="s">
        <v>24</v>
      </c>
      <c r="B14" t="s">
        <v>52</v>
      </c>
      <c r="C14" t="s">
        <v>84</v>
      </c>
      <c r="D14" t="s">
        <v>100</v>
      </c>
      <c r="E14" t="s">
        <v>34</v>
      </c>
      <c r="F14" t="s">
        <v>54</v>
      </c>
      <c r="G14" t="s">
        <v>44</v>
      </c>
      <c r="H14" t="s">
        <v>3</v>
      </c>
      <c r="I14" t="s">
        <v>25</v>
      </c>
      <c r="J14" t="s">
        <v>49</v>
      </c>
      <c r="K14" t="s">
        <v>23</v>
      </c>
      <c r="L14" t="s">
        <v>13</v>
      </c>
      <c r="M14" t="s">
        <v>4</v>
      </c>
      <c r="N14" t="s">
        <v>27</v>
      </c>
      <c r="P1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RAW_DATA Japan</vt:lpstr>
      <vt:lpstr>Country Assigned (Japan)</vt:lpstr>
      <vt:lpstr>Japan_Charts</vt:lpstr>
      <vt:lpstr>sg</vt:lpstr>
      <vt:lpstr>reg1</vt:lpstr>
      <vt:lpstr>reg2</vt:lpstr>
      <vt:lpstr>reg3</vt:lpstr>
      <vt:lpstr>regression 1 _SG</vt:lpstr>
      <vt:lpstr>regression 2_SG</vt:lpstr>
      <vt:lpstr>regression 3_sg</vt:lpstr>
      <vt:lpstr>SG_Charts </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 Clare</dc:creator>
  <cp:lastModifiedBy>Joseph Koh</cp:lastModifiedBy>
  <dcterms:created xsi:type="dcterms:W3CDTF">2026-06-26T10:05:29Z</dcterms:created>
  <dcterms:modified xsi:type="dcterms:W3CDTF">2026-07-06T13:31:42Z</dcterms:modified>
</cp:coreProperties>
</file>