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/Desktop/"/>
    </mc:Choice>
  </mc:AlternateContent>
  <xr:revisionPtr revIDLastSave="0" documentId="13_ncr:1_{8AA55720-E108-F940-B4B4-4832946FE62F}" xr6:coauthVersionLast="47" xr6:coauthVersionMax="47" xr10:uidLastSave="{00000000-0000-0000-0000-000000000000}"/>
  <bookViews>
    <workbookView xWindow="0" yWindow="500" windowWidth="33600" windowHeight="18840" xr2:uid="{2C7D0D76-2E2F-B84F-AEC0-BC971CFB3F7B}"/>
  </bookViews>
  <sheets>
    <sheet name="reg1_jp" sheetId="1" r:id="rId1"/>
    <sheet name="reg2_jp" sheetId="2" r:id="rId2"/>
    <sheet name="reg3_j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6" i="3" l="1"/>
  <c r="D25" i="3"/>
  <c r="D24" i="3"/>
  <c r="D23" i="3"/>
  <c r="D22" i="3"/>
  <c r="D21" i="3"/>
  <c r="D20" i="3"/>
  <c r="D19" i="3"/>
  <c r="D18" i="3"/>
  <c r="D17" i="3"/>
  <c r="E26" i="2"/>
  <c r="E25" i="2"/>
  <c r="E24" i="2"/>
  <c r="E23" i="2"/>
  <c r="E22" i="2"/>
  <c r="E21" i="2"/>
  <c r="E20" i="2"/>
  <c r="E19" i="2"/>
  <c r="E18" i="2"/>
  <c r="E17" i="2"/>
</calcChain>
</file>

<file path=xl/sharedStrings.xml><?xml version="1.0" encoding="utf-8"?>
<sst xmlns="http://schemas.openxmlformats.org/spreadsheetml/2006/main" count="190" uniqueCount="85">
  <si>
    <t>Time</t>
  </si>
  <si>
    <t>GDP (constant 2015 US$)</t>
  </si>
  <si>
    <t>Gross fixed capital formation (constant 2015 US$)</t>
  </si>
  <si>
    <t>Labor force, total</t>
  </si>
  <si>
    <r>
      <rPr>
        <b/>
        <sz val="11"/>
        <color theme="1"/>
        <rFont val="Aptos Narrow"/>
        <family val="2"/>
        <scheme val="minor"/>
      </rPr>
      <t xml:space="preserve">Regression 1: Output from Capital &amp; Labour </t>
    </r>
    <r>
      <rPr>
        <sz val="12"/>
        <color theme="1"/>
        <rFont val="Aptos Narrow"/>
        <family val="2"/>
        <scheme val="minor"/>
      </rPr>
      <t>(raw levels): Y = f(K, L)
Dependent Y: GDP in constant USD
Independent X: Gross fixed capital formation (constant USD) + Number employed
These must be in adjacent columns</t>
    </r>
  </si>
  <si>
    <t>y = effect, x = causes</t>
  </si>
  <si>
    <t>Y</t>
  </si>
  <si>
    <t>K</t>
  </si>
  <si>
    <t>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</si>
  <si>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</si>
  <si>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</si>
  <si>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</si>
  <si>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</si>
  <si>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</si>
  <si>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</si>
  <si>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</si>
  <si>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 xml:space="preserve">(how many data points) 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</si>
  <si>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</si>
  <si>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</si>
  <si>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</si>
  <si>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</si>
  <si>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</si>
  <si>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</si>
  <si>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</si>
  <si>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</si>
  <si>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</si>
  <si>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</si>
  <si>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</si>
  <si>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</si>
  <si>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</si>
  <si>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</si>
  <si>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</si>
  <si>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</si>
  <si>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</si>
  <si>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1) positive relationship with y</t>
  </si>
  <si>
    <t>x1, x2</t>
  </si>
  <si>
    <t>2) inverse relationship with y</t>
  </si>
  <si>
    <t>none</t>
  </si>
  <si>
    <t>consider intercept</t>
  </si>
  <si>
    <t>invalid, p &gt; 0.05</t>
  </si>
  <si>
    <t>R² Value</t>
  </si>
  <si>
    <t>Interpretation</t>
  </si>
  <si>
    <t>p-value</t>
  </si>
  <si>
    <t>0.00–0.25</t>
  </si>
  <si>
    <t>Weak explanatory power</t>
  </si>
  <si>
    <t>&lt; 0.001</t>
  </si>
  <si>
    <t>Very strong evidence against the null hypothesis</t>
  </si>
  <si>
    <t>0.25–0.50</t>
  </si>
  <si>
    <t>Moderate explanatory power</t>
  </si>
  <si>
    <t>&lt; 0.01</t>
  </si>
  <si>
    <t>Strong evidence</t>
  </si>
  <si>
    <t>0.50–0.70</t>
  </si>
  <si>
    <t>Good explanatory power</t>
  </si>
  <si>
    <t>&lt; 0.05</t>
  </si>
  <si>
    <t>Statistically significant (most common threshold)</t>
  </si>
  <si>
    <t>0.70–0.90</t>
  </si>
  <si>
    <t>Strong explanatory power</t>
  </si>
  <si>
    <t>0.05–0.10</t>
  </si>
  <si>
    <t>Marginally significant (sometimes acceptable in exploratory research)</t>
  </si>
  <si>
    <t>0.90–1.00</t>
  </si>
  <si>
    <t>Very strong fit (but may indicate overfitting in some cases)</t>
  </si>
  <si>
    <t>&gt; 0.10</t>
  </si>
  <si>
    <t>Not statistically significant</t>
  </si>
  <si>
    <t>GDP growth (annual %)</t>
  </si>
  <si>
    <t>Gross fixed capital formation (annual % growth)</t>
  </si>
  <si>
    <t xml:space="preserve">Growth of L </t>
  </si>
  <si>
    <t xml:space="preserve">Growth of H </t>
  </si>
  <si>
    <t>Growth of N</t>
  </si>
  <si>
    <r>
      <rPr>
        <b/>
        <sz val="11"/>
        <color theme="1"/>
        <rFont val="Aptos Narrow"/>
        <family val="2"/>
        <scheme val="minor"/>
      </rPr>
      <t>Regression 2: GDP Growth from Input (growth rates)</t>
    </r>
    <r>
      <rPr>
        <sz val="12"/>
        <color theme="1"/>
        <rFont val="Aptos Narrow"/>
        <family val="2"/>
        <scheme val="minor"/>
      </rPr>
      <t>: Y = f(K growth, L growth, N, H)
Dependent Y: GDP growth (%)
Independent X: Capital formation growth (%) + Labour growth (%) + Natural resources rents (% GDP) + Education attainment change (% points)
Fill in the ranking table by p-value (lower p-value = more significant)</t>
    </r>
  </si>
  <si>
    <t>=% change in L</t>
  </si>
  <si>
    <t>Note you only take the year to year % point change</t>
  </si>
  <si>
    <t xml:space="preserve"> labour productivity growth</t>
  </si>
  <si>
    <t>% growth of capital per employed</t>
  </si>
  <si>
    <t>Manufacturing, value added (annual % growth)</t>
  </si>
  <si>
    <r>
      <rPr>
        <b/>
        <sz val="11"/>
        <color theme="1"/>
        <rFont val="Aptos Narrow"/>
        <family val="2"/>
        <scheme val="minor"/>
      </rPr>
      <t>Regression 3: Labour productivity growth</t>
    </r>
    <r>
      <rPr>
        <sz val="12"/>
        <color theme="1"/>
        <rFont val="Aptos Narrow"/>
        <family val="2"/>
        <scheme val="minor"/>
      </rPr>
      <t xml:space="preserve"> = f(K/L growth, Manufacturing growth, H growth)
Dependent Y: Labour productivity growth (%)
Independent X: Growth of capital per worker + Manufacturing value added growth + Education growth
Interpret R², coefficients, and p-values</t>
    </r>
  </si>
  <si>
    <t>=% change of Y/L</t>
  </si>
  <si>
    <t>=% change of K/L</t>
  </si>
  <si>
    <t>both x var not reliable because p&gt;0.05</t>
  </si>
  <si>
    <t>p=0.05 = 5%</t>
  </si>
  <si>
    <t>conclusion: cannot key driver of GDP</t>
  </si>
  <si>
    <t>x1, x3</t>
  </si>
  <si>
    <t>x2, x4</t>
  </si>
  <si>
    <t>all var not reliable because p&gt;0.05</t>
  </si>
  <si>
    <t>conclusion: cannot key driver of GDP growth</t>
  </si>
  <si>
    <t>x1, x2,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</si>
</sst>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/>
    <xf numFmtId="0" fontId="3" fillId="0" borderId="1" xfId="0" applyFont="1" applyBorder="1" applyAlignment="1">
      <alignment horizontal="centerContinuous"/>
    </xf>
    <xf numFmtId="0" fontId="0" fillId="3" borderId="0" xfId="0" applyFill="1"/>
    <xf numFmtId="0" fontId="0" fillId="0" borderId="2" xfId="0" applyBorder="1"/>
    <xf numFmtId="0" fontId="0" fillId="3" borderId="2" xfId="0" applyFill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/>
    <xf numFmtId="2" fontId="2" fillId="4" borderId="0" xfId="0" applyNumberFormat="1" applyFont="1" applyFill="1" applyAlignment="1">
      <alignment horizontal="center" vertical="center" wrapText="1"/>
    </xf>
    <xf numFmtId="2" fontId="2" fillId="5" borderId="0" xfId="0" applyNumberFormat="1" applyFont="1" applyFill="1" applyAlignment="1">
      <alignment horizontal="center" vertical="center" wrapText="1"/>
    </xf>
    <xf numFmtId="2" fontId="0" fillId="4" borderId="0" xfId="0" quotePrefix="1" applyNumberFormat="1" applyFill="1" applyAlignment="1">
      <alignment horizontal="center" vertical="center" wrapText="1"/>
    </xf>
    <xf numFmtId="2" fontId="0" fillId="5" borderId="0" xfId="0" quotePrefix="1" applyNumberFormat="1" applyFill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/>
    </xf>
    <xf numFmtId="2" fontId="0" fillId="5" borderId="0" xfId="0" applyNumberFormat="1" applyFill="1"/>
    <xf numFmtId="2" fontId="0" fillId="3" borderId="0" xfId="0" applyNumberFormat="1" applyFill="1"/>
    <xf numFmtId="2" fontId="0" fillId="4" borderId="0" xfId="0" applyNumberFormat="1" applyFill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/>
    <xf numFmtId="2" fontId="0" fillId="6" borderId="4" xfId="0" applyNumberFormat="1" applyFill="1" applyBorder="1" applyAlignment="1">
      <alignment horizontal="center" vertical="center"/>
    </xf>
    <xf numFmtId="2" fontId="0" fillId="6" borderId="4" xfId="0" applyNumberFormat="1" applyFill="1" applyBorder="1"/>
    <xf numFmtId="2" fontId="0" fillId="6" borderId="5" xfId="0" applyNumberFormat="1" applyFill="1" applyBorder="1"/>
    <xf numFmtId="0" fontId="0" fillId="6" borderId="6" xfId="0" applyFill="1" applyBorder="1"/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2" fontId="0" fillId="6" borderId="0" xfId="0" applyNumberFormat="1" applyFill="1"/>
    <xf numFmtId="2" fontId="0" fillId="6" borderId="7" xfId="0" applyNumberFormat="1" applyFill="1" applyBorder="1"/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2" fontId="0" fillId="0" borderId="2" xfId="0" applyNumberFormat="1" applyBorder="1" applyAlignment="1">
      <alignment horizontal="left" vertical="center" wrapText="1"/>
    </xf>
    <xf numFmtId="0" fontId="0" fillId="6" borderId="8" xfId="0" applyFill="1" applyBorder="1"/>
    <xf numFmtId="0" fontId="0" fillId="6" borderId="2" xfId="0" applyFill="1" applyBorder="1"/>
    <xf numFmtId="2" fontId="0" fillId="6" borderId="2" xfId="0" applyNumberFormat="1" applyFill="1" applyBorder="1" applyAlignment="1">
      <alignment horizontal="center" vertical="center"/>
    </xf>
    <xf numFmtId="2" fontId="0" fillId="6" borderId="2" xfId="0" applyNumberFormat="1" applyFill="1" applyBorder="1"/>
    <xf numFmtId="2" fontId="0" fillId="6" borderId="9" xfId="0" applyNumberFormat="1" applyFill="1" applyBorder="1"/>
    <xf numFmtId="2" fontId="0" fillId="0" borderId="0" xfId="0" applyNumberFormat="1"/>
    <xf numFmtId="2" fontId="2" fillId="4" borderId="0" xfId="1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4" borderId="0" xfId="1" quotePrefix="1" applyNumberFormat="1" applyFont="1" applyFill="1" applyAlignment="1">
      <alignment horizontal="center" vertical="center" wrapText="1"/>
    </xf>
    <xf numFmtId="2" fontId="0" fillId="4" borderId="0" xfId="1" quotePrefix="1" applyNumberFormat="1" applyFont="1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2" fontId="0" fillId="3" borderId="0" xfId="1" applyNumberFormat="1" applyFont="1" applyFill="1" applyAlignment="1">
      <alignment horizontal="center" vertical="center"/>
    </xf>
    <xf numFmtId="2" fontId="0" fillId="4" borderId="0" xfId="1" applyNumberFormat="1" applyFont="1" applyFill="1" applyAlignment="1">
      <alignment horizontal="center" vertical="center"/>
    </xf>
    <xf numFmtId="2" fontId="0" fillId="6" borderId="3" xfId="1" applyNumberFormat="1" applyFont="1" applyFill="1" applyBorder="1" applyAlignment="1">
      <alignment horizontal="center" vertical="center"/>
    </xf>
    <xf numFmtId="2" fontId="0" fillId="6" borderId="4" xfId="1" applyNumberFormat="1" applyFont="1" applyFill="1" applyBorder="1" applyAlignment="1">
      <alignment horizontal="center" vertical="center"/>
    </xf>
    <xf numFmtId="2" fontId="0" fillId="6" borderId="6" xfId="1" applyNumberFormat="1" applyFont="1" applyFill="1" applyBorder="1" applyAlignment="1">
      <alignment horizontal="center" vertical="center"/>
    </xf>
    <xf numFmtId="2" fontId="0" fillId="6" borderId="0" xfId="1" applyNumberFormat="1" applyFont="1" applyFill="1" applyBorder="1" applyAlignment="1">
      <alignment horizontal="center" vertical="center"/>
    </xf>
    <xf numFmtId="2" fontId="4" fillId="0" borderId="0" xfId="1" applyNumberFormat="1" applyFont="1" applyFill="1" applyAlignment="1">
      <alignment horizontal="left" vertical="center" wrapText="1"/>
    </xf>
    <xf numFmtId="2" fontId="0" fillId="6" borderId="8" xfId="1" applyNumberFormat="1" applyFont="1" applyFill="1" applyBorder="1" applyAlignment="1">
      <alignment horizontal="center" vertical="center"/>
    </xf>
    <xf numFmtId="2" fontId="0" fillId="6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86F1-65B5-1042-9437-2A20442EB343}">
  <dimension ref="A1:N47"/>
  <sheetViews>
    <sheetView tabSelected="1" topLeftCell="B4" zoomScale="115" workbookViewId="0">
      <selection activeCell="F34" sqref="F34"/>
    </sheetView>
  </sheetViews>
  <sheetFormatPr baseColWidth="10" defaultColWidth="8.83203125" defaultRowHeight="16" x14ac:dyDescent="0.2"/>
  <cols>
    <col min="1" max="1" width="9" bestFit="1" customWidth="1"/>
    <col min="2" max="2" width="25.5" customWidth="1"/>
    <col min="3" max="3" width="31.1640625" customWidth="1"/>
    <col min="4" max="4" width="16.33203125" customWidth="1"/>
    <col min="6" max="6" width="44.33203125" customWidth="1"/>
    <col min="7" max="7" width="16.5" customWidth="1"/>
    <col min="8" max="8" width="17.1640625" customWidth="1"/>
    <col min="9" max="9" width="10.5" customWidth="1"/>
    <col min="10" max="10" width="9.1640625" bestFit="1" customWidth="1"/>
    <col min="11" max="11" width="12.83203125" bestFit="1" customWidth="1"/>
    <col min="12" max="12" width="12.1640625" bestFit="1" customWidth="1"/>
    <col min="13" max="13" width="12.83203125" bestFit="1" customWidth="1"/>
    <col min="14" max="14" width="12.1640625" bestFit="1" customWidth="1"/>
  </cols>
  <sheetData>
    <row r="1" spans="1:11" ht="119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1" t="s">
        <v>5</v>
      </c>
    </row>
    <row r="2" spans="1:11" ht="36.75" customHeight="1" x14ac:dyDescent="0.2">
      <c r="A2" s="3"/>
      <c r="B2" s="3" t="s">
        <v>6</v>
      </c>
      <c r="C2" s="3" t="s">
        <v>7</v>
      </c>
      <c r="D2" s="3" t="s">
        <v>8</v>
      </c>
      <c r="F2" s="4" t="s">
        <v>9</v>
      </c>
    </row>
    <row r="3" spans="1:11" ht="17" thickBot="1" x14ac:dyDescent="0.25">
      <c r="A3">
        <v>2000</v>
      </c>
      <c r="B3" s="5">
        <v>4030991750950.9023</v>
      </c>
      <c r="C3" s="5">
        <v>1266331270761.2476</v>
      </c>
      <c r="D3">
        <v>67813478</v>
      </c>
    </row>
    <row r="4" spans="1:11" x14ac:dyDescent="0.2">
      <c r="A4">
        <v>2001</v>
      </c>
      <c r="B4" s="5">
        <v>4042464298381.042</v>
      </c>
      <c r="C4" s="5">
        <v>1247337470213.1885</v>
      </c>
      <c r="D4">
        <v>67616593</v>
      </c>
      <c r="F4" s="6" t="s">
        <v>10</v>
      </c>
      <c r="G4" s="6"/>
    </row>
    <row r="5" spans="1:11" x14ac:dyDescent="0.2">
      <c r="A5">
        <v>2002</v>
      </c>
      <c r="B5" s="5">
        <v>4045899940482.2563</v>
      </c>
      <c r="C5" s="5">
        <v>1192309790559.9902</v>
      </c>
      <c r="D5">
        <v>67054919</v>
      </c>
      <c r="F5" t="s">
        <v>11</v>
      </c>
      <c r="G5">
        <v>0.49890087598885879</v>
      </c>
    </row>
    <row r="6" spans="1:11" x14ac:dyDescent="0.2">
      <c r="A6">
        <v>2003</v>
      </c>
      <c r="B6" s="5">
        <v>4101737784188.6274</v>
      </c>
      <c r="C6" s="5">
        <v>1180522765832.9592</v>
      </c>
      <c r="D6">
        <v>66784334</v>
      </c>
      <c r="F6" t="s">
        <v>12</v>
      </c>
      <c r="G6" s="7">
        <v>0.24890208406245068</v>
      </c>
    </row>
    <row r="7" spans="1:11" x14ac:dyDescent="0.2">
      <c r="A7">
        <v>2004</v>
      </c>
      <c r="B7" s="5">
        <v>4188405380395.4912</v>
      </c>
      <c r="C7" s="5">
        <v>1183158996665.1575</v>
      </c>
      <c r="D7">
        <v>66508242</v>
      </c>
      <c r="F7" t="s">
        <v>13</v>
      </c>
      <c r="G7">
        <v>0.18062045534085527</v>
      </c>
    </row>
    <row r="8" spans="1:11" x14ac:dyDescent="0.2">
      <c r="A8">
        <v>2005</v>
      </c>
      <c r="B8" s="5">
        <v>4265818895379.4917</v>
      </c>
      <c r="C8" s="5">
        <v>1217192251512.9783</v>
      </c>
      <c r="D8">
        <v>66581356</v>
      </c>
      <c r="F8" t="s">
        <v>14</v>
      </c>
      <c r="G8">
        <v>208275691434.75491</v>
      </c>
    </row>
    <row r="9" spans="1:11" ht="17" thickBot="1" x14ac:dyDescent="0.25">
      <c r="A9">
        <v>2006</v>
      </c>
      <c r="B9" s="5">
        <v>4331781612600.8667</v>
      </c>
      <c r="C9" s="5">
        <v>1226161096960.8037</v>
      </c>
      <c r="D9">
        <v>66694003</v>
      </c>
      <c r="F9" s="8" t="s">
        <v>15</v>
      </c>
      <c r="G9" s="9">
        <v>25</v>
      </c>
      <c r="H9" t="s">
        <v>16</v>
      </c>
    </row>
    <row r="10" spans="1:11" x14ac:dyDescent="0.2">
      <c r="A10">
        <v>2007</v>
      </c>
      <c r="B10" s="5">
        <v>4406651221892.0088</v>
      </c>
      <c r="C10" s="5">
        <v>1212738962189.998</v>
      </c>
      <c r="D10">
        <v>66797225</v>
      </c>
    </row>
    <row r="11" spans="1:11" ht="17" thickBot="1" x14ac:dyDescent="0.25">
      <c r="A11">
        <v>2008</v>
      </c>
      <c r="B11" s="5">
        <v>4355242255151.6631</v>
      </c>
      <c r="C11" s="5">
        <v>1168164827312.2065</v>
      </c>
      <c r="D11">
        <v>66611354</v>
      </c>
      <c r="F11" t="s">
        <v>17</v>
      </c>
    </row>
    <row r="12" spans="1:11" x14ac:dyDescent="0.2">
      <c r="A12">
        <v>2009</v>
      </c>
      <c r="B12" s="5">
        <v>4096717638451.292</v>
      </c>
      <c r="C12" s="5">
        <v>1045747486186.2349</v>
      </c>
      <c r="D12">
        <v>66339021</v>
      </c>
      <c r="F12" s="10"/>
      <c r="G12" s="10" t="s">
        <v>18</v>
      </c>
      <c r="H12" s="10" t="s">
        <v>19</v>
      </c>
      <c r="I12" s="10" t="s">
        <v>20</v>
      </c>
      <c r="J12" s="10" t="s">
        <v>21</v>
      </c>
      <c r="K12" s="10" t="s">
        <v>22</v>
      </c>
    </row>
    <row r="13" spans="1:11" x14ac:dyDescent="0.2">
      <c r="A13">
        <v>2010</v>
      </c>
      <c r="B13" s="5">
        <v>4266176556594.7241</v>
      </c>
      <c r="C13" s="5">
        <v>1029127102046.9187</v>
      </c>
      <c r="D13">
        <v>66100429</v>
      </c>
      <c r="F13" t="s">
        <v>23</v>
      </c>
      <c r="G13">
        <v>2</v>
      </c>
      <c r="H13">
        <v>3.1625094119312074E+23</v>
      </c>
      <c r="I13">
        <v>1.5812547059656037E+23</v>
      </c>
      <c r="J13">
        <v>3.6452276948064442</v>
      </c>
      <c r="K13">
        <v>4.2920238485684756E-2</v>
      </c>
    </row>
    <row r="14" spans="1:11" x14ac:dyDescent="0.2">
      <c r="A14">
        <v>2011</v>
      </c>
      <c r="B14" s="5">
        <v>4257628936826.6714</v>
      </c>
      <c r="C14" s="5">
        <v>1043902933263.4606</v>
      </c>
      <c r="D14">
        <v>65674339</v>
      </c>
      <c r="F14" t="s">
        <v>24</v>
      </c>
      <c r="G14">
        <v>22</v>
      </c>
      <c r="H14">
        <v>9.5433280013775513E+23</v>
      </c>
      <c r="I14">
        <v>4.3378763642625235E+22</v>
      </c>
    </row>
    <row r="15" spans="1:11" ht="17" thickBot="1" x14ac:dyDescent="0.25">
      <c r="A15">
        <v>2012</v>
      </c>
      <c r="B15" s="5">
        <v>4327834450517.2847</v>
      </c>
      <c r="C15" s="5">
        <v>1079737882066.5382</v>
      </c>
      <c r="D15">
        <v>65377600</v>
      </c>
      <c r="F15" s="8" t="s">
        <v>25</v>
      </c>
      <c r="G15" s="8">
        <v>24</v>
      </c>
      <c r="H15" s="8">
        <v>1.2705837413308759E+24</v>
      </c>
      <c r="I15" s="8"/>
      <c r="J15" s="8"/>
      <c r="K15" s="8"/>
    </row>
    <row r="16" spans="1:11" ht="17" thickBot="1" x14ac:dyDescent="0.25">
      <c r="A16">
        <v>2013</v>
      </c>
      <c r="B16" s="5">
        <v>4414273272427.5156</v>
      </c>
      <c r="C16" s="5">
        <v>1117252417200.4368</v>
      </c>
      <c r="D16">
        <v>65621150</v>
      </c>
    </row>
    <row r="17" spans="1:14" x14ac:dyDescent="0.2">
      <c r="A17">
        <v>2014</v>
      </c>
      <c r="B17" s="5">
        <v>4454262857599.7031</v>
      </c>
      <c r="C17" s="5">
        <v>1162669984212.5786</v>
      </c>
      <c r="D17">
        <v>65843453</v>
      </c>
      <c r="F17" s="10"/>
      <c r="G17" s="11" t="s">
        <v>26</v>
      </c>
      <c r="H17" s="10" t="s">
        <v>14</v>
      </c>
      <c r="I17" s="10" t="s">
        <v>27</v>
      </c>
      <c r="J17" s="11" t="s">
        <v>28</v>
      </c>
      <c r="K17" s="10" t="s">
        <v>29</v>
      </c>
      <c r="L17" s="10" t="s">
        <v>30</v>
      </c>
      <c r="M17" s="10" t="s">
        <v>31</v>
      </c>
      <c r="N17" s="10" t="s">
        <v>32</v>
      </c>
    </row>
    <row r="18" spans="1:14" x14ac:dyDescent="0.2">
      <c r="A18">
        <v>2015</v>
      </c>
      <c r="B18" s="5">
        <v>4534438580494.9404</v>
      </c>
      <c r="C18" s="5">
        <v>1195854146307.6975</v>
      </c>
      <c r="D18">
        <v>65931158</v>
      </c>
      <c r="F18" t="s">
        <v>33</v>
      </c>
      <c r="G18" s="7">
        <v>-1669481669160.6504</v>
      </c>
      <c r="H18">
        <v>2711104985951.0176</v>
      </c>
      <c r="I18">
        <v>-0.61579381020356161</v>
      </c>
      <c r="J18" s="7">
        <v>0.54434953425183896</v>
      </c>
      <c r="K18">
        <v>-7291969283784.7881</v>
      </c>
      <c r="L18">
        <v>3953005945463.4873</v>
      </c>
      <c r="M18">
        <v>-7291969283784.7881</v>
      </c>
      <c r="N18">
        <v>3953005945463.4873</v>
      </c>
    </row>
    <row r="19" spans="1:14" x14ac:dyDescent="0.2">
      <c r="A19">
        <v>2016</v>
      </c>
      <c r="B19" s="5">
        <v>4566405760116.5449</v>
      </c>
      <c r="C19" s="5">
        <v>1203736153032.0645</v>
      </c>
      <c r="D19">
        <v>66529155</v>
      </c>
      <c r="F19" t="s">
        <v>2</v>
      </c>
      <c r="G19" s="7">
        <v>0.12492885422063238</v>
      </c>
      <c r="H19">
        <v>0.87341197077383448</v>
      </c>
      <c r="I19">
        <v>0.14303542703902561</v>
      </c>
      <c r="J19" s="7">
        <v>0.88756419051684254</v>
      </c>
      <c r="K19">
        <v>-1.6864167091522011</v>
      </c>
      <c r="L19">
        <v>1.9362744175934659</v>
      </c>
      <c r="M19">
        <v>-1.6864167091522011</v>
      </c>
      <c r="N19">
        <v>1.9362744175934659</v>
      </c>
    </row>
    <row r="20" spans="1:14" ht="17" thickBot="1" x14ac:dyDescent="0.25">
      <c r="A20">
        <v>2017</v>
      </c>
      <c r="B20" s="5">
        <v>4640539102852.9512</v>
      </c>
      <c r="C20" s="5">
        <v>1223113258308.4861</v>
      </c>
      <c r="D20">
        <v>67070828</v>
      </c>
      <c r="F20" s="8" t="s">
        <v>3</v>
      </c>
      <c r="G20" s="9">
        <v>88098.975250276853</v>
      </c>
      <c r="H20" s="8">
        <v>50102.600260164712</v>
      </c>
      <c r="I20" s="8">
        <v>1.7583713179118585</v>
      </c>
      <c r="J20" s="9">
        <v>9.258961044823999E-2</v>
      </c>
      <c r="K20" s="8">
        <v>-15807.458061239988</v>
      </c>
      <c r="L20" s="8">
        <v>192005.40856179368</v>
      </c>
      <c r="M20" s="8">
        <v>-15807.458061239988</v>
      </c>
      <c r="N20" s="8">
        <v>192005.40856179368</v>
      </c>
    </row>
    <row r="21" spans="1:14" x14ac:dyDescent="0.2">
      <c r="A21">
        <v>2018</v>
      </c>
      <c r="B21" s="5">
        <v>4679247874199.0254</v>
      </c>
      <c r="C21" s="5">
        <v>1238755972792.5483</v>
      </c>
      <c r="D21">
        <v>68187091</v>
      </c>
    </row>
    <row r="22" spans="1:14" x14ac:dyDescent="0.2">
      <c r="A22">
        <v>2019</v>
      </c>
      <c r="B22" s="5">
        <v>4664812538574.46</v>
      </c>
      <c r="C22" s="5">
        <v>1259327468541.104</v>
      </c>
      <c r="D22">
        <v>68812048</v>
      </c>
    </row>
    <row r="23" spans="1:14" x14ac:dyDescent="0.2">
      <c r="A23">
        <v>2020</v>
      </c>
      <c r="B23" s="5">
        <v>4465005582812.9785</v>
      </c>
      <c r="C23" s="5">
        <v>1215880605374.9951</v>
      </c>
      <c r="D23">
        <v>68656452</v>
      </c>
      <c r="F23" t="s">
        <v>34</v>
      </c>
      <c r="G23" t="s">
        <v>35</v>
      </c>
      <c r="I23" t="s">
        <v>77</v>
      </c>
      <c r="M23" t="s">
        <v>78</v>
      </c>
    </row>
    <row r="24" spans="1:14" x14ac:dyDescent="0.2">
      <c r="A24">
        <v>2021</v>
      </c>
      <c r="B24" s="5">
        <v>4624147102598.6904</v>
      </c>
      <c r="C24" s="5">
        <v>1228525618112.1375</v>
      </c>
      <c r="D24">
        <v>68592854</v>
      </c>
      <c r="F24" t="s">
        <v>36</v>
      </c>
      <c r="G24" t="s">
        <v>37</v>
      </c>
    </row>
    <row r="25" spans="1:14" x14ac:dyDescent="0.2">
      <c r="A25">
        <v>2022</v>
      </c>
      <c r="B25" s="5">
        <v>4685724442189.0674</v>
      </c>
      <c r="C25" s="5">
        <v>1234288127593.8076</v>
      </c>
      <c r="D25">
        <v>68931266</v>
      </c>
    </row>
    <row r="26" spans="1:14" x14ac:dyDescent="0.2">
      <c r="A26">
        <v>2023</v>
      </c>
      <c r="B26" s="5">
        <v>4719498455389.4365</v>
      </c>
      <c r="C26" s="5">
        <v>1257908270654.4453</v>
      </c>
      <c r="D26">
        <v>69197135</v>
      </c>
    </row>
    <row r="27" spans="1:14" x14ac:dyDescent="0.2">
      <c r="A27">
        <v>2024</v>
      </c>
      <c r="B27" s="5">
        <v>4708167683577.8154</v>
      </c>
      <c r="C27" s="5">
        <v>1250790447407.51</v>
      </c>
      <c r="D27">
        <v>69501768</v>
      </c>
    </row>
    <row r="29" spans="1:14" x14ac:dyDescent="0.2">
      <c r="F29" t="s">
        <v>79</v>
      </c>
    </row>
    <row r="30" spans="1:14" x14ac:dyDescent="0.2">
      <c r="F30" t="s">
        <v>38</v>
      </c>
      <c r="G30" t="s">
        <v>39</v>
      </c>
    </row>
    <row r="34" spans="2:11" x14ac:dyDescent="0.2">
      <c r="B34" s="12"/>
      <c r="C34" s="12"/>
      <c r="F34" s="12" t="s">
        <v>40</v>
      </c>
      <c r="G34" s="12" t="s">
        <v>41</v>
      </c>
      <c r="J34" s="12" t="s">
        <v>42</v>
      </c>
      <c r="K34" s="12" t="s">
        <v>41</v>
      </c>
    </row>
    <row r="35" spans="2:11" x14ac:dyDescent="0.2">
      <c r="F35" t="s">
        <v>43</v>
      </c>
      <c r="G35" t="s">
        <v>44</v>
      </c>
      <c r="J35" s="12" t="s">
        <v>45</v>
      </c>
      <c r="K35" t="s">
        <v>46</v>
      </c>
    </row>
    <row r="36" spans="2:11" x14ac:dyDescent="0.2">
      <c r="F36" t="s">
        <v>47</v>
      </c>
      <c r="G36" t="s">
        <v>48</v>
      </c>
      <c r="J36" s="12" t="s">
        <v>49</v>
      </c>
      <c r="K36" t="s">
        <v>50</v>
      </c>
    </row>
    <row r="37" spans="2:11" x14ac:dyDescent="0.2">
      <c r="F37" t="s">
        <v>51</v>
      </c>
      <c r="G37" t="s">
        <v>52</v>
      </c>
      <c r="J37" s="12" t="s">
        <v>53</v>
      </c>
      <c r="K37" t="s">
        <v>54</v>
      </c>
    </row>
    <row r="38" spans="2:11" x14ac:dyDescent="0.2">
      <c r="F38" t="s">
        <v>55</v>
      </c>
      <c r="G38" t="s">
        <v>56</v>
      </c>
      <c r="J38" s="12" t="s">
        <v>57</v>
      </c>
      <c r="K38" t="s">
        <v>58</v>
      </c>
    </row>
    <row r="39" spans="2:11" x14ac:dyDescent="0.2">
      <c r="F39" t="s">
        <v>59</v>
      </c>
      <c r="G39" t="s">
        <v>60</v>
      </c>
      <c r="J39" s="12" t="s">
        <v>61</v>
      </c>
      <c r="K39" t="s">
        <v>62</v>
      </c>
    </row>
    <row r="42" spans="2:11" x14ac:dyDescent="0.2">
      <c r="B42" s="12"/>
      <c r="C42" s="12"/>
    </row>
    <row r="43" spans="2:11" x14ac:dyDescent="0.2">
      <c r="B43" s="12"/>
    </row>
    <row r="44" spans="2:11" x14ac:dyDescent="0.2">
      <c r="B44" s="12"/>
    </row>
    <row r="45" spans="2:11" x14ac:dyDescent="0.2">
      <c r="B45" s="12"/>
    </row>
    <row r="46" spans="2:11" x14ac:dyDescent="0.2">
      <c r="B46" s="12"/>
    </row>
    <row r="47" spans="2:11" x14ac:dyDescent="0.2">
      <c r="B4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EB0E-2CBA-1C46-BBF2-71B49DCB3E36}">
  <dimension ref="A1:P50"/>
  <sheetViews>
    <sheetView topLeftCell="F5" zoomScale="150" workbookViewId="0">
      <selection activeCell="I33" sqref="I33"/>
    </sheetView>
  </sheetViews>
  <sheetFormatPr baseColWidth="10" defaultColWidth="8.83203125" defaultRowHeight="16" x14ac:dyDescent="0.2"/>
  <cols>
    <col min="5" max="5" width="8.83203125" style="39"/>
    <col min="6" max="6" width="9.1640625" style="39" customWidth="1"/>
    <col min="8" max="8" width="60.5" customWidth="1"/>
    <col min="13" max="13" width="15.33203125" customWidth="1"/>
  </cols>
  <sheetData>
    <row r="1" spans="1:13" ht="136" x14ac:dyDescent="0.2">
      <c r="A1" s="1" t="s">
        <v>0</v>
      </c>
      <c r="B1" s="1" t="s">
        <v>63</v>
      </c>
      <c r="C1" s="1" t="s">
        <v>64</v>
      </c>
      <c r="D1" s="13" t="s">
        <v>65</v>
      </c>
      <c r="E1" s="14" t="s">
        <v>66</v>
      </c>
      <c r="F1" s="14" t="s">
        <v>67</v>
      </c>
      <c r="H1" s="2" t="s">
        <v>68</v>
      </c>
      <c r="I1" s="1" t="s">
        <v>5</v>
      </c>
    </row>
    <row r="2" spans="1:13" ht="102" x14ac:dyDescent="0.2">
      <c r="A2" s="3"/>
      <c r="B2" s="3"/>
      <c r="C2" s="3"/>
      <c r="D2" s="15" t="s">
        <v>69</v>
      </c>
      <c r="E2" s="16" t="s">
        <v>70</v>
      </c>
      <c r="F2" s="16" t="s">
        <v>70</v>
      </c>
      <c r="H2" t="s">
        <v>9</v>
      </c>
    </row>
    <row r="3" spans="1:13" ht="17" thickBot="1" x14ac:dyDescent="0.25">
      <c r="A3">
        <v>2000</v>
      </c>
      <c r="B3">
        <v>2.9783268876851565</v>
      </c>
      <c r="C3">
        <v>1.1736681231453474</v>
      </c>
      <c r="D3" s="17"/>
      <c r="E3" s="18"/>
      <c r="F3" s="19"/>
    </row>
    <row r="4" spans="1:13" x14ac:dyDescent="0.2">
      <c r="A4">
        <v>2001</v>
      </c>
      <c r="B4">
        <v>0.28460855637904103</v>
      </c>
      <c r="C4">
        <v>-1.4999077245120134</v>
      </c>
      <c r="D4" s="20">
        <v>-0.57506237805308569</v>
      </c>
      <c r="E4" s="18"/>
      <c r="F4" s="18">
        <v>-9.863794426466007E-4</v>
      </c>
      <c r="H4" s="6" t="s">
        <v>10</v>
      </c>
      <c r="I4" s="6"/>
    </row>
    <row r="5" spans="1:13" x14ac:dyDescent="0.2">
      <c r="A5">
        <v>2002</v>
      </c>
      <c r="B5">
        <v>8.4988805036331883E-2</v>
      </c>
      <c r="C5">
        <v>-4.4116112092578419</v>
      </c>
      <c r="D5" s="20">
        <v>-1.2128181271147953</v>
      </c>
      <c r="E5" s="18"/>
      <c r="F5" s="18">
        <v>2.3539550617580028E-4</v>
      </c>
      <c r="H5" t="s">
        <v>11</v>
      </c>
      <c r="I5">
        <v>0.97685917487482732</v>
      </c>
    </row>
    <row r="6" spans="1:13" x14ac:dyDescent="0.2">
      <c r="A6">
        <v>2003</v>
      </c>
      <c r="B6">
        <v>1.3801093583079478</v>
      </c>
      <c r="C6">
        <v>-0.98858743091383872</v>
      </c>
      <c r="D6" s="20">
        <v>-0.2614182012202193</v>
      </c>
      <c r="E6" s="18"/>
      <c r="F6" s="18">
        <v>1.0296995830918008E-3</v>
      </c>
      <c r="H6" t="s">
        <v>12</v>
      </c>
      <c r="I6" s="7">
        <v>0.9542538475371285</v>
      </c>
    </row>
    <row r="7" spans="1:13" x14ac:dyDescent="0.2">
      <c r="A7">
        <v>2004</v>
      </c>
      <c r="B7">
        <v>2.1129482372312651</v>
      </c>
      <c r="C7">
        <v>0.22331046113610853</v>
      </c>
      <c r="D7" s="20">
        <v>0.12998809505826556</v>
      </c>
      <c r="E7" s="18"/>
      <c r="F7" s="18">
        <v>-8.1913267857269996E-4</v>
      </c>
      <c r="H7" t="s">
        <v>13</v>
      </c>
      <c r="I7">
        <v>0.86276154261138549</v>
      </c>
    </row>
    <row r="8" spans="1:13" x14ac:dyDescent="0.2">
      <c r="A8">
        <v>2005</v>
      </c>
      <c r="B8">
        <v>1.8482813374833995</v>
      </c>
      <c r="C8">
        <v>2.8764734869739925</v>
      </c>
      <c r="D8" s="20">
        <v>0.41257600014737172</v>
      </c>
      <c r="E8" s="18"/>
      <c r="F8" s="18">
        <v>3.5077821749244977E-3</v>
      </c>
      <c r="H8" t="s">
        <v>14</v>
      </c>
      <c r="I8">
        <v>0.90744908435851745</v>
      </c>
    </row>
    <row r="9" spans="1:13" ht="17" thickBot="1" x14ac:dyDescent="0.25">
      <c r="A9">
        <v>2006</v>
      </c>
      <c r="B9">
        <v>1.5463084307874055</v>
      </c>
      <c r="C9">
        <v>0.73684707051636167</v>
      </c>
      <c r="D9" s="20">
        <v>0.43545501258102265</v>
      </c>
      <c r="E9" s="18"/>
      <c r="F9" s="18">
        <v>2.3615081122094032E-3</v>
      </c>
      <c r="H9" s="8" t="s">
        <v>15</v>
      </c>
      <c r="I9" s="9">
        <v>7</v>
      </c>
    </row>
    <row r="10" spans="1:13" x14ac:dyDescent="0.2">
      <c r="A10">
        <v>2007</v>
      </c>
      <c r="B10">
        <v>1.7283791286557744</v>
      </c>
      <c r="C10">
        <v>-1.0946469272328159</v>
      </c>
      <c r="D10" s="20">
        <v>0.47256189243698038</v>
      </c>
      <c r="E10" s="18"/>
      <c r="F10" s="18">
        <v>3.3667852588522978E-3</v>
      </c>
    </row>
    <row r="11" spans="1:13" ht="17" thickBot="1" x14ac:dyDescent="0.25">
      <c r="A11">
        <v>2008</v>
      </c>
      <c r="B11">
        <v>-1.1666220935514104</v>
      </c>
      <c r="C11">
        <v>-3.6754929352066199</v>
      </c>
      <c r="D11" s="20">
        <v>-0.39654312875233766</v>
      </c>
      <c r="E11" s="18"/>
      <c r="F11" s="18">
        <v>1.2981778852562999E-3</v>
      </c>
      <c r="H11" t="s">
        <v>17</v>
      </c>
    </row>
    <row r="12" spans="1:13" x14ac:dyDescent="0.2">
      <c r="A12">
        <v>2009</v>
      </c>
      <c r="B12">
        <v>-5.9359411383964016</v>
      </c>
      <c r="C12">
        <v>-10.479457886746843</v>
      </c>
      <c r="D12" s="20">
        <v>-1.5147386024677276</v>
      </c>
      <c r="E12" s="18"/>
      <c r="F12" s="18">
        <v>-4.5235162930808009E-3</v>
      </c>
      <c r="H12" s="10"/>
      <c r="I12" s="10" t="s">
        <v>18</v>
      </c>
      <c r="J12" s="10" t="s">
        <v>19</v>
      </c>
      <c r="K12" s="10" t="s">
        <v>20</v>
      </c>
      <c r="L12" s="10" t="s">
        <v>21</v>
      </c>
      <c r="M12" s="10" t="s">
        <v>22</v>
      </c>
    </row>
    <row r="13" spans="1:13" x14ac:dyDescent="0.2">
      <c r="A13">
        <v>2010</v>
      </c>
      <c r="B13">
        <v>4.1364558922223864</v>
      </c>
      <c r="C13">
        <v>-1.5893305371385082</v>
      </c>
      <c r="D13" s="20">
        <v>-0.39534189266981412</v>
      </c>
      <c r="E13" s="18"/>
      <c r="F13" s="18">
        <v>6.4791566104050249E-4</v>
      </c>
      <c r="H13" t="s">
        <v>23</v>
      </c>
      <c r="I13">
        <v>4</v>
      </c>
      <c r="J13">
        <v>34.354519276191056</v>
      </c>
      <c r="K13">
        <v>8.5886298190477639</v>
      </c>
      <c r="L13">
        <v>10.429880942573497</v>
      </c>
      <c r="M13">
        <v>8.9399594460586554E-2</v>
      </c>
    </row>
    <row r="14" spans="1:13" x14ac:dyDescent="0.2">
      <c r="A14">
        <v>2011</v>
      </c>
      <c r="B14">
        <v>-0.20035785332981959</v>
      </c>
      <c r="C14">
        <v>1.4357634919100803</v>
      </c>
      <c r="D14" s="20">
        <v>-6.6682417496790825E-2</v>
      </c>
      <c r="E14" s="18"/>
      <c r="F14" s="18">
        <v>1.580088361309899E-3</v>
      </c>
      <c r="H14" t="s">
        <v>24</v>
      </c>
      <c r="I14">
        <v>2</v>
      </c>
      <c r="J14">
        <v>1.6469276814062235</v>
      </c>
      <c r="K14">
        <v>0.82346384070311174</v>
      </c>
    </row>
    <row r="15" spans="1:13" ht="17" thickBot="1" x14ac:dyDescent="0.25">
      <c r="A15">
        <v>2012</v>
      </c>
      <c r="B15">
        <v>1.6489345298122515</v>
      </c>
      <c r="C15">
        <v>3.4327855264330083</v>
      </c>
      <c r="D15" s="20">
        <v>-0.25159045013400844</v>
      </c>
      <c r="E15" s="18"/>
      <c r="F15" s="18">
        <v>-1.5867996142118999E-3</v>
      </c>
      <c r="H15" s="8" t="s">
        <v>25</v>
      </c>
      <c r="I15" s="8">
        <v>6</v>
      </c>
      <c r="J15" s="8">
        <v>36.001446957597281</v>
      </c>
      <c r="K15" s="8"/>
      <c r="L15" s="8"/>
      <c r="M15" s="8"/>
    </row>
    <row r="16" spans="1:13" ht="17" thickBot="1" x14ac:dyDescent="0.25">
      <c r="A16">
        <v>2013</v>
      </c>
      <c r="B16">
        <v>1.9972765339926468</v>
      </c>
      <c r="C16">
        <v>3.4744113137994646</v>
      </c>
      <c r="D16" s="20">
        <v>0.70835565593150296</v>
      </c>
      <c r="E16" s="18"/>
      <c r="F16" s="18">
        <v>3.122515945531399E-3</v>
      </c>
    </row>
    <row r="17" spans="1:16" x14ac:dyDescent="0.2">
      <c r="A17">
        <v>2014</v>
      </c>
      <c r="B17" s="21">
        <v>0.90591548606586514</v>
      </c>
      <c r="C17" s="22">
        <v>4.0651124412822668</v>
      </c>
      <c r="D17" s="23">
        <v>0.80824591444329819</v>
      </c>
      <c r="E17" s="24">
        <f>D17-D16</f>
        <v>9.9890258511795227E-2</v>
      </c>
      <c r="F17" s="25">
        <v>4.8581973539594016E-3</v>
      </c>
      <c r="H17" s="10"/>
      <c r="I17" s="11" t="s">
        <v>26</v>
      </c>
      <c r="J17" s="10" t="s">
        <v>14</v>
      </c>
      <c r="K17" s="10" t="s">
        <v>27</v>
      </c>
      <c r="L17" s="11" t="s">
        <v>28</v>
      </c>
      <c r="M17" s="10" t="s">
        <v>29</v>
      </c>
      <c r="N17" s="10" t="s">
        <v>30</v>
      </c>
      <c r="O17" s="10" t="s">
        <v>31</v>
      </c>
      <c r="P17" s="10" t="s">
        <v>32</v>
      </c>
    </row>
    <row r="18" spans="1:16" x14ac:dyDescent="0.2">
      <c r="A18">
        <v>2015</v>
      </c>
      <c r="B18" s="26">
        <v>1.7999773578347487</v>
      </c>
      <c r="C18" s="27">
        <v>2.8541342380652424</v>
      </c>
      <c r="D18" s="28">
        <v>0.34507827037292893</v>
      </c>
      <c r="E18" s="29">
        <f t="shared" ref="E18:E26" si="0">D18-D17</f>
        <v>-0.46316764407036926</v>
      </c>
      <c r="F18" s="30">
        <v>8.9782830654430018E-4</v>
      </c>
      <c r="H18" t="s">
        <v>33</v>
      </c>
      <c r="I18" s="7">
        <v>0.77434510527699452</v>
      </c>
      <c r="J18">
        <v>1.2602638555583723</v>
      </c>
      <c r="K18">
        <v>0.61443093988751529</v>
      </c>
      <c r="L18" s="7">
        <v>0.60151636007434317</v>
      </c>
      <c r="M18">
        <v>-4.6481326130458198</v>
      </c>
      <c r="N18">
        <v>6.1968228235998088</v>
      </c>
      <c r="O18">
        <v>-4.6481326130458198</v>
      </c>
      <c r="P18">
        <v>6.1968228235998088</v>
      </c>
    </row>
    <row r="19" spans="1:16" ht="17" x14ac:dyDescent="0.2">
      <c r="A19">
        <v>2016</v>
      </c>
      <c r="B19" s="26">
        <v>0.70498649511125677</v>
      </c>
      <c r="C19" s="27">
        <v>0.65911104198646342</v>
      </c>
      <c r="D19" s="28">
        <v>1.1712413314965764</v>
      </c>
      <c r="E19" s="29">
        <f t="shared" si="0"/>
        <v>0.82616306112364746</v>
      </c>
      <c r="F19" s="30">
        <v>-3.7918470149631012E-3</v>
      </c>
      <c r="H19" s="31" t="s">
        <v>64</v>
      </c>
      <c r="I19" s="7">
        <v>0.96540727849653285</v>
      </c>
      <c r="J19">
        <v>0.24639752908387261</v>
      </c>
      <c r="K19">
        <v>3.9180883107310405</v>
      </c>
      <c r="L19" s="7">
        <v>5.9396134378704502E-2</v>
      </c>
      <c r="M19">
        <v>-9.4755722619714489E-2</v>
      </c>
      <c r="N19">
        <v>2.0255702796127801</v>
      </c>
      <c r="O19">
        <v>-9.4755722619714489E-2</v>
      </c>
      <c r="P19">
        <v>2.0255702796127801</v>
      </c>
    </row>
    <row r="20" spans="1:16" ht="17" x14ac:dyDescent="0.2">
      <c r="A20">
        <v>2017</v>
      </c>
      <c r="B20" s="26">
        <v>1.6234506224544134</v>
      </c>
      <c r="C20" s="27">
        <v>1.6097468891013165</v>
      </c>
      <c r="D20" s="28">
        <v>1.136817624133335</v>
      </c>
      <c r="E20" s="29">
        <f t="shared" si="0"/>
        <v>-3.4423707363241407E-2</v>
      </c>
      <c r="F20" s="30">
        <v>1.3269004203637198E-2</v>
      </c>
      <c r="H20" s="32" t="s">
        <v>65</v>
      </c>
      <c r="I20" s="7">
        <v>-1.1285642548534036</v>
      </c>
      <c r="J20">
        <v>1.5105460898904508</v>
      </c>
      <c r="K20">
        <v>-0.74712334989742046</v>
      </c>
      <c r="L20" s="7">
        <v>0.53288304514736762</v>
      </c>
      <c r="M20">
        <v>-7.6279195119329302</v>
      </c>
      <c r="N20">
        <v>5.3707910022261229</v>
      </c>
      <c r="O20">
        <v>-7.6279195119329302</v>
      </c>
      <c r="P20">
        <v>5.3707910022261229</v>
      </c>
    </row>
    <row r="21" spans="1:16" ht="17" x14ac:dyDescent="0.2">
      <c r="A21">
        <v>2018</v>
      </c>
      <c r="B21" s="26">
        <v>0.83414384596558477</v>
      </c>
      <c r="C21" s="27">
        <v>1.2789260829120224</v>
      </c>
      <c r="D21" s="28">
        <v>2.0356936614538323</v>
      </c>
      <c r="E21" s="29">
        <f t="shared" si="0"/>
        <v>0.89887603732049737</v>
      </c>
      <c r="F21" s="30">
        <v>-1.6904672173859991E-3</v>
      </c>
      <c r="H21" s="32" t="s">
        <v>66</v>
      </c>
      <c r="I21" s="7">
        <v>1.3672159408410824</v>
      </c>
      <c r="J21">
        <v>1.6374143465351416</v>
      </c>
      <c r="K21">
        <v>0.83498470850349282</v>
      </c>
      <c r="L21" s="7">
        <v>0.49158074514130079</v>
      </c>
      <c r="M21">
        <v>-5.6780093670092793</v>
      </c>
      <c r="N21">
        <v>8.4124412486914437</v>
      </c>
      <c r="O21">
        <v>-5.6780093670092793</v>
      </c>
      <c r="P21">
        <v>8.4124412486914437</v>
      </c>
    </row>
    <row r="22" spans="1:16" ht="18" thickBot="1" x14ac:dyDescent="0.25">
      <c r="A22">
        <v>2019</v>
      </c>
      <c r="B22" s="26">
        <v>-0.30849692114325933</v>
      </c>
      <c r="C22" s="27">
        <v>1.6606576436665677</v>
      </c>
      <c r="D22" s="28">
        <v>1.0365568945839458</v>
      </c>
      <c r="E22" s="29">
        <f t="shared" si="0"/>
        <v>-0.99913676686988651</v>
      </c>
      <c r="F22" s="30">
        <v>5.6473259349969503E-2</v>
      </c>
      <c r="H22" s="33" t="s">
        <v>67</v>
      </c>
      <c r="I22" s="9">
        <v>-7.1438378821707769</v>
      </c>
      <c r="J22" s="8">
        <v>42.745126327960506</v>
      </c>
      <c r="K22" s="8">
        <v>-0.1671263719601605</v>
      </c>
      <c r="L22" s="9">
        <v>0.88264046653799122</v>
      </c>
      <c r="M22" s="8">
        <v>-191.06127236065572</v>
      </c>
      <c r="N22" s="8">
        <v>176.77359659631415</v>
      </c>
      <c r="O22" s="8">
        <v>-191.06127236065572</v>
      </c>
      <c r="P22" s="8">
        <v>176.77359659631415</v>
      </c>
    </row>
    <row r="23" spans="1:16" x14ac:dyDescent="0.2">
      <c r="A23">
        <v>2020</v>
      </c>
      <c r="B23" s="26">
        <v>-4.2832794267557261</v>
      </c>
      <c r="C23" s="27">
        <v>-3.45000520130327</v>
      </c>
      <c r="D23" s="28">
        <v>-0.6940836493034156</v>
      </c>
      <c r="E23" s="29">
        <f t="shared" si="0"/>
        <v>-1.7306405438873615</v>
      </c>
      <c r="F23" s="30">
        <v>3.768539613590402E-3</v>
      </c>
    </row>
    <row r="24" spans="1:16" ht="17" thickBot="1" x14ac:dyDescent="0.25">
      <c r="A24">
        <v>2021</v>
      </c>
      <c r="B24" s="34">
        <v>3.5641953147447509</v>
      </c>
      <c r="C24" s="35">
        <v>1.039988028532008</v>
      </c>
      <c r="D24" s="36">
        <v>-9.1604277561750574E-2</v>
      </c>
      <c r="E24" s="37">
        <f t="shared" si="0"/>
        <v>0.60247937174166499</v>
      </c>
      <c r="F24" s="38">
        <v>-4.9692738437576101E-2</v>
      </c>
    </row>
    <row r="25" spans="1:16" x14ac:dyDescent="0.2">
      <c r="A25">
        <v>2022</v>
      </c>
      <c r="B25">
        <v>1.3316475065374078</v>
      </c>
      <c r="C25">
        <v>0.46905895951321952</v>
      </c>
      <c r="D25" s="20">
        <v>0.6939530297631521</v>
      </c>
      <c r="E25" s="18">
        <f t="shared" si="0"/>
        <v>0.7855573073249027</v>
      </c>
      <c r="F25" s="19"/>
    </row>
    <row r="26" spans="1:16" x14ac:dyDescent="0.2">
      <c r="A26">
        <v>2023</v>
      </c>
      <c r="B26">
        <v>0.72078530474981051</v>
      </c>
      <c r="C26">
        <v>1.9136652563193763</v>
      </c>
      <c r="D26" s="20">
        <v>0.40013283659526938</v>
      </c>
      <c r="E26" s="18">
        <f t="shared" si="0"/>
        <v>-0.29382019316788272</v>
      </c>
      <c r="F26" s="19"/>
      <c r="H26" t="s">
        <v>34</v>
      </c>
      <c r="I26" t="s">
        <v>80</v>
      </c>
      <c r="K26" t="s">
        <v>82</v>
      </c>
      <c r="O26" t="s">
        <v>78</v>
      </c>
    </row>
    <row r="27" spans="1:16" x14ac:dyDescent="0.2">
      <c r="A27">
        <v>2024</v>
      </c>
      <c r="B27">
        <v>-0.24008423604169593</v>
      </c>
      <c r="C27">
        <v>-0.56584596929567965</v>
      </c>
      <c r="D27" s="20">
        <v>0.5433607205481692</v>
      </c>
      <c r="E27" s="18"/>
      <c r="F27" s="19"/>
      <c r="H27" t="s">
        <v>36</v>
      </c>
      <c r="I27" t="s">
        <v>81</v>
      </c>
    </row>
    <row r="32" spans="1:16" x14ac:dyDescent="0.2">
      <c r="H32" t="s">
        <v>83</v>
      </c>
    </row>
    <row r="33" spans="2:9" x14ac:dyDescent="0.2">
      <c r="H33" t="s">
        <v>38</v>
      </c>
      <c r="I33" t="s">
        <v>39</v>
      </c>
    </row>
    <row r="34" spans="2:9" x14ac:dyDescent="0.2">
      <c r="H34" s="12"/>
    </row>
    <row r="35" spans="2:9" x14ac:dyDescent="0.2">
      <c r="H35" s="12"/>
    </row>
    <row r="36" spans="2:9" x14ac:dyDescent="0.2">
      <c r="H36" s="12"/>
    </row>
    <row r="37" spans="2:9" x14ac:dyDescent="0.2">
      <c r="B37" s="12"/>
      <c r="C37" s="12"/>
    </row>
    <row r="45" spans="2:9" x14ac:dyDescent="0.2">
      <c r="B45" s="12"/>
      <c r="C45" s="12"/>
    </row>
    <row r="46" spans="2:9" x14ac:dyDescent="0.2">
      <c r="B46" s="12"/>
    </row>
    <row r="47" spans="2:9" x14ac:dyDescent="0.2">
      <c r="B47" s="12"/>
    </row>
    <row r="48" spans="2:9" x14ac:dyDescent="0.2">
      <c r="B48" s="12"/>
    </row>
    <row r="49" spans="2:2" x14ac:dyDescent="0.2">
      <c r="B49" s="12"/>
    </row>
    <row r="50" spans="2:2" x14ac:dyDescent="0.2">
      <c r="B5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D0FC-0266-5845-9B92-D926CF9DBCAA}">
  <dimension ref="A1:O45"/>
  <sheetViews>
    <sheetView topLeftCell="D12" zoomScale="169" workbookViewId="0">
      <selection activeCell="H28" sqref="H28"/>
    </sheetView>
  </sheetViews>
  <sheetFormatPr baseColWidth="10" defaultColWidth="8.83203125" defaultRowHeight="16" x14ac:dyDescent="0.2"/>
  <cols>
    <col min="2" max="2" width="13.5" customWidth="1"/>
    <col min="3" max="3" width="12.1640625" customWidth="1"/>
    <col min="4" max="4" width="12.33203125" style="39" customWidth="1"/>
    <col min="5" max="5" width="19.6640625" style="39" customWidth="1"/>
    <col min="7" max="7" width="46.83203125" customWidth="1"/>
    <col min="12" max="12" width="11.5" customWidth="1"/>
  </cols>
  <sheetData>
    <row r="1" spans="1:12" ht="119" x14ac:dyDescent="0.2">
      <c r="A1" s="1" t="s">
        <v>0</v>
      </c>
      <c r="B1" s="40" t="s">
        <v>71</v>
      </c>
      <c r="C1" s="40" t="s">
        <v>72</v>
      </c>
      <c r="D1" s="14" t="s">
        <v>66</v>
      </c>
      <c r="E1" s="41" t="s">
        <v>73</v>
      </c>
      <c r="G1" s="2" t="s">
        <v>74</v>
      </c>
      <c r="H1" s="1" t="s">
        <v>5</v>
      </c>
    </row>
    <row r="2" spans="1:12" ht="68" x14ac:dyDescent="0.2">
      <c r="A2" s="3"/>
      <c r="B2" s="42" t="s">
        <v>75</v>
      </c>
      <c r="C2" s="43" t="s">
        <v>76</v>
      </c>
      <c r="D2" s="16" t="s">
        <v>70</v>
      </c>
      <c r="E2" s="44"/>
      <c r="G2" t="s">
        <v>9</v>
      </c>
    </row>
    <row r="3" spans="1:12" ht="17" thickBot="1" x14ac:dyDescent="0.25">
      <c r="A3">
        <v>2000</v>
      </c>
      <c r="B3" s="45"/>
      <c r="C3" s="45"/>
      <c r="D3" s="18"/>
      <c r="E3" s="39">
        <v>5.9527340709045689</v>
      </c>
    </row>
    <row r="4" spans="1:12" x14ac:dyDescent="0.2">
      <c r="A4">
        <v>2001</v>
      </c>
      <c r="B4" s="46">
        <v>0.86464317201881413</v>
      </c>
      <c r="C4" s="46">
        <v>-0.93019454533183632</v>
      </c>
      <c r="D4" s="18"/>
      <c r="E4" s="39">
        <v>-3.8993064419592969</v>
      </c>
      <c r="G4" s="6" t="s">
        <v>10</v>
      </c>
      <c r="H4" s="6"/>
    </row>
    <row r="5" spans="1:12" x14ac:dyDescent="0.2">
      <c r="A5">
        <v>2002</v>
      </c>
      <c r="B5" s="46">
        <v>1.3137402115803731</v>
      </c>
      <c r="C5" s="46">
        <v>-3.2380649204662029</v>
      </c>
      <c r="D5" s="18"/>
      <c r="E5" s="39">
        <v>-2.021784916640712</v>
      </c>
      <c r="G5" t="s">
        <v>11</v>
      </c>
      <c r="H5">
        <v>0.90939026701511216</v>
      </c>
    </row>
    <row r="6" spans="1:12" x14ac:dyDescent="0.2">
      <c r="A6">
        <v>2003</v>
      </c>
      <c r="B6" s="46">
        <v>1.6458300588631878</v>
      </c>
      <c r="C6" s="46">
        <v>-0.72907516487515189</v>
      </c>
      <c r="D6" s="18"/>
      <c r="E6" s="39">
        <v>3.6892235030364589</v>
      </c>
      <c r="G6" t="s">
        <v>12</v>
      </c>
      <c r="H6" s="7">
        <v>0.82699065774181701</v>
      </c>
    </row>
    <row r="7" spans="1:12" x14ac:dyDescent="0.2">
      <c r="A7">
        <v>2004</v>
      </c>
      <c r="B7" s="46">
        <v>1.9803858762976283</v>
      </c>
      <c r="C7" s="46">
        <v>9.3201215593103209E-2</v>
      </c>
      <c r="D7" s="18"/>
      <c r="E7" s="39">
        <v>5.2725079432044453</v>
      </c>
      <c r="G7" t="s">
        <v>13</v>
      </c>
      <c r="H7">
        <v>0.72318505238690722</v>
      </c>
    </row>
    <row r="8" spans="1:12" x14ac:dyDescent="0.2">
      <c r="A8">
        <v>2005</v>
      </c>
      <c r="B8" s="46">
        <v>1.4298062996948859</v>
      </c>
      <c r="C8" s="46">
        <v>2.4537738050092481</v>
      </c>
      <c r="D8" s="18"/>
      <c r="E8" s="39">
        <v>3.6194835541111843</v>
      </c>
      <c r="G8" t="s">
        <v>14</v>
      </c>
      <c r="H8">
        <v>1.0630657226795186</v>
      </c>
    </row>
    <row r="9" spans="1:12" ht="17" thickBot="1" x14ac:dyDescent="0.25">
      <c r="A9">
        <v>2006</v>
      </c>
      <c r="B9" s="46">
        <v>1.1060371241084361</v>
      </c>
      <c r="C9" s="46">
        <v>0.30008532136144822</v>
      </c>
      <c r="D9" s="18"/>
      <c r="E9" s="39">
        <v>3.9753848633023949</v>
      </c>
      <c r="G9" s="8" t="s">
        <v>15</v>
      </c>
      <c r="H9" s="9">
        <v>9</v>
      </c>
    </row>
    <row r="10" spans="1:12" x14ac:dyDescent="0.2">
      <c r="A10">
        <v>2007</v>
      </c>
      <c r="B10" s="46">
        <v>1.2499106348688975</v>
      </c>
      <c r="C10" s="46">
        <v>-1.5598376214867455</v>
      </c>
      <c r="D10" s="18"/>
      <c r="E10" s="39">
        <v>5.4347531277969949</v>
      </c>
    </row>
    <row r="11" spans="1:12" ht="17" thickBot="1" x14ac:dyDescent="0.25">
      <c r="A11">
        <v>2008</v>
      </c>
      <c r="B11" s="46">
        <v>-0.77314481744796404</v>
      </c>
      <c r="C11" s="46">
        <v>-3.2920040222025904</v>
      </c>
      <c r="D11" s="18"/>
      <c r="E11" s="39">
        <v>0.21369602246103625</v>
      </c>
      <c r="G11" t="s">
        <v>17</v>
      </c>
    </row>
    <row r="12" spans="1:12" x14ac:dyDescent="0.2">
      <c r="A12">
        <v>2009</v>
      </c>
      <c r="B12" s="46">
        <v>-4.4892022148193922</v>
      </c>
      <c r="C12" s="46">
        <v>-9.1025998784664353</v>
      </c>
      <c r="D12" s="18"/>
      <c r="E12" s="39">
        <v>-17.167772289390797</v>
      </c>
      <c r="G12" s="10"/>
      <c r="H12" s="10" t="s">
        <v>18</v>
      </c>
      <c r="I12" s="10" t="s">
        <v>19</v>
      </c>
      <c r="J12" s="10" t="s">
        <v>20</v>
      </c>
      <c r="K12" s="10" t="s">
        <v>21</v>
      </c>
      <c r="L12" s="10" t="s">
        <v>22</v>
      </c>
    </row>
    <row r="13" spans="1:12" x14ac:dyDescent="0.2">
      <c r="A13">
        <v>2010</v>
      </c>
      <c r="B13" s="46">
        <v>4.5497849909879697</v>
      </c>
      <c r="C13" s="46">
        <v>-1.1987277173142665</v>
      </c>
      <c r="D13" s="18"/>
      <c r="E13" s="39">
        <v>16.886878489115944</v>
      </c>
      <c r="G13" t="s">
        <v>23</v>
      </c>
      <c r="H13">
        <v>3</v>
      </c>
      <c r="I13">
        <v>27.009794683704023</v>
      </c>
      <c r="J13">
        <v>9.0032648945680069</v>
      </c>
      <c r="K13">
        <v>7.9667244838498732</v>
      </c>
      <c r="L13">
        <v>2.3739194872037739E-2</v>
      </c>
    </row>
    <row r="14" spans="1:12" x14ac:dyDescent="0.2">
      <c r="A14">
        <v>2011</v>
      </c>
      <c r="B14" s="46">
        <v>-0.13376463332428132</v>
      </c>
      <c r="C14" s="46">
        <v>1.5034484451759154</v>
      </c>
      <c r="D14" s="18"/>
      <c r="E14" s="39">
        <v>-3.1910773685471412</v>
      </c>
      <c r="G14" t="s">
        <v>24</v>
      </c>
      <c r="H14">
        <v>5</v>
      </c>
      <c r="I14">
        <v>5.6505436536806348</v>
      </c>
      <c r="J14">
        <v>1.1301087307361271</v>
      </c>
    </row>
    <row r="15" spans="1:12" ht="17" thickBot="1" x14ac:dyDescent="0.25">
      <c r="A15">
        <v>2012</v>
      </c>
      <c r="B15" s="46">
        <v>1.9053185795370033</v>
      </c>
      <c r="C15" s="46">
        <v>3.6936688947658212</v>
      </c>
      <c r="D15" s="18"/>
      <c r="E15" s="39">
        <v>2.0336463223787291</v>
      </c>
      <c r="G15" s="8" t="s">
        <v>25</v>
      </c>
      <c r="H15" s="8">
        <v>8</v>
      </c>
      <c r="I15" s="8">
        <v>32.660338337384658</v>
      </c>
      <c r="J15" s="8"/>
      <c r="K15" s="8"/>
      <c r="L15" s="8"/>
    </row>
    <row r="16" spans="1:12" ht="17" thickBot="1" x14ac:dyDescent="0.25">
      <c r="A16">
        <v>2013</v>
      </c>
      <c r="B16" s="46">
        <v>1.2798549531130496</v>
      </c>
      <c r="C16" s="46">
        <v>2.7465999616935024</v>
      </c>
      <c r="D16" s="18"/>
      <c r="E16" s="39">
        <v>-1.4564912307609745</v>
      </c>
    </row>
    <row r="17" spans="1:15" x14ac:dyDescent="0.2">
      <c r="A17">
        <v>2014</v>
      </c>
      <c r="B17" s="47">
        <v>9.6886490521281607E-2</v>
      </c>
      <c r="C17" s="48">
        <v>3.2307540889096353</v>
      </c>
      <c r="D17" s="24">
        <f>C17-C16</f>
        <v>0.48415412721613293</v>
      </c>
      <c r="E17" s="25">
        <v>2.9031184885573822</v>
      </c>
      <c r="G17" s="10"/>
      <c r="H17" s="11" t="s">
        <v>26</v>
      </c>
      <c r="I17" s="10" t="s">
        <v>14</v>
      </c>
      <c r="J17" s="10" t="s">
        <v>27</v>
      </c>
      <c r="K17" s="11" t="s">
        <v>28</v>
      </c>
      <c r="L17" s="10" t="s">
        <v>29</v>
      </c>
      <c r="M17" s="10" t="s">
        <v>30</v>
      </c>
      <c r="N17" s="10" t="s">
        <v>31</v>
      </c>
      <c r="O17" s="10" t="s">
        <v>32</v>
      </c>
    </row>
    <row r="18" spans="1:15" x14ac:dyDescent="0.2">
      <c r="A18">
        <v>2015</v>
      </c>
      <c r="B18" s="49">
        <v>1.4498958120713157</v>
      </c>
      <c r="C18" s="50">
        <v>2.5004275356005334</v>
      </c>
      <c r="D18" s="29">
        <f t="shared" ref="D18:D26" si="0">C18-C17</f>
        <v>-0.7303265533091019</v>
      </c>
      <c r="E18" s="30">
        <v>2.0940745404323167</v>
      </c>
      <c r="G18" t="s">
        <v>33</v>
      </c>
      <c r="H18" s="7">
        <v>-0.45001622799412272</v>
      </c>
      <c r="I18">
        <v>0.39839421601631153</v>
      </c>
      <c r="J18">
        <v>-1.1295752044143572</v>
      </c>
      <c r="K18" s="7">
        <v>0.30991409672664633</v>
      </c>
      <c r="L18">
        <v>-1.4741211631082234</v>
      </c>
      <c r="M18">
        <v>0.57408870711997795</v>
      </c>
      <c r="N18">
        <v>-1.4741211631082234</v>
      </c>
      <c r="O18">
        <v>0.57408870711997795</v>
      </c>
    </row>
    <row r="19" spans="1:15" x14ac:dyDescent="0.2">
      <c r="A19">
        <v>2016</v>
      </c>
      <c r="B19" s="49">
        <v>-0.46085708769510181</v>
      </c>
      <c r="C19" s="50">
        <v>-0.50620144891972196</v>
      </c>
      <c r="D19" s="29">
        <f t="shared" si="0"/>
        <v>-3.0066289845202556</v>
      </c>
      <c r="E19" s="30">
        <v>0.86648629529422294</v>
      </c>
      <c r="G19" s="51" t="s">
        <v>72</v>
      </c>
      <c r="H19" s="7">
        <v>0.50363399598329939</v>
      </c>
      <c r="I19">
        <v>0.3393973645692443</v>
      </c>
      <c r="J19">
        <v>1.4839066196713124</v>
      </c>
      <c r="K19" s="7">
        <v>0.19795173658728349</v>
      </c>
      <c r="L19">
        <v>-0.36881470444123626</v>
      </c>
      <c r="M19">
        <v>1.376082696407835</v>
      </c>
      <c r="N19">
        <v>-0.36881470444123626</v>
      </c>
      <c r="O19">
        <v>1.376082696407835</v>
      </c>
    </row>
    <row r="20" spans="1:15" ht="17" x14ac:dyDescent="0.2">
      <c r="A20">
        <v>2017</v>
      </c>
      <c r="B20" s="49">
        <v>0.48116305194575515</v>
      </c>
      <c r="C20" s="50">
        <v>0.46761335394750919</v>
      </c>
      <c r="D20" s="29">
        <f t="shared" si="0"/>
        <v>0.9738148028672311</v>
      </c>
      <c r="E20" s="30">
        <v>4.2332505930130964</v>
      </c>
      <c r="G20" s="32" t="s">
        <v>66</v>
      </c>
      <c r="H20" s="7">
        <v>0.14855835836693254</v>
      </c>
      <c r="I20">
        <v>0.21927936991341646</v>
      </c>
      <c r="J20">
        <v>0.6774844274023204</v>
      </c>
      <c r="K20" s="7">
        <v>0.5281731864188407</v>
      </c>
      <c r="L20">
        <v>-0.4151172068622721</v>
      </c>
      <c r="M20">
        <v>0.71223392359613713</v>
      </c>
      <c r="N20">
        <v>-0.4151172068622721</v>
      </c>
      <c r="O20">
        <v>0.71223392359613713</v>
      </c>
    </row>
    <row r="21" spans="1:15" ht="18" thickBot="1" x14ac:dyDescent="0.25">
      <c r="A21">
        <v>2018</v>
      </c>
      <c r="B21" s="49">
        <v>-1.177577936084699</v>
      </c>
      <c r="C21" s="50">
        <v>-0.74166946034856995</v>
      </c>
      <c r="D21" s="29">
        <f t="shared" si="0"/>
        <v>-1.2092828142960792</v>
      </c>
      <c r="E21" s="30">
        <v>3.7499108296410242</v>
      </c>
      <c r="G21" s="33" t="s">
        <v>73</v>
      </c>
      <c r="H21" s="9">
        <v>0.28760467547050844</v>
      </c>
      <c r="I21" s="8">
        <v>0.12459905220056462</v>
      </c>
      <c r="J21" s="8">
        <v>2.308241277851431</v>
      </c>
      <c r="K21" s="9">
        <v>6.9058590368606648E-2</v>
      </c>
      <c r="L21" s="8">
        <v>-3.2687384853764004E-2</v>
      </c>
      <c r="M21" s="8">
        <v>0.60789673579478087</v>
      </c>
      <c r="N21" s="8">
        <v>-3.2687384853764004E-2</v>
      </c>
      <c r="O21" s="8">
        <v>0.60789673579478087</v>
      </c>
    </row>
    <row r="22" spans="1:15" x14ac:dyDescent="0.2">
      <c r="A22">
        <v>2019</v>
      </c>
      <c r="B22" s="49">
        <v>-1.3312546043414482</v>
      </c>
      <c r="C22" s="50">
        <v>0.61769795830808505</v>
      </c>
      <c r="D22" s="29">
        <f t="shared" si="0"/>
        <v>1.3593674186566549</v>
      </c>
      <c r="E22" s="30">
        <v>-0.88808077103949756</v>
      </c>
    </row>
    <row r="23" spans="1:15" x14ac:dyDescent="0.2">
      <c r="A23">
        <v>2020</v>
      </c>
      <c r="B23" s="49">
        <v>-3.6142819172798877</v>
      </c>
      <c r="C23" s="50">
        <v>-2.7751836479383445</v>
      </c>
      <c r="D23" s="29">
        <f t="shared" si="0"/>
        <v>-3.3928816062464295</v>
      </c>
      <c r="E23" s="30">
        <v>-6.1172472387425643</v>
      </c>
    </row>
    <row r="24" spans="1:15" x14ac:dyDescent="0.2">
      <c r="A24">
        <v>2021</v>
      </c>
      <c r="B24" s="49">
        <v>3.6591515316319545</v>
      </c>
      <c r="C24" s="50">
        <v>1.1326298434793314</v>
      </c>
      <c r="D24" s="29">
        <f t="shared" si="0"/>
        <v>3.9078134914176759</v>
      </c>
      <c r="E24" s="30">
        <v>6.2091300540067209</v>
      </c>
    </row>
    <row r="25" spans="1:15" x14ac:dyDescent="0.2">
      <c r="A25">
        <v>2022</v>
      </c>
      <c r="B25" s="49">
        <v>0.63329967449560209</v>
      </c>
      <c r="C25" s="50">
        <v>-0.22334416663875237</v>
      </c>
      <c r="D25" s="29">
        <f t="shared" si="0"/>
        <v>-1.3559740101180837</v>
      </c>
      <c r="E25" s="30">
        <v>2.4197275090146064</v>
      </c>
    </row>
    <row r="26" spans="1:15" ht="17" thickBot="1" x14ac:dyDescent="0.25">
      <c r="A26">
        <v>2023</v>
      </c>
      <c r="B26" s="52">
        <v>0.3193745457253746</v>
      </c>
      <c r="C26" s="53">
        <v>1.5075004155496978</v>
      </c>
      <c r="D26" s="37">
        <f t="shared" si="0"/>
        <v>1.7308445821884502</v>
      </c>
      <c r="E26" s="38">
        <v>-1.2039654711156373</v>
      </c>
      <c r="G26" t="s">
        <v>34</v>
      </c>
      <c r="H26" t="s">
        <v>84</v>
      </c>
      <c r="J26" t="s">
        <v>77</v>
      </c>
      <c r="N26" t="s">
        <v>78</v>
      </c>
    </row>
    <row r="27" spans="1:15" x14ac:dyDescent="0.2">
      <c r="A27">
        <v>2024</v>
      </c>
      <c r="B27" s="46">
        <v>-0.77921102992308133</v>
      </c>
      <c r="C27" s="46">
        <v>-1.1032122677168328</v>
      </c>
      <c r="D27" s="18"/>
      <c r="E27" s="39">
        <v>-5.7836044198951271</v>
      </c>
      <c r="G27" t="s">
        <v>36</v>
      </c>
      <c r="H27" t="s">
        <v>37</v>
      </c>
    </row>
    <row r="32" spans="1:15" x14ac:dyDescent="0.2">
      <c r="B32" s="12" t="s">
        <v>40</v>
      </c>
      <c r="C32" s="12" t="s">
        <v>41</v>
      </c>
      <c r="G32" t="s">
        <v>79</v>
      </c>
    </row>
    <row r="33" spans="2:8" x14ac:dyDescent="0.2">
      <c r="B33" t="s">
        <v>43</v>
      </c>
      <c r="C33" t="s">
        <v>44</v>
      </c>
      <c r="G33" t="s">
        <v>38</v>
      </c>
      <c r="H33" t="s">
        <v>39</v>
      </c>
    </row>
    <row r="34" spans="2:8" x14ac:dyDescent="0.2">
      <c r="B34" t="s">
        <v>47</v>
      </c>
      <c r="C34" t="s">
        <v>48</v>
      </c>
    </row>
    <row r="35" spans="2:8" x14ac:dyDescent="0.2">
      <c r="B35" t="s">
        <v>51</v>
      </c>
      <c r="C35" t="s">
        <v>52</v>
      </c>
    </row>
    <row r="36" spans="2:8" x14ac:dyDescent="0.2">
      <c r="B36" t="s">
        <v>55</v>
      </c>
      <c r="C36" t="s">
        <v>56</v>
      </c>
    </row>
    <row r="37" spans="2:8" x14ac:dyDescent="0.2">
      <c r="B37" t="s">
        <v>59</v>
      </c>
      <c r="C37" t="s">
        <v>60</v>
      </c>
    </row>
    <row r="40" spans="2:8" x14ac:dyDescent="0.2">
      <c r="B40" s="12" t="s">
        <v>42</v>
      </c>
      <c r="C40" s="12" t="s">
        <v>41</v>
      </c>
    </row>
    <row r="41" spans="2:8" x14ac:dyDescent="0.2">
      <c r="B41" s="12" t="s">
        <v>45</v>
      </c>
      <c r="C41" t="s">
        <v>46</v>
      </c>
    </row>
    <row r="42" spans="2:8" x14ac:dyDescent="0.2">
      <c r="B42" s="12" t="s">
        <v>49</v>
      </c>
      <c r="C42" t="s">
        <v>50</v>
      </c>
    </row>
    <row r="43" spans="2:8" x14ac:dyDescent="0.2">
      <c r="B43" s="12" t="s">
        <v>53</v>
      </c>
      <c r="C43" t="s">
        <v>54</v>
      </c>
    </row>
    <row r="44" spans="2:8" x14ac:dyDescent="0.2">
      <c r="B44" s="12" t="s">
        <v>57</v>
      </c>
      <c r="C44" t="s">
        <v>58</v>
      </c>
    </row>
    <row r="45" spans="2:8" x14ac:dyDescent="0.2">
      <c r="B45" s="12" t="s">
        <v>61</v>
      </c>
      <c r="C4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reg1_jp</vt:lpstr>
      <vt:lpstr>reg2_jp</vt:lpstr>
      <vt:lpstr>reg3_jp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Koh</dc:creator>
  <cp:lastModifiedBy>Joseph Koh</cp:lastModifiedBy>
  <dcterms:created xsi:type="dcterms:W3CDTF">2026-07-13T05:17:34Z</dcterms:created>
  <dcterms:modified xsi:type="dcterms:W3CDTF">2026-07-13T05:30:08Z</dcterms:modified>
</cp:coreProperties>
</file>