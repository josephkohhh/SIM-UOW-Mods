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izlinkconsultingpteltd-my.sharepoint.com/personal/clare_kon_wizlink_biz/Documents/UOW2026/tutorial/"/>
    </mc:Choice>
  </mc:AlternateContent>
  <xr:revisionPtr revIDLastSave="62" documentId="8_{541FDE5E-DE0A-48FD-A2A3-0B2ADFB086E5}" xr6:coauthVersionLast="47" xr6:coauthVersionMax="47" xr10:uidLastSave="{433F9DEF-3CDA-471D-9EA6-9DB6DD98F9CD}"/>
  <bookViews>
    <workbookView xWindow="-98" yWindow="-98" windowWidth="20715" windowHeight="13276" activeTab="1" xr2:uid="{00000000-000D-0000-FFFF-FFFF00000000}"/>
  </bookViews>
  <sheets>
    <sheet name="Data" sheetId="1" r:id="rId1"/>
    <sheet name="sg" sheetId="10" r:id="rId2"/>
    <sheet name="Country Assigned" sheetId="16" r:id="rId3"/>
    <sheet name="regression 1 _SG" sheetId="11" r:id="rId4"/>
    <sheet name="regression 2_SG" sheetId="12" r:id="rId5"/>
    <sheet name="regression 3_sg" sheetId="17" r:id="rId6"/>
    <sheet name="SG_Charts " sheetId="13" r:id="rId7"/>
    <sheet name="Series - Metadata" sheetId="2" r:id="rId8"/>
  </sheets>
  <externalReferences>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9" i="16" l="1"/>
  <c r="AA29" i="16"/>
  <c r="Z29" i="16"/>
  <c r="Y29" i="16"/>
  <c r="X29" i="16"/>
</calcChain>
</file>

<file path=xl/sharedStrings.xml><?xml version="1.0" encoding="utf-8"?>
<sst xmlns="http://schemas.openxmlformats.org/spreadsheetml/2006/main" count="482" uniqueCount="175">
  <si>
    <t>Development relevance</t>
  </si>
  <si>
    <t>NY.GDP.MKTP.KD</t>
  </si>
  <si>
    <t>Aggregation method</t>
  </si>
  <si>
    <t>% of total employment</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</si>
  <si>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</si>
  <si>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https://datacatalog.worldbank.org/public-licenses#cc-by</t>
  </si>
  <si>
    <t>Country official statistics, National Statistical Organizations and/or Central Banks;
National Accounts data files, Organisation for Economic Co-operation and Development (OECD);
Staff estimates, World Bank (WB)</t>
  </si>
  <si>
    <t>% of total labor force</t>
  </si>
  <si>
    <t>GDP (annual % growth)</t>
  </si>
  <si>
    <t>Social Protection &amp; Labor: Unemployment</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</si>
  <si>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</si>
  <si>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in industry (% of total employment) (modeled ILO estimate)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</si>
  <si>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</si>
  <si>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</si>
  <si>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Persons</t>
  </si>
  <si>
    <t>Economic Policy &amp; Debt: National accounts: US$ at constant 2015 prices: Aggregate indicators</t>
  </si>
  <si>
    <t>Code</t>
  </si>
  <si>
    <t>SL.IND.EMPL.ZS</t>
  </si>
  <si>
    <t>SL.UEM.TOTL.ZS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</si>
  <si>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</si>
  <si>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SL.AGR.EMPL.ZS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</si>
  <si>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</si>
  <si>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NY.GDP.MKTP.KD.ZG</t>
  </si>
  <si>
    <t>Weighted average</t>
  </si>
  <si>
    <t>SL.SRV.EMPL.ZS</t>
  </si>
  <si>
    <t>Annual</t>
  </si>
  <si>
    <t>Dataset</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</si>
  <si>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</si>
  <si>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Country Name</t>
  </si>
  <si>
    <t>GDP growth (annual %)</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</si>
  <si>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</si>
  <si>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</si>
  <si>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Reference period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</si>
  <si>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</si>
  <si>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ILO Modelled Estimates database (ILOEST), International Labour Organization (ILO), uri: https://ilostat.ilo.org/data/bulk/, publisher: ILOSTAT, type: external database, date accessed: January 17, 2026</t>
  </si>
  <si>
    <t>NV.IND.MANF.ZS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</si>
  <si>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</si>
  <si>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National estimates are also available in the WDI database. Caution should be used when comparing ILO estimates with national estimates.</t>
  </si>
  <si>
    <t>Agriculture, forestry, and fishing, value added (% of GDP)</t>
  </si>
  <si>
    <t>Manufacturing, value added (% of GDP)</t>
  </si>
  <si>
    <t>Gross fixed capital formation (annual % growth)</t>
  </si>
  <si>
    <t>Limitations and exceptions</t>
  </si>
  <si>
    <t>SL.TLF.TOTL.IN</t>
  </si>
  <si>
    <t>GDP (constant 2015 US$)</t>
  </si>
  <si>
    <t>WB_WDI</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</si>
  <si>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</si>
  <si>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</si>
  <si>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License Type</t>
  </si>
  <si>
    <t>Note: Data for OECD countries are based on ISIC, revision 4.</t>
  </si>
  <si>
    <t>1991-2025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</si>
  <si>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</si>
  <si>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</si>
  <si>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CC BY-4.0</t>
  </si>
  <si>
    <t>1961-2024</t>
  </si>
  <si>
    <t>Social Protection &amp; Labor: Economic activity</t>
  </si>
  <si>
    <t>Topic</t>
  </si>
  <si>
    <t>International Labour Organization (ILO), type: estimates based on external database;
United Nations (UN), publisher: UN Population Division;
Staff estimates, World Bank (WB)</t>
  </si>
  <si>
    <t>1990-2025</t>
  </si>
  <si>
    <t>Sum</t>
  </si>
  <si>
    <t>NE.GDI.FTOT.KD.ZG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</si>
  <si>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</si>
  <si>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</si>
  <si>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</si>
  <si>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Unemployment, total (% of total labor force) (modeled ILO estimate)</t>
  </si>
  <si>
    <t>NV.AGR.TOTL.ZS</t>
  </si>
  <si>
    <t>Long definition</t>
  </si>
  <si>
    <t>1960-2024</t>
  </si>
  <si>
    <t>Periodicity</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</si>
  <si>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</si>
  <si>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</si>
  <si>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</si>
  <si>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Manufacturing, value added (annual % growth)</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</si>
  <si>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</si>
  <si>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Labor force, total</t>
  </si>
  <si>
    <t>Time</t>
  </si>
  <si>
    <t>Singapore</t>
  </si>
  <si>
    <t>NV.IND.MANF.KD</t>
  </si>
  <si>
    <t>Unemployment refers to the share of the labor force that is without work but available for and seeking employment.</t>
  </si>
  <si>
    <t>Gap-filled total</t>
  </si>
  <si>
    <t>Economic Policy &amp; Debt: National accounts: US$ at constant 2015 prices: Expenditure on GDP</t>
  </si>
  <si>
    <t>Gross fixed capital formation (constant 2015 US$)</t>
  </si>
  <si>
    <t>Employment in agriculture (% of total employment) (modeled ILO estimate)</t>
  </si>
  <si>
    <t>constant 2015 US$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</si>
  <si>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</si>
  <si>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Employment in services (% of total employment) (modeled ILO estimate)</t>
  </si>
  <si>
    <t>Economic Policy &amp; Debt: National accounts: US$ at constant 2015 prices: Value added</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</si>
  <si>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</si>
  <si>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</si>
  <si>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</si>
  <si>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</si>
  <si>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</si>
  <si>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License URL</t>
  </si>
  <si>
    <t>NE.GDI.FTOT.KD</t>
  </si>
  <si>
    <t>Source</t>
  </si>
  <si>
    <t>Social Protection &amp; Labor: Labor force structure</t>
  </si>
  <si>
    <t>NV.IND.MANF.KD.ZG</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</si>
  <si>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</si>
  <si>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Unit of measure</t>
  </si>
  <si>
    <t>Other notes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</si>
  <si>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</si>
  <si>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</si>
  <si>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Indicator Name</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</si>
  <si>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</si>
  <si>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value added (constant 2015 US$)</t>
  </si>
  <si>
    <t>Economic Policy &amp; Debt: National accounts: Shares of GDP &amp; other</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</si>
  <si>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</si>
  <si>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Y</t>
  </si>
  <si>
    <t xml:space="preserve">Employment Rate </t>
  </si>
  <si>
    <t xml:space="preserve">Number employed </t>
  </si>
  <si>
    <t xml:space="preserve">Labour productivity </t>
  </si>
  <si>
    <t xml:space="preserve">Capital per employed </t>
  </si>
  <si>
    <t>E % =100 - U</t>
  </si>
  <si>
    <t>L = E% X Labour force</t>
  </si>
  <si>
    <t xml:space="preserve">Average </t>
  </si>
  <si>
    <t>% labour productivity</t>
  </si>
  <si>
    <t>%capital per employed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</si>
  <si>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</si>
  <si>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</si>
  <si>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</si>
  <si>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</si>
  <si>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</si>
  <si>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</si>
  <si>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</si>
  <si>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</si>
  <si>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</si>
  <si>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</si>
  <si>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</si>
  <si>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</si>
  <si>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</si>
  <si>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</si>
  <si>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</si>
  <si>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</si>
  <si>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</si>
  <si>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</si>
  <si>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</si>
  <si>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</si>
  <si>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</si>
  <si>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</si>
  <si>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</si>
  <si>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</si>
  <si>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 natural resources rents (% of GDP) [NY.GDP.TOTL.RT.ZS]</t>
  </si>
  <si>
    <t>Educational attainment, at least completed post-secondary, population 25+, total (%) (cumulative) [SE.SEC.CUAT.PO.ZS]</t>
  </si>
  <si>
    <t xml:space="preserve"> labour productivity growth</t>
  </si>
  <si>
    <t>=% change of Y/L</t>
  </si>
  <si>
    <t>K</t>
  </si>
  <si>
    <t>= K /L</t>
  </si>
  <si>
    <t>=% change of K/L</t>
  </si>
  <si>
    <t>H</t>
  </si>
  <si>
    <t>N</t>
  </si>
  <si>
    <t xml:space="preserve">Growth of L </t>
  </si>
  <si>
    <t>=% change in L</t>
  </si>
  <si>
    <t>Y/L</t>
  </si>
  <si>
    <t>Note you only take the year to year % point change</t>
  </si>
  <si>
    <t>Growth of N</t>
  </si>
  <si>
    <t xml:space="preserve">Growth of H </t>
  </si>
  <si>
    <t>Sectoral growth and employment to discuss evidence of industrialisation</t>
  </si>
  <si>
    <r>
      <t xml:space="preserve">at least completed  upper seondary </t>
    </r>
    <r>
      <rPr>
        <b/>
        <u/>
        <sz val="11"/>
        <color theme="1"/>
        <rFont val="Calibri"/>
        <family val="2"/>
        <scheme val="minor"/>
      </rPr>
      <t>OR</t>
    </r>
    <r>
      <rPr>
        <b/>
        <sz val="11"/>
        <color theme="1"/>
        <rFont val="Calibri"/>
        <family val="2"/>
        <scheme val="minor"/>
      </rPr>
      <t xml:space="preserve"> post-secondary, population 25+, total (%) </t>
    </r>
  </si>
  <si>
    <t>Cleaning data</t>
  </si>
  <si>
    <t xml:space="preserve">Enrolement rate for 2013 - 2016 </t>
  </si>
  <si>
    <t>Average rate =</t>
  </si>
  <si>
    <t xml:space="preserve"> growth of capital per employed</t>
  </si>
  <si>
    <t>General government final consumption expenditure (% of GDP) [NE.CON.GOVT.ZS]</t>
  </si>
  <si>
    <t>Households and NPISHs final consumption expenditure (% of GDP) [NE.CON.PRVT.ZS]</t>
  </si>
  <si>
    <t>Gross fixed capital formation (% of GDP) [NE.GDI.FTOT.ZS]</t>
  </si>
  <si>
    <t>External balance on goods and services (% of GDP) [NE.RSB.GNFS.ZS]</t>
  </si>
  <si>
    <t>G</t>
  </si>
  <si>
    <t>C</t>
  </si>
  <si>
    <t>I</t>
  </si>
  <si>
    <t>NX</t>
  </si>
  <si>
    <t>..</t>
  </si>
  <si>
    <t xml:space="preserve">Growth of employment in industry </t>
  </si>
  <si>
    <t>k</t>
  </si>
  <si>
    <t>y/L</t>
  </si>
  <si>
    <t>=k/L</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</si>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</sst>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b/>
      <u/>
      <sz val="11"/>
      <color theme="1"/>
      <name val="Calibri"/>
      <family val="2"/>
      <scheme val="minor"/>
    </font>
    <font>
      <sz val="14"/>
      <color theme="1"/>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8"/>
        <bgColor indexed="64"/>
      </patternFill>
    </fill>
    <fill>
      <patternFill patternType="solid">
        <fgColor theme="3" tint="0.59999389629810485"/>
        <bgColor indexed="64"/>
      </patternFill>
    </fill>
    <fill>
      <patternFill patternType="solid">
        <fgColor theme="9"/>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right/>
      <top/>
      <bottom style="double">
        <color indexed="64"/>
      </bottom>
      <diagonal/>
    </border>
  </borders>
  <cellStyleXfs count="2">
    <xf numFmtId="0" fontId="0" fillId="0" borderId="0"/>
    <xf numFmtId="9" fontId="2" fillId="0" borderId="0" applyFont="0" applyFill="0" applyBorder="0" applyAlignment="0" applyProtection="0"/>
  </cellStyleXfs>
  <cellXfs count="63">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3" borderId="0" xfId="0" applyFill="1" applyAlignment="1">
      <alignment horizontal="center" vertical="center" wrapText="1"/>
    </xf>
    <xf numFmtId="0" fontId="0" fillId="3" borderId="0" xfId="0" quotePrefix="1" applyFill="1" applyAlignment="1">
      <alignment horizontal="center" vertical="center"/>
    </xf>
    <xf numFmtId="0" fontId="0" fillId="3" borderId="0" xfId="0" applyFill="1" applyAlignment="1">
      <alignment horizontal="center" vertical="center"/>
    </xf>
    <xf numFmtId="10" fontId="0" fillId="3" borderId="0" xfId="1" applyNumberFormat="1" applyFont="1" applyFill="1" applyAlignment="1">
      <alignment horizontal="center" vertical="center"/>
    </xf>
    <xf numFmtId="164" fontId="0" fillId="3" borderId="0" xfId="1" applyNumberFormat="1" applyFont="1" applyFill="1" applyAlignment="1">
      <alignment horizontal="center" vertical="center" wrapText="1"/>
    </xf>
    <xf numFmtId="164" fontId="0" fillId="3" borderId="0" xfId="1" applyNumberFormat="1" applyFont="1" applyFill="1" applyAlignment="1">
      <alignment horizontal="center" vertical="center"/>
    </xf>
    <xf numFmtId="164" fontId="0" fillId="0" borderId="0" xfId="0" applyNumberFormat="1" applyAlignment="1">
      <alignment horizontal="center" vertical="center"/>
    </xf>
    <xf numFmtId="10" fontId="0" fillId="3" borderId="0" xfId="1" quotePrefix="1" applyNumberFormat="1" applyFont="1" applyFill="1" applyAlignment="1">
      <alignment horizontal="center" vertical="center"/>
    </xf>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4" borderId="0" xfId="0" applyFill="1"/>
    <xf numFmtId="0" fontId="0" fillId="4" borderId="1" xfId="0" applyFill="1" applyBorder="1"/>
    <xf numFmtId="0" fontId="3" fillId="4" borderId="2" xfId="0" applyFont="1" applyFill="1" applyBorder="1" applyAlignment="1">
      <alignment horizontal="center"/>
    </xf>
    <xf numFmtId="0" fontId="0" fillId="5" borderId="0" xfId="0" applyFill="1"/>
    <xf numFmtId="0" fontId="0" fillId="5" borderId="0" xfId="0" applyFill="1" applyAlignment="1">
      <alignment horizontal="center"/>
    </xf>
    <xf numFmtId="0" fontId="0" fillId="5" borderId="0" xfId="0" applyFill="1" applyAlignment="1">
      <alignment horizontal="center" vertical="center"/>
    </xf>
    <xf numFmtId="164" fontId="0" fillId="5" borderId="0" xfId="0" applyNumberFormat="1" applyFill="1" applyAlignment="1">
      <alignment horizontal="center" vertical="center"/>
    </xf>
    <xf numFmtId="10" fontId="0" fillId="5" borderId="0" xfId="1" applyNumberFormat="1" applyFont="1" applyFill="1" applyAlignment="1">
      <alignment horizontal="center" vertical="center"/>
    </xf>
    <xf numFmtId="0" fontId="0" fillId="2" borderId="0" xfId="0" applyFill="1" applyAlignment="1">
      <alignment horizontal="center" vertical="center"/>
    </xf>
    <xf numFmtId="0" fontId="0" fillId="6" borderId="0" xfId="0" quotePrefix="1" applyFill="1" applyAlignment="1">
      <alignment horizontal="center" vertical="center" wrapText="1"/>
    </xf>
    <xf numFmtId="0" fontId="0" fillId="6" borderId="0" xfId="0" applyFill="1"/>
    <xf numFmtId="0" fontId="0" fillId="3" borderId="0" xfId="0" quotePrefix="1" applyFill="1" applyAlignment="1">
      <alignment horizontal="center" vertical="center" wrapText="1"/>
    </xf>
    <xf numFmtId="164" fontId="0" fillId="3" borderId="0" xfId="1" quotePrefix="1" applyNumberFormat="1" applyFont="1" applyFill="1" applyAlignment="1">
      <alignment horizontal="center" vertical="center" wrapText="1"/>
    </xf>
    <xf numFmtId="0" fontId="0" fillId="7" borderId="0" xfId="0" applyFill="1" applyAlignment="1">
      <alignment horizontal="center"/>
    </xf>
    <xf numFmtId="0" fontId="0" fillId="7" borderId="0" xfId="0" applyFill="1"/>
    <xf numFmtId="10" fontId="0" fillId="7" borderId="0" xfId="1" quotePrefix="1" applyNumberFormat="1" applyFont="1" applyFill="1" applyAlignment="1">
      <alignment horizontal="center" vertical="center"/>
    </xf>
    <xf numFmtId="10" fontId="0" fillId="7" borderId="0" xfId="1" applyNumberFormat="1" applyFont="1" applyFill="1" applyAlignment="1">
      <alignment horizontal="center" vertical="center"/>
    </xf>
    <xf numFmtId="0" fontId="0" fillId="7" borderId="0" xfId="0" quotePrefix="1" applyFill="1" applyAlignment="1">
      <alignment horizontal="center" vertical="center" wrapText="1"/>
    </xf>
    <xf numFmtId="0" fontId="0" fillId="7" borderId="0" xfId="0" applyFill="1" applyAlignment="1">
      <alignment horizontal="center" vertical="center"/>
    </xf>
    <xf numFmtId="0" fontId="1" fillId="0" borderId="0" xfId="0" applyFont="1" applyAlignment="1">
      <alignment horizontal="center" vertical="center" wrapText="1"/>
    </xf>
    <xf numFmtId="0" fontId="1" fillId="7" borderId="0" xfId="0" applyFont="1" applyFill="1" applyAlignment="1">
      <alignment horizontal="center" vertical="center" wrapText="1"/>
    </xf>
    <xf numFmtId="0" fontId="1" fillId="3" borderId="0" xfId="0" applyFont="1" applyFill="1" applyAlignment="1">
      <alignment horizontal="center" vertical="center" wrapText="1"/>
    </xf>
    <xf numFmtId="164" fontId="1" fillId="3" borderId="0" xfId="1" applyNumberFormat="1" applyFont="1" applyFill="1" applyAlignment="1">
      <alignment horizontal="center" vertical="center" wrapText="1"/>
    </xf>
    <xf numFmtId="10" fontId="1" fillId="3" borderId="0" xfId="1" applyNumberFormat="1" applyFont="1" applyFill="1" applyAlignment="1">
      <alignment horizontal="center" vertical="center" wrapText="1"/>
    </xf>
    <xf numFmtId="10" fontId="1" fillId="7" borderId="0" xfId="1" applyNumberFormat="1" applyFont="1" applyFill="1" applyAlignment="1">
      <alignment horizontal="center" vertical="center" wrapText="1"/>
    </xf>
    <xf numFmtId="0" fontId="1" fillId="6" borderId="0" xfId="0" applyFont="1" applyFill="1" applyAlignment="1">
      <alignment horizontal="center" vertical="center" wrapText="1"/>
    </xf>
    <xf numFmtId="0" fontId="0" fillId="2" borderId="0" xfId="0" applyFill="1" applyAlignment="1">
      <alignment horizontal="center" vertical="center"/>
    </xf>
    <xf numFmtId="10" fontId="0" fillId="6" borderId="0" xfId="1" applyNumberFormat="1" applyFont="1" applyFill="1" applyAlignment="1">
      <alignment horizontal="center" vertical="center" wrapText="1"/>
    </xf>
    <xf numFmtId="10" fontId="0" fillId="6" borderId="0" xfId="1" applyNumberFormat="1" applyFont="1" applyFill="1" applyAlignment="1">
      <alignment horizontal="center" vertical="center"/>
    </xf>
    <xf numFmtId="0" fontId="0" fillId="8" borderId="0" xfId="0" applyFill="1"/>
    <xf numFmtId="10" fontId="0" fillId="8" borderId="0" xfId="1" applyNumberFormat="1" applyFont="1" applyFill="1" applyAlignment="1">
      <alignment horizontal="center" vertical="center"/>
    </xf>
    <xf numFmtId="0" fontId="3" fillId="0" borderId="2" xfId="0" applyFont="1" applyBorder="1" applyAlignment="1">
      <alignment horizontal="left" vertical="top"/>
    </xf>
    <xf numFmtId="0" fontId="0" fillId="9" borderId="0" xfId="0" applyFill="1"/>
    <xf numFmtId="0" fontId="0" fillId="9" borderId="1" xfId="0" applyFill="1" applyBorder="1"/>
    <xf numFmtId="0" fontId="0" fillId="2" borderId="0" xfId="0" quotePrefix="1" applyFill="1" applyAlignment="1">
      <alignment horizontal="center" vertical="center"/>
    </xf>
    <xf numFmtId="10" fontId="0" fillId="10" borderId="0" xfId="1" applyNumberFormat="1" applyFont="1" applyFill="1" applyAlignment="1">
      <alignment horizontal="center" vertical="center"/>
    </xf>
    <xf numFmtId="10" fontId="0" fillId="10" borderId="0" xfId="1" applyNumberFormat="1" applyFont="1"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vertical="center"/>
    </xf>
    <xf numFmtId="0" fontId="5" fillId="6" borderId="3" xfId="0" quotePrefix="1" applyFont="1" applyFill="1" applyBorder="1" applyAlignment="1">
      <alignment horizontal="center" vertical="center" wrapText="1"/>
    </xf>
    <xf numFmtId="0" fontId="5" fillId="0" borderId="3" xfId="0" applyFont="1" applyBorder="1" applyAlignment="1">
      <alignment horizontal="center" vertical="center" wrapText="1"/>
    </xf>
    <xf numFmtId="0" fontId="5" fillId="3"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3" borderId="3" xfId="0" quotePrefix="1" applyFont="1" applyFill="1" applyBorder="1" applyAlignment="1">
      <alignment horizontal="center" vertical="center" wrapText="1"/>
    </xf>
    <xf numFmtId="10" fontId="5" fillId="6" borderId="3" xfId="1" applyNumberFormat="1" applyFont="1" applyFill="1" applyBorder="1" applyAlignment="1">
      <alignment horizontal="center" vertical="center" wrapText="1"/>
    </xf>
    <xf numFmtId="164" fontId="5" fillId="3" borderId="3" xfId="1" applyNumberFormat="1" applyFont="1" applyFill="1" applyBorder="1" applyAlignment="1">
      <alignment horizontal="center" vertical="center" wrapText="1"/>
    </xf>
    <xf numFmtId="10" fontId="5" fillId="6" borderId="3" xfId="1" quotePrefix="1" applyNumberFormat="1" applyFont="1" applyFill="1" applyBorder="1" applyAlignment="1">
      <alignment horizontal="center" vertical="center" wrapText="1"/>
    </xf>
    <xf numFmtId="10" fontId="5" fillId="10" borderId="3" xfId="1" quotePrefix="1" applyNumberFormat="1"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1 :</a:t>
            </a:r>
            <a:r>
              <a:rPr lang="en-SG" baseline="0"/>
              <a:t> Component od spending in SG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1"/>
          <c:tx>
            <c:strRef>
              <c:f>'[1]spedning _SG'!$B$1</c:f>
              <c:strCache>
                <c:ptCount val="1"/>
                <c:pt idx="0">
                  <c:v>General government final consumption expenditure (% of GDP) [NE.CON.GOVT.ZS]</c:v>
                </c:pt>
              </c:strCache>
            </c:strRef>
          </c:tx>
          <c:spPr>
            <a:solidFill>
              <a:schemeClr val="accent2"/>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extLst>
            <c:ext xmlns:c16="http://schemas.microsoft.com/office/drawing/2014/chart" uri="{C3380CC4-5D6E-409C-BE32-E72D297353CC}">
              <c16:uniqueId val="{00000000-1A1F-4798-95C5-91771F425D4D}"/>
            </c:ext>
          </c:extLst>
        </c:ser>
        <c:ser>
          <c:idx val="2"/>
          <c:order val="2"/>
          <c:tx>
            <c:strRef>
              <c:f>'[1]spedning _SG'!$C$1</c:f>
              <c:strCache>
                <c:ptCount val="1"/>
                <c:pt idx="0">
                  <c:v>Households and NPISHs final consumption expenditure (% of GDP) [NE.CON.PRVT.ZS]</c:v>
                </c:pt>
              </c:strCache>
            </c:strRef>
          </c:tx>
          <c:spPr>
            <a:solidFill>
              <a:schemeClr val="accent3"/>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extLst>
            <c:ext xmlns:c16="http://schemas.microsoft.com/office/drawing/2014/chart" uri="{C3380CC4-5D6E-409C-BE32-E72D297353CC}">
              <c16:uniqueId val="{00000001-1A1F-4798-95C5-91771F425D4D}"/>
            </c:ext>
          </c:extLst>
        </c:ser>
        <c:ser>
          <c:idx val="3"/>
          <c:order val="3"/>
          <c:tx>
            <c:strRef>
              <c:f>'[1]spedning _SG'!$D$1</c:f>
              <c:strCache>
                <c:ptCount val="1"/>
                <c:pt idx="0">
                  <c:v>Gross fixed capital formation (% of GDP) [NE.GDI.FTOT.ZS]</c:v>
                </c:pt>
              </c:strCache>
            </c:strRef>
          </c:tx>
          <c:spPr>
            <a:solidFill>
              <a:schemeClr val="accent4"/>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extLst>
            <c:ext xmlns:c16="http://schemas.microsoft.com/office/drawing/2014/chart" uri="{C3380CC4-5D6E-409C-BE32-E72D297353CC}">
              <c16:uniqueId val="{00000002-1A1F-4798-95C5-91771F425D4D}"/>
            </c:ext>
          </c:extLst>
        </c:ser>
        <c:ser>
          <c:idx val="4"/>
          <c:order val="4"/>
          <c:tx>
            <c:strRef>
              <c:f>'[1]spedning _SG'!$E$1</c:f>
              <c:strCache>
                <c:ptCount val="1"/>
                <c:pt idx="0">
                  <c:v>External balance on goods and services (% of GDP) [NE.RSB.GNFS.ZS]</c:v>
                </c:pt>
              </c:strCache>
            </c:strRef>
          </c:tx>
          <c:spPr>
            <a:solidFill>
              <a:schemeClr val="accent5"/>
            </a:solidFill>
            <a:ln>
              <a:noFill/>
            </a:ln>
            <a:effectLst/>
            <a:sp3d/>
          </c:spPr>
          <c:invertIfNegative val="0"/>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extLst>
            <c:ext xmlns:c16="http://schemas.microsoft.com/office/drawing/2014/chart" uri="{C3380CC4-5D6E-409C-BE32-E72D297353CC}">
              <c16:uniqueId val="{00000003-1A1F-4798-95C5-91771F425D4D}"/>
            </c:ext>
          </c:extLst>
        </c:ser>
        <c:dLbls>
          <c:showLegendKey val="0"/>
          <c:showVal val="0"/>
          <c:showCatName val="0"/>
          <c:showSerName val="0"/>
          <c:showPercent val="0"/>
          <c:showBubbleSize val="0"/>
        </c:dLbls>
        <c:gapWidth val="150"/>
        <c:shape val="box"/>
        <c:axId val="1909330031"/>
        <c:axId val="1101060703"/>
        <c:axId val="0"/>
        <c:extLst>
          <c:ext xmlns:c15="http://schemas.microsoft.com/office/drawing/2012/chart" uri="{02D57815-91ED-43cb-92C2-25804820EDAC}">
            <c15:filteredBarSeries>
              <c15:ser>
                <c:idx val="0"/>
                <c:order val="0"/>
                <c:tx>
                  <c:strRef>
                    <c:extLst>
                      <c:ext uri="{02D57815-91ED-43cb-92C2-25804820EDAC}">
                        <c15:formulaRef>
                          <c15:sqref>'[1]spedning _SG'!$A$1</c15:sqref>
                        </c15:formulaRef>
                      </c:ext>
                    </c:extLst>
                    <c:strCache>
                      <c:ptCount val="1"/>
                      <c:pt idx="0">
                        <c:v>Time</c:v>
                      </c:pt>
                    </c:strCache>
                  </c:strRef>
                </c:tx>
                <c:spPr>
                  <a:solidFill>
                    <a:schemeClr val="accent1"/>
                  </a:solidFill>
                  <a:ln>
                    <a:noFill/>
                  </a:ln>
                  <a:effectLst/>
                  <a:sp3d/>
                </c:spPr>
                <c:invertIfNegative val="0"/>
                <c:cat>
                  <c:numRef>
                    <c:extLst>
                      <c:ext uri="{02D57815-91ED-43cb-92C2-25804820EDAC}">
                        <c15:formulaRef>
                          <c15:sqref>'[1]spedning _SG'!$A$3:$A$27</c15:sqref>
                        </c15:formulaRef>
                      </c:ext>
                    </c:extLst>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extLst>
                      <c:ext uri="{02D57815-91ED-43cb-92C2-25804820EDAC}">
                        <c15:formulaRef>
                          <c15:sqref>'[1]spedning _SG'!$A$2:$A$27</c15:sqref>
                        </c15:formulaRef>
                      </c:ext>
                    </c:extLst>
                    <c:numCache>
                      <c:formatCode>General</c:formatCode>
                      <c:ptCount val="26"/>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val>
                <c:extLst>
                  <c:ext xmlns:c16="http://schemas.microsoft.com/office/drawing/2014/chart" uri="{C3380CC4-5D6E-409C-BE32-E72D297353CC}">
                    <c16:uniqueId val="{00000004-1A1F-4798-95C5-91771F425D4D}"/>
                  </c:ext>
                </c:extLst>
              </c15:ser>
            </c15:filteredBarSeries>
          </c:ext>
        </c:extLst>
      </c:bar3DChart>
      <c:catAx>
        <c:axId val="190933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60703"/>
        <c:crosses val="autoZero"/>
        <c:auto val="1"/>
        <c:lblAlgn val="ctr"/>
        <c:lblOffset val="100"/>
        <c:noMultiLvlLbl val="0"/>
      </c:catAx>
      <c:valAx>
        <c:axId val="11010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3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2</a:t>
            </a:r>
            <a:r>
              <a:rPr lang="en-SG" baseline="0"/>
              <a:t> Components of spending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manualLayout>
          <c:layoutTarget val="inner"/>
          <c:xMode val="edge"/>
          <c:yMode val="edge"/>
          <c:x val="3.2939519078143339E-2"/>
          <c:y val="0.12808744865174593"/>
          <c:w val="0.70543313263399277"/>
          <c:h val="0.76135036707018"/>
        </c:manualLayout>
      </c:layout>
      <c:lineChart>
        <c:grouping val="standard"/>
        <c:varyColors val="0"/>
        <c:ser>
          <c:idx val="0"/>
          <c:order val="0"/>
          <c:tx>
            <c:strRef>
              <c:f>'[1]spedning _SG'!$B$1</c:f>
              <c:strCache>
                <c:ptCount val="1"/>
                <c:pt idx="0">
                  <c:v>General government final consumption expenditure (% of GDP) [NE.CON.GOVT.ZS]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_SG'!$B$2:$B$27</c:f>
              <c:numCache>
                <c:formatCode>General</c:formatCode>
                <c:ptCount val="26"/>
                <c:pt idx="1">
                  <c:v>10.504164644115525</c:v>
                </c:pt>
                <c:pt idx="2">
                  <c:v>11.609926556509718</c:v>
                </c:pt>
                <c:pt idx="3">
                  <c:v>11.84032888729563</c:v>
                </c:pt>
                <c:pt idx="4">
                  <c:v>11.4140839970397</c:v>
                </c:pt>
                <c:pt idx="5">
                  <c:v>10.318670184588006</c:v>
                </c:pt>
                <c:pt idx="6">
                  <c:v>9.8971432332187881</c:v>
                </c:pt>
                <c:pt idx="7">
                  <c:v>9.9069355027210513</c:v>
                </c:pt>
                <c:pt idx="8">
                  <c:v>9.1361273439883615</c:v>
                </c:pt>
                <c:pt idx="9">
                  <c:v>10.113213911286202</c:v>
                </c:pt>
                <c:pt idx="10">
                  <c:v>9.9299738486408202</c:v>
                </c:pt>
                <c:pt idx="11">
                  <c:v>9.6915683859659953</c:v>
                </c:pt>
                <c:pt idx="12">
                  <c:v>9.2368426370194889</c:v>
                </c:pt>
                <c:pt idx="13">
                  <c:v>8.8578668846884447</c:v>
                </c:pt>
                <c:pt idx="14">
                  <c:v>9.7442177273746502</c:v>
                </c:pt>
                <c:pt idx="15">
                  <c:v>9.6310320219758019</c:v>
                </c:pt>
                <c:pt idx="16">
                  <c:v>10.19090831587924</c:v>
                </c:pt>
                <c:pt idx="17">
                  <c:v>10.200372971650724</c:v>
                </c:pt>
                <c:pt idx="18">
                  <c:v>10.140018759338188</c:v>
                </c:pt>
                <c:pt idx="19">
                  <c:v>9.9398348941138064</c:v>
                </c:pt>
                <c:pt idx="20">
                  <c:v>10.253396494246401</c:v>
                </c:pt>
                <c:pt idx="21">
                  <c:v>12.190147791383446</c:v>
                </c:pt>
                <c:pt idx="22">
                  <c:v>10.532697743092175</c:v>
                </c:pt>
                <c:pt idx="23">
                  <c:v>9.1289494952629333</c:v>
                </c:pt>
                <c:pt idx="24">
                  <c:v>9.8421032695316715</c:v>
                </c:pt>
                <c:pt idx="25">
                  <c:v>10.05318763287927</c:v>
                </c:pt>
              </c:numCache>
            </c:numRef>
          </c:val>
          <c:smooth val="0"/>
          <c:extLst>
            <c:ext xmlns:c16="http://schemas.microsoft.com/office/drawing/2014/chart" uri="{C3380CC4-5D6E-409C-BE32-E72D297353CC}">
              <c16:uniqueId val="{00000002-5C02-475E-A0BB-F337821CA6D3}"/>
            </c:ext>
          </c:extLst>
        </c:ser>
        <c:ser>
          <c:idx val="1"/>
          <c:order val="1"/>
          <c:tx>
            <c:strRef>
              <c:f>'[1]spedning _SG'!$C$1</c:f>
              <c:strCache>
                <c:ptCount val="1"/>
                <c:pt idx="0">
                  <c:v>Households and NPISHs final consumption expenditure (% of GDP) [NE.CON.PRVT.ZS]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_SG'!$C$2:$C$27</c:f>
              <c:numCache>
                <c:formatCode>General</c:formatCode>
                <c:ptCount val="26"/>
                <c:pt idx="1">
                  <c:v>41.855216732958041</c:v>
                </c:pt>
                <c:pt idx="2">
                  <c:v>46.244971582292017</c:v>
                </c:pt>
                <c:pt idx="3">
                  <c:v>46.182484892705467</c:v>
                </c:pt>
                <c:pt idx="4">
                  <c:v>45.535361064297177</c:v>
                </c:pt>
                <c:pt idx="5">
                  <c:v>41.998426193084512</c:v>
                </c:pt>
                <c:pt idx="6">
                  <c:v>39.847877286424129</c:v>
                </c:pt>
                <c:pt idx="7">
                  <c:v>38.106096406316425</c:v>
                </c:pt>
                <c:pt idx="8">
                  <c:v>36.765963470158894</c:v>
                </c:pt>
                <c:pt idx="9">
                  <c:v>39.95092384654248</c:v>
                </c:pt>
                <c:pt idx="10">
                  <c:v>39.102921622057082</c:v>
                </c:pt>
                <c:pt idx="11">
                  <c:v>36.337838296581353</c:v>
                </c:pt>
                <c:pt idx="12">
                  <c:v>36.615610020152666</c:v>
                </c:pt>
                <c:pt idx="13">
                  <c:v>37.306048070547945</c:v>
                </c:pt>
                <c:pt idx="14">
                  <c:v>37.333460129295503</c:v>
                </c:pt>
                <c:pt idx="15">
                  <c:v>37.584381318964205</c:v>
                </c:pt>
                <c:pt idx="16">
                  <c:v>37.158080606153213</c:v>
                </c:pt>
                <c:pt idx="17">
                  <c:v>36.336754045415525</c:v>
                </c:pt>
                <c:pt idx="18">
                  <c:v>35.184722354653985</c:v>
                </c:pt>
                <c:pt idx="19">
                  <c:v>34.614491407338598</c:v>
                </c:pt>
                <c:pt idx="20">
                  <c:v>35.845393881281687</c:v>
                </c:pt>
                <c:pt idx="21">
                  <c:v>32.147432325908682</c:v>
                </c:pt>
                <c:pt idx="22">
                  <c:v>28.780240455600087</c:v>
                </c:pt>
                <c:pt idx="23">
                  <c:v>28.099108159151914</c:v>
                </c:pt>
                <c:pt idx="24">
                  <c:v>31.513116296958909</c:v>
                </c:pt>
                <c:pt idx="25">
                  <c:v>30.684280484260235</c:v>
                </c:pt>
              </c:numCache>
            </c:numRef>
          </c:val>
          <c:smooth val="0"/>
          <c:extLst>
            <c:ext xmlns:c16="http://schemas.microsoft.com/office/drawing/2014/chart" uri="{C3380CC4-5D6E-409C-BE32-E72D297353CC}">
              <c16:uniqueId val="{00000005-5C02-475E-A0BB-F337821CA6D3}"/>
            </c:ext>
          </c:extLst>
        </c:ser>
        <c:ser>
          <c:idx val="2"/>
          <c:order val="2"/>
          <c:tx>
            <c:strRef>
              <c:f>'[1]spedning _SG'!$D$1</c:f>
              <c:strCache>
                <c:ptCount val="1"/>
                <c:pt idx="0">
                  <c:v>Gross fixed capital formation (% of GDP) [NE.GDI.FTOT.ZS]</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_SG'!$D$2:$D$27</c:f>
              <c:numCache>
                <c:formatCode>General</c:formatCode>
                <c:ptCount val="26"/>
                <c:pt idx="1">
                  <c:v>32.326344362576407</c:v>
                </c:pt>
                <c:pt idx="2">
                  <c:v>30.887040232314138</c:v>
                </c:pt>
                <c:pt idx="3">
                  <c:v>26.751423220905973</c:v>
                </c:pt>
                <c:pt idx="4">
                  <c:v>24.766294434624459</c:v>
                </c:pt>
                <c:pt idx="5">
                  <c:v>24.281423420921346</c:v>
                </c:pt>
                <c:pt idx="6">
                  <c:v>23.187995656323011</c:v>
                </c:pt>
                <c:pt idx="7">
                  <c:v>23.086711145212458</c:v>
                </c:pt>
                <c:pt idx="8">
                  <c:v>24.375682074209674</c:v>
                </c:pt>
                <c:pt idx="9">
                  <c:v>27.978919594541324</c:v>
                </c:pt>
                <c:pt idx="10">
                  <c:v>28.837459653073982</c:v>
                </c:pt>
                <c:pt idx="11">
                  <c:v>25.569721215450116</c:v>
                </c:pt>
                <c:pt idx="12">
                  <c:v>25.264914637905171</c:v>
                </c:pt>
                <c:pt idx="13">
                  <c:v>26.429988298955582</c:v>
                </c:pt>
                <c:pt idx="14">
                  <c:v>27.548215593668829</c:v>
                </c:pt>
                <c:pt idx="15">
                  <c:v>28.128209222306971</c:v>
                </c:pt>
                <c:pt idx="16">
                  <c:v>27.222270897150295</c:v>
                </c:pt>
                <c:pt idx="17">
                  <c:v>25.877029477577924</c:v>
                </c:pt>
                <c:pt idx="18">
                  <c:v>25.115649681750725</c:v>
                </c:pt>
                <c:pt idx="19">
                  <c:v>22.351805620065026</c:v>
                </c:pt>
                <c:pt idx="20">
                  <c:v>22.799478885505962</c:v>
                </c:pt>
                <c:pt idx="21">
                  <c:v>20.999459350147131</c:v>
                </c:pt>
                <c:pt idx="22">
                  <c:v>22.078228221894115</c:v>
                </c:pt>
                <c:pt idx="23">
                  <c:v>20.338964403941983</c:v>
                </c:pt>
                <c:pt idx="24">
                  <c:v>21.87302410554809</c:v>
                </c:pt>
                <c:pt idx="25">
                  <c:v>21.037456033494557</c:v>
                </c:pt>
              </c:numCache>
            </c:numRef>
          </c:val>
          <c:smooth val="0"/>
          <c:extLst>
            <c:ext xmlns:c16="http://schemas.microsoft.com/office/drawing/2014/chart" uri="{C3380CC4-5D6E-409C-BE32-E72D297353CC}">
              <c16:uniqueId val="{00000008-5C02-475E-A0BB-F337821CA6D3}"/>
            </c:ext>
          </c:extLst>
        </c:ser>
        <c:ser>
          <c:idx val="3"/>
          <c:order val="3"/>
          <c:tx>
            <c:strRef>
              <c:f>'[1]spedning _SG'!$E$1</c:f>
              <c:strCache>
                <c:ptCount val="1"/>
                <c:pt idx="0">
                  <c:v>External balance on goods and services (% of GDP) [NE.RSB.GNFS.ZS]</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0"/>
            <c:dispEq val="0"/>
          </c:trendline>
          <c:trendline>
            <c:spPr>
              <a:ln w="19050" cap="rnd">
                <a:solidFill>
                  <a:schemeClr val="accent4"/>
                </a:solidFill>
                <a:prstDash val="sysDot"/>
              </a:ln>
              <a:effectLst/>
            </c:spPr>
            <c:trendlineType val="linear"/>
            <c:dispRSqr val="1"/>
            <c:dispEq val="1"/>
            <c:trendlineLbl>
              <c:layout>
                <c:manualLayout>
                  <c:x val="-1.4053987182176052E-2"/>
                  <c:y val="-8.1718708681451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'[1]spedning _SG'!$A$3:$A$27</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'[1]spedning _SG'!$E$2:$E$27</c:f>
              <c:numCache>
                <c:formatCode>General</c:formatCode>
                <c:ptCount val="26"/>
                <c:pt idx="1">
                  <c:v>12.337260101284532</c:v>
                </c:pt>
                <c:pt idx="2">
                  <c:v>16.496255724564534</c:v>
                </c:pt>
                <c:pt idx="3">
                  <c:v>18.426222147387328</c:v>
                </c:pt>
                <c:pt idx="4">
                  <c:v>27.953848478026121</c:v>
                </c:pt>
                <c:pt idx="5">
                  <c:v>26.379678346782697</c:v>
                </c:pt>
                <c:pt idx="6">
                  <c:v>29.88882255327351</c:v>
                </c:pt>
                <c:pt idx="7">
                  <c:v>30.711834579105247</c:v>
                </c:pt>
                <c:pt idx="8">
                  <c:v>31.270315543664491</c:v>
                </c:pt>
                <c:pt idx="9">
                  <c:v>20.660826979180964</c:v>
                </c:pt>
                <c:pt idx="10">
                  <c:v>23.497058193413821</c:v>
                </c:pt>
                <c:pt idx="11">
                  <c:v>26.312365798407917</c:v>
                </c:pt>
                <c:pt idx="12">
                  <c:v>27.556785921536942</c:v>
                </c:pt>
                <c:pt idx="13">
                  <c:v>24.226259963852854</c:v>
                </c:pt>
                <c:pt idx="14">
                  <c:v>23.113812627266899</c:v>
                </c:pt>
                <c:pt idx="15">
                  <c:v>23.439752408773177</c:v>
                </c:pt>
                <c:pt idx="16">
                  <c:v>27.297818059101541</c:v>
                </c:pt>
                <c:pt idx="17">
                  <c:v>26.253769658413212</c:v>
                </c:pt>
                <c:pt idx="18">
                  <c:v>26.545597667222111</c:v>
                </c:pt>
                <c:pt idx="19">
                  <c:v>29.700268952184881</c:v>
                </c:pt>
                <c:pt idx="20">
                  <c:v>29.367995967723893</c:v>
                </c:pt>
                <c:pt idx="21">
                  <c:v>31.279400415186071</c:v>
                </c:pt>
                <c:pt idx="22">
                  <c:v>35.785344863952751</c:v>
                </c:pt>
                <c:pt idx="23">
                  <c:v>39.774395154749833</c:v>
                </c:pt>
                <c:pt idx="24">
                  <c:v>37.158805824026295</c:v>
                </c:pt>
                <c:pt idx="25">
                  <c:v>36.012331849548822</c:v>
                </c:pt>
              </c:numCache>
            </c:numRef>
          </c:val>
          <c:smooth val="0"/>
          <c:extLst>
            <c:ext xmlns:c16="http://schemas.microsoft.com/office/drawing/2014/chart" uri="{C3380CC4-5D6E-409C-BE32-E72D297353CC}">
              <c16:uniqueId val="{0000000B-5C02-475E-A0BB-F337821CA6D3}"/>
            </c:ext>
          </c:extLst>
        </c:ser>
        <c:dLbls>
          <c:showLegendKey val="0"/>
          <c:showVal val="0"/>
          <c:showCatName val="0"/>
          <c:showSerName val="0"/>
          <c:showPercent val="0"/>
          <c:showBubbleSize val="0"/>
        </c:dLbls>
        <c:smooth val="0"/>
        <c:axId val="1862092607"/>
        <c:axId val="1508785919"/>
      </c:lineChart>
      <c:catAx>
        <c:axId val="18620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85919"/>
        <c:crosses val="autoZero"/>
        <c:auto val="1"/>
        <c:lblAlgn val="ctr"/>
        <c:lblOffset val="100"/>
        <c:noMultiLvlLbl val="0"/>
      </c:catAx>
      <c:valAx>
        <c:axId val="150878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92607"/>
        <c:crosses val="autoZero"/>
        <c:crossBetween val="between"/>
      </c:valAx>
      <c:spPr>
        <a:noFill/>
        <a:ln>
          <a:noFill/>
        </a:ln>
        <a:effectLst/>
      </c:spPr>
    </c:plotArea>
    <c:legend>
      <c:legendPos val="r"/>
      <c:layout>
        <c:manualLayout>
          <c:xMode val="edge"/>
          <c:yMode val="edge"/>
          <c:x val="0.74841119452223026"/>
          <c:y val="9.6617065546241637E-2"/>
          <c:w val="0.24298434021197474"/>
          <c:h val="0.82051928396028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Chart 3 Trend</a:t>
            </a:r>
            <a:r>
              <a:rPr lang="en-SG" baseline="0"/>
              <a:t> of sectoral growth in SIngapore </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lotArea>
      <c:layout/>
      <c:lineChart>
        <c:grouping val="standard"/>
        <c:varyColors val="0"/>
        <c:ser>
          <c:idx val="1"/>
          <c:order val="1"/>
          <c:tx>
            <c:strRef>
              <c:f>'[1]chart 1_sg'!$C$1</c:f>
              <c:strCache>
                <c:ptCount val="1"/>
                <c:pt idx="0">
                  <c:v>Agriculture, forestry, and fishing, value added (% of GDP)</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1_sg'!$C$2:$C$26</c:f>
              <c:numCache>
                <c:formatCode>General</c:formatCode>
                <c:ptCount val="25"/>
                <c:pt idx="0">
                  <c:v>9.2131732680321002E-2</c:v>
                </c:pt>
                <c:pt idx="1">
                  <c:v>8.2356655909540694E-2</c:v>
                </c:pt>
                <c:pt idx="2">
                  <c:v>7.1032800014001363E-2</c:v>
                </c:pt>
                <c:pt idx="3">
                  <c:v>6.1134072311026647E-2</c:v>
                </c:pt>
                <c:pt idx="4">
                  <c:v>5.5648989626246571E-2</c:v>
                </c:pt>
                <c:pt idx="5">
                  <c:v>5.5048114214259862E-2</c:v>
                </c:pt>
                <c:pt idx="6">
                  <c:v>4.8865424451682515E-2</c:v>
                </c:pt>
                <c:pt idx="7">
                  <c:v>4.286799737144735E-2</c:v>
                </c:pt>
                <c:pt idx="8">
                  <c:v>4.1432188466446869E-2</c:v>
                </c:pt>
                <c:pt idx="9">
                  <c:v>4.0687761270138054E-2</c:v>
                </c:pt>
                <c:pt idx="10">
                  <c:v>3.614898888342135E-2</c:v>
                </c:pt>
                <c:pt idx="11">
                  <c:v>3.4607600751235389E-2</c:v>
                </c:pt>
                <c:pt idx="12">
                  <c:v>3.3272726533169004E-2</c:v>
                </c:pt>
                <c:pt idx="13">
                  <c:v>3.4375216793813404E-2</c:v>
                </c:pt>
                <c:pt idx="14">
                  <c:v>3.4540851073536168E-2</c:v>
                </c:pt>
                <c:pt idx="15">
                  <c:v>3.2613513802648333E-2</c:v>
                </c:pt>
                <c:pt idx="16">
                  <c:v>3.1521289438126224E-2</c:v>
                </c:pt>
                <c:pt idx="17">
                  <c:v>3.0763583755226389E-2</c:v>
                </c:pt>
                <c:pt idx="18">
                  <c:v>3.0117148236328394E-2</c:v>
                </c:pt>
                <c:pt idx="19">
                  <c:v>3.2252130199608528E-2</c:v>
                </c:pt>
                <c:pt idx="20">
                  <c:v>3.281725211869508E-2</c:v>
                </c:pt>
                <c:pt idx="21">
                  <c:v>3.0551368665513827E-2</c:v>
                </c:pt>
                <c:pt idx="22">
                  <c:v>2.597731637364643E-2</c:v>
                </c:pt>
                <c:pt idx="23">
                  <c:v>2.8849802007551339E-2</c:v>
                </c:pt>
                <c:pt idx="24">
                  <c:v>2.7439170694473516E-2</c:v>
                </c:pt>
              </c:numCache>
            </c:numRef>
          </c:val>
          <c:smooth val="0"/>
          <c:extLst>
            <c:ext xmlns:c16="http://schemas.microsoft.com/office/drawing/2014/chart" uri="{C3380CC4-5D6E-409C-BE32-E72D297353CC}">
              <c16:uniqueId val="{00000002-D884-457C-98E9-E096E964112D}"/>
            </c:ext>
          </c:extLst>
        </c:ser>
        <c:dLbls>
          <c:showLegendKey val="0"/>
          <c:showVal val="0"/>
          <c:showCatName val="0"/>
          <c:showSerName val="0"/>
          <c:showPercent val="0"/>
          <c:showBubbleSize val="0"/>
        </c:dLbls>
        <c:marker val="1"/>
        <c:smooth val="0"/>
        <c:axId val="1775022287"/>
        <c:axId val="1160156799"/>
      </c:lineChart>
      <c:lineChart>
        <c:grouping val="standard"/>
        <c:varyColors val="0"/>
        <c:ser>
          <c:idx val="0"/>
          <c:order val="0"/>
          <c:tx>
            <c:strRef>
              <c:f>'[1]chart 1_sg'!$B$1</c:f>
              <c:strCache>
                <c:ptCount val="1"/>
                <c:pt idx="0">
                  <c:v>Manufacturing, value added (% of GDP)</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numRef>
              <c:f>'[1]chart 1_sg'!$A$2:$A$26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'[1]chart 1_sg'!$B$2:$B$26</c:f>
              <c:numCache>
                <c:formatCode>0.0000</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val>
          <c:smooth val="0"/>
          <c:extLst>
            <c:ext xmlns:c16="http://schemas.microsoft.com/office/drawing/2014/chart" uri="{C3380CC4-5D6E-409C-BE32-E72D297353CC}">
              <c16:uniqueId val="{00000006-D884-457C-98E9-E096E964112D}"/>
            </c:ext>
          </c:extLst>
        </c:ser>
        <c:dLbls>
          <c:showLegendKey val="0"/>
          <c:showVal val="0"/>
          <c:showCatName val="0"/>
          <c:showSerName val="0"/>
          <c:showPercent val="0"/>
          <c:showBubbleSize val="0"/>
        </c:dLbls>
        <c:marker val="1"/>
        <c:smooth val="0"/>
        <c:axId val="1775029247"/>
        <c:axId val="1160150079"/>
      </c:lineChart>
      <c:catAx>
        <c:axId val="177502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56799"/>
        <c:crosses val="autoZero"/>
        <c:auto val="1"/>
        <c:lblAlgn val="ctr"/>
        <c:lblOffset val="100"/>
        <c:noMultiLvlLbl val="0"/>
      </c:catAx>
      <c:valAx>
        <c:axId val="116015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2287"/>
        <c:crosses val="autoZero"/>
        <c:crossBetween val="between"/>
      </c:valAx>
      <c:valAx>
        <c:axId val="1160150079"/>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29247"/>
        <c:crosses val="max"/>
        <c:crossBetween val="between"/>
      </c:valAx>
      <c:catAx>
        <c:axId val="1775029247"/>
        <c:scaling>
          <c:orientation val="minMax"/>
        </c:scaling>
        <c:delete val="1"/>
        <c:axPos val="b"/>
        <c:numFmt formatCode="General" sourceLinked="1"/>
        <c:majorTickMark val="out"/>
        <c:minorTickMark val="none"/>
        <c:tickLblPos val="nextTo"/>
        <c:crossAx val="1160150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4 : Employment in agriculture (% of total employment) (modeled ILO estimate)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197986201137776E-2"/>
          <c:y val="0.25331180345118481"/>
          <c:w val="0.88967037966922158"/>
          <c:h val="0.66879302900972992"/>
        </c:manualLayout>
      </c:layout>
      <c:scatterChart>
        <c:scatterStyle val="lineMarker"/>
        <c:varyColors val="0"/>
        <c:ser>
          <c:idx val="0"/>
          <c:order val="0"/>
          <c:tx>
            <c:strRef>
              <c:f>'[1]chart 2 and 3'!$O$1</c:f>
              <c:strCache>
                <c:ptCount val="1"/>
                <c:pt idx="0">
                  <c:v>Employment in agriculture (% of total employment) (modeled ILO estimate)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9.9767033169664385E-2"/>
                  <c:y val="0.208472487217053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'[1]chart 2 and 3'!$N$2:$N$26</c:f>
              <c:numCache>
                <c:formatCode>General</c:formatCode>
                <c:ptCount val="25"/>
                <c:pt idx="0">
                  <c:v>25.861486037755899</c:v>
                </c:pt>
                <c:pt idx="1">
                  <c:v>23.394697847414562</c:v>
                </c:pt>
                <c:pt idx="2">
                  <c:v>24.737640322972926</c:v>
                </c:pt>
                <c:pt idx="3">
                  <c:v>24.765412693196893</c:v>
                </c:pt>
                <c:pt idx="4">
                  <c:v>27.119367597064286</c:v>
                </c:pt>
                <c:pt idx="5">
                  <c:v>27.076761798207059</c:v>
                </c:pt>
                <c:pt idx="6">
                  <c:v>26.578005985802772</c:v>
                </c:pt>
                <c:pt idx="7">
                  <c:v>23.822651904527213</c:v>
                </c:pt>
                <c:pt idx="8">
                  <c:v>20.585664973848445</c:v>
                </c:pt>
                <c:pt idx="9">
                  <c:v>20.273376429073512</c:v>
                </c:pt>
                <c:pt idx="10">
                  <c:v>20.773833025312548</c:v>
                </c:pt>
                <c:pt idx="11">
                  <c:v>19.582551507977822</c:v>
                </c:pt>
                <c:pt idx="12">
                  <c:v>19.116821980066192</c:v>
                </c:pt>
                <c:pt idx="13">
                  <c:v>17.638409614875453</c:v>
                </c:pt>
                <c:pt idx="14">
                  <c:v>17.999768892128522</c:v>
                </c:pt>
                <c:pt idx="15">
                  <c:v>18.089329854873405</c:v>
                </c:pt>
                <c:pt idx="16">
                  <c:v>17.441961312599027</c:v>
                </c:pt>
                <c:pt idx="17">
                  <c:v>18.545847537786003</c:v>
                </c:pt>
                <c:pt idx="18">
                  <c:v>20.717845766781217</c:v>
                </c:pt>
                <c:pt idx="19">
                  <c:v>19.40403130191034</c:v>
                </c:pt>
                <c:pt idx="20">
                  <c:v>19.653984525036179</c:v>
                </c:pt>
                <c:pt idx="21">
                  <c:v>20.633068003561824</c:v>
                </c:pt>
                <c:pt idx="22">
                  <c:v>19.655537649937781</c:v>
                </c:pt>
                <c:pt idx="23">
                  <c:v>16.975559443779353</c:v>
                </c:pt>
                <c:pt idx="24">
                  <c:v>16.332704934853503</c:v>
                </c:pt>
              </c:numCache>
            </c:numRef>
          </c:xVal>
          <c:yVal>
            <c:numRef>
              <c:f>'[1]chart 2 and 3'!$O$2:$O$26</c:f>
              <c:numCache>
                <c:formatCode>General</c:formatCode>
                <c:ptCount val="25"/>
                <c:pt idx="0">
                  <c:v>0.17689908365402099</c:v>
                </c:pt>
                <c:pt idx="1">
                  <c:v>0.173741005150197</c:v>
                </c:pt>
                <c:pt idx="2">
                  <c:v>0.16944763175838501</c:v>
                </c:pt>
                <c:pt idx="3">
                  <c:v>0.16459654177274699</c:v>
                </c:pt>
                <c:pt idx="4">
                  <c:v>0.15970081754349399</c:v>
                </c:pt>
                <c:pt idx="5">
                  <c:v>0.155212233759282</c:v>
                </c:pt>
                <c:pt idx="6">
                  <c:v>0.15069969562712299</c:v>
                </c:pt>
                <c:pt idx="7">
                  <c:v>0.14645508484910399</c:v>
                </c:pt>
                <c:pt idx="8">
                  <c:v>0.14231124802675299</c:v>
                </c:pt>
                <c:pt idx="9">
                  <c:v>0.13906365808080101</c:v>
                </c:pt>
                <c:pt idx="10">
                  <c:v>0.13561924621409599</c:v>
                </c:pt>
                <c:pt idx="11">
                  <c:v>0.13246039834856399</c:v>
                </c:pt>
                <c:pt idx="12">
                  <c:v>0.12955873329242601</c:v>
                </c:pt>
                <c:pt idx="13">
                  <c:v>0.12679854020966699</c:v>
                </c:pt>
                <c:pt idx="14">
                  <c:v>0.124092213197688</c:v>
                </c:pt>
                <c:pt idx="15">
                  <c:v>0.12145966005548101</c:v>
                </c:pt>
                <c:pt idx="16">
                  <c:v>0.11897925916280699</c:v>
                </c:pt>
                <c:pt idx="17">
                  <c:v>0.117077595142899</c:v>
                </c:pt>
                <c:pt idx="18">
                  <c:v>0.115089283007242</c:v>
                </c:pt>
                <c:pt idx="19">
                  <c:v>0.113041897035994</c:v>
                </c:pt>
                <c:pt idx="20">
                  <c:v>0.108162685533748</c:v>
                </c:pt>
                <c:pt idx="21">
                  <c:v>0.107777556138585</c:v>
                </c:pt>
                <c:pt idx="22">
                  <c:v>9.0952445633474793E-2</c:v>
                </c:pt>
                <c:pt idx="23">
                  <c:v>7.9580186024164501E-2</c:v>
                </c:pt>
                <c:pt idx="24">
                  <c:v>9.7983733027354095E-2</c:v>
                </c:pt>
              </c:numCache>
            </c:numRef>
          </c:yVal>
          <c:smooth val="0"/>
          <c:extLst>
            <c:ext xmlns:c16="http://schemas.microsoft.com/office/drawing/2014/chart" uri="{C3380CC4-5D6E-409C-BE32-E72D297353CC}">
              <c16:uniqueId val="{00000002-6B86-4E67-8F72-3099E766A6C5}"/>
            </c:ext>
          </c:extLst>
        </c:ser>
        <c:dLbls>
          <c:showLegendKey val="0"/>
          <c:showVal val="0"/>
          <c:showCatName val="0"/>
          <c:showSerName val="0"/>
          <c:showPercent val="0"/>
          <c:showBubbleSize val="0"/>
        </c:dLbls>
        <c:axId val="1446838415"/>
        <c:axId val="2092640831"/>
      </c:scatterChart>
      <c:valAx>
        <c:axId val="1446838415"/>
        <c:scaling>
          <c:orientation val="minMax"/>
          <c:min val="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40831"/>
        <c:crosses val="autoZero"/>
        <c:crossBetween val="midCat"/>
      </c:valAx>
      <c:valAx>
        <c:axId val="209264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384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614596</xdr:colOff>
      <xdr:row>1</xdr:row>
      <xdr:rowOff>23812</xdr:rowOff>
    </xdr:from>
    <xdr:to>
      <xdr:col>8</xdr:col>
      <xdr:colOff>185738</xdr:colOff>
      <xdr:row>21</xdr:row>
      <xdr:rowOff>128587</xdr:rowOff>
    </xdr:to>
    <xdr:graphicFrame macro="">
      <xdr:nvGraphicFramePr>
        <xdr:cNvPr id="2" name="Chart 1">
          <a:extLst>
            <a:ext uri="{FF2B5EF4-FFF2-40B4-BE49-F238E27FC236}">
              <a16:creationId xmlns:a16="http://schemas.microsoft.com/office/drawing/2014/main" id="{334C884E-3DAC-431D-9588-A90536885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528636</xdr:colOff>
      <xdr:row>1</xdr:row>
      <xdr:rowOff>45515</xdr:rowOff>
    </xdr:from>
    <xdr:to>
      <xdr:col>16</xdr:col>
      <xdr:colOff>157163</xdr:colOff>
      <xdr:row>21</xdr:row>
      <xdr:rowOff>66675</xdr:rowOff>
    </xdr:to>
    <xdr:graphicFrame macro="">
      <xdr:nvGraphicFramePr>
        <xdr:cNvPr id="3" name="Chart 2">
          <a:extLst>
            <a:ext uri="{FF2B5EF4-FFF2-40B4-BE49-F238E27FC236}">
              <a16:creationId xmlns:a16="http://schemas.microsoft.com/office/drawing/2014/main" id="{E45A9739-C47C-4C19-948F-393DA545C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10</xdr:col>
      <xdr:colOff>361950</xdr:colOff>
      <xdr:row>42</xdr:row>
      <xdr:rowOff>128586</xdr:rowOff>
    </xdr:to>
    <xdr:graphicFrame macro="">
      <xdr:nvGraphicFramePr>
        <xdr:cNvPr id="4" name="Chart 3">
          <a:extLst>
            <a:ext uri="{FF2B5EF4-FFF2-40B4-BE49-F238E27FC236}">
              <a16:creationId xmlns:a16="http://schemas.microsoft.com/office/drawing/2014/main" id="{529514BD-2571-4A78-8C58-42C176E1F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24</xdr:row>
      <xdr:rowOff>0</xdr:rowOff>
    </xdr:from>
    <xdr:to>
      <xdr:col>19</xdr:col>
      <xdr:colOff>154782</xdr:colOff>
      <xdr:row>40</xdr:row>
      <xdr:rowOff>71439</xdr:rowOff>
    </xdr:to>
    <xdr:graphicFrame macro="">
      <xdr:nvGraphicFramePr>
        <xdr:cNvPr id="5" name="Chart 4">
          <a:extLst>
            <a:ext uri="{FF2B5EF4-FFF2-40B4-BE49-F238E27FC236}">
              <a16:creationId xmlns:a16="http://schemas.microsoft.com/office/drawing/2014/main" id="{3241C420-CF49-426D-8B9D-A4BBF3A64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izlinkconsultingpteltd-my.sharepoint.com/personal/clare_kon_wizlink_biz/Documents/UOW2026/tutorial/tutorial%20assignment%201%20data_clare%20.xlsx" TargetMode="External"/><Relationship Id="rId1" Type="http://schemas.openxmlformats.org/officeDocument/2006/relationships/externalLinkPath" Target="tutorial%20assignment%201%20data_clare%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bangladesh"/>
      <sheetName val="japan"/>
      <sheetName val="kaza"/>
      <sheetName val="malaysia"/>
      <sheetName val="mauritius"/>
      <sheetName val="pakistan"/>
      <sheetName val="saudi"/>
      <sheetName val="sg"/>
      <sheetName val="sg regression 2"/>
      <sheetName val="Sheet5"/>
      <sheetName val="chart A_sg"/>
      <sheetName val="spedning _SG"/>
      <sheetName val="chart 2 and 3"/>
      <sheetName val="chart 1_sg"/>
      <sheetName val="regression 1_sg "/>
      <sheetName val="regression 3_sg"/>
      <sheetName val="Series - Meta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Time</v>
          </cell>
          <cell r="B1" t="str">
            <v>General government final consumption expenditure (% of GDP) [NE.CON.GOVT.ZS]</v>
          </cell>
          <cell r="C1" t="str">
            <v>Households and NPISHs final consumption expenditure (% of GDP) [NE.CON.PRVT.ZS]</v>
          </cell>
          <cell r="D1" t="str">
            <v>Gross fixed capital formation (% of GDP) [NE.GDI.FTOT.ZS]</v>
          </cell>
          <cell r="E1" t="str">
            <v>External balance on goods and services (% of GDP) [NE.RSB.GNFS.ZS]</v>
          </cell>
        </row>
        <row r="3">
          <cell r="A3">
            <v>2000</v>
          </cell>
          <cell r="B3">
            <v>10.504164644115525</v>
          </cell>
          <cell r="C3">
            <v>41.855216732958041</v>
          </cell>
          <cell r="D3">
            <v>32.326344362576407</v>
          </cell>
          <cell r="E3">
            <v>12.337260101284532</v>
          </cell>
        </row>
        <row r="4">
          <cell r="A4">
            <v>2001</v>
          </cell>
          <cell r="B4">
            <v>11.609926556509718</v>
          </cell>
          <cell r="C4">
            <v>46.244971582292017</v>
          </cell>
          <cell r="D4">
            <v>30.887040232314138</v>
          </cell>
          <cell r="E4">
            <v>16.496255724564534</v>
          </cell>
        </row>
        <row r="5">
          <cell r="A5">
            <v>2002</v>
          </cell>
          <cell r="B5">
            <v>11.84032888729563</v>
          </cell>
          <cell r="C5">
            <v>46.182484892705467</v>
          </cell>
          <cell r="D5">
            <v>26.751423220905973</v>
          </cell>
          <cell r="E5">
            <v>18.426222147387328</v>
          </cell>
        </row>
        <row r="6">
          <cell r="A6">
            <v>2003</v>
          </cell>
          <cell r="B6">
            <v>11.4140839970397</v>
          </cell>
          <cell r="C6">
            <v>45.535361064297177</v>
          </cell>
          <cell r="D6">
            <v>24.766294434624459</v>
          </cell>
          <cell r="E6">
            <v>27.953848478026121</v>
          </cell>
        </row>
        <row r="7">
          <cell r="A7">
            <v>2004</v>
          </cell>
          <cell r="B7">
            <v>10.318670184588006</v>
          </cell>
          <cell r="C7">
            <v>41.998426193084512</v>
          </cell>
          <cell r="D7">
            <v>24.281423420921346</v>
          </cell>
          <cell r="E7">
            <v>26.379678346782697</v>
          </cell>
        </row>
        <row r="8">
          <cell r="A8">
            <v>2005</v>
          </cell>
          <cell r="B8">
            <v>9.8971432332187881</v>
          </cell>
          <cell r="C8">
            <v>39.847877286424129</v>
          </cell>
          <cell r="D8">
            <v>23.187995656323011</v>
          </cell>
          <cell r="E8">
            <v>29.88882255327351</v>
          </cell>
        </row>
        <row r="9">
          <cell r="A9">
            <v>2006</v>
          </cell>
          <cell r="B9">
            <v>9.9069355027210513</v>
          </cell>
          <cell r="C9">
            <v>38.106096406316425</v>
          </cell>
          <cell r="D9">
            <v>23.086711145212458</v>
          </cell>
          <cell r="E9">
            <v>30.711834579105247</v>
          </cell>
        </row>
        <row r="10">
          <cell r="A10">
            <v>2007</v>
          </cell>
          <cell r="B10">
            <v>9.1361273439883615</v>
          </cell>
          <cell r="C10">
            <v>36.765963470158894</v>
          </cell>
          <cell r="D10">
            <v>24.375682074209674</v>
          </cell>
          <cell r="E10">
            <v>31.270315543664491</v>
          </cell>
        </row>
        <row r="11">
          <cell r="A11">
            <v>2008</v>
          </cell>
          <cell r="B11">
            <v>10.113213911286202</v>
          </cell>
          <cell r="C11">
            <v>39.95092384654248</v>
          </cell>
          <cell r="D11">
            <v>27.978919594541324</v>
          </cell>
          <cell r="E11">
            <v>20.660826979180964</v>
          </cell>
        </row>
        <row r="12">
          <cell r="A12">
            <v>2009</v>
          </cell>
          <cell r="B12">
            <v>9.9299738486408202</v>
          </cell>
          <cell r="C12">
            <v>39.102921622057082</v>
          </cell>
          <cell r="D12">
            <v>28.837459653073982</v>
          </cell>
          <cell r="E12">
            <v>23.497058193413821</v>
          </cell>
        </row>
        <row r="13">
          <cell r="A13">
            <v>2010</v>
          </cell>
          <cell r="B13">
            <v>9.6915683859659953</v>
          </cell>
          <cell r="C13">
            <v>36.337838296581353</v>
          </cell>
          <cell r="D13">
            <v>25.569721215450116</v>
          </cell>
          <cell r="E13">
            <v>26.312365798407917</v>
          </cell>
        </row>
        <row r="14">
          <cell r="A14">
            <v>2011</v>
          </cell>
          <cell r="B14">
            <v>9.2368426370194889</v>
          </cell>
          <cell r="C14">
            <v>36.615610020152666</v>
          </cell>
          <cell r="D14">
            <v>25.264914637905171</v>
          </cell>
          <cell r="E14">
            <v>27.556785921536942</v>
          </cell>
        </row>
        <row r="15">
          <cell r="A15">
            <v>2012</v>
          </cell>
          <cell r="B15">
            <v>8.8578668846884447</v>
          </cell>
          <cell r="C15">
            <v>37.306048070547945</v>
          </cell>
          <cell r="D15">
            <v>26.429988298955582</v>
          </cell>
          <cell r="E15">
            <v>24.226259963852854</v>
          </cell>
        </row>
        <row r="16">
          <cell r="A16">
            <v>2013</v>
          </cell>
          <cell r="B16">
            <v>9.7442177273746502</v>
          </cell>
          <cell r="C16">
            <v>37.333460129295503</v>
          </cell>
          <cell r="D16">
            <v>27.548215593668829</v>
          </cell>
          <cell r="E16">
            <v>23.113812627266899</v>
          </cell>
        </row>
        <row r="17">
          <cell r="A17">
            <v>2014</v>
          </cell>
          <cell r="B17">
            <v>9.6310320219758019</v>
          </cell>
          <cell r="C17">
            <v>37.584381318964205</v>
          </cell>
          <cell r="D17">
            <v>28.128209222306971</v>
          </cell>
          <cell r="E17">
            <v>23.439752408773177</v>
          </cell>
        </row>
        <row r="18">
          <cell r="A18">
            <v>2015</v>
          </cell>
          <cell r="B18">
            <v>10.19090831587924</v>
          </cell>
          <cell r="C18">
            <v>37.158080606153213</v>
          </cell>
          <cell r="D18">
            <v>27.222270897150295</v>
          </cell>
          <cell r="E18">
            <v>27.297818059101541</v>
          </cell>
        </row>
        <row r="19">
          <cell r="A19">
            <v>2016</v>
          </cell>
          <cell r="B19">
            <v>10.200372971650724</v>
          </cell>
          <cell r="C19">
            <v>36.336754045415525</v>
          </cell>
          <cell r="D19">
            <v>25.877029477577924</v>
          </cell>
          <cell r="E19">
            <v>26.253769658413212</v>
          </cell>
        </row>
        <row r="20">
          <cell r="A20">
            <v>2017</v>
          </cell>
          <cell r="B20">
            <v>10.140018759338188</v>
          </cell>
          <cell r="C20">
            <v>35.184722354653985</v>
          </cell>
          <cell r="D20">
            <v>25.115649681750725</v>
          </cell>
          <cell r="E20">
            <v>26.545597667222111</v>
          </cell>
        </row>
        <row r="21">
          <cell r="A21">
            <v>2018</v>
          </cell>
          <cell r="B21">
            <v>9.9398348941138064</v>
          </cell>
          <cell r="C21">
            <v>34.614491407338598</v>
          </cell>
          <cell r="D21">
            <v>22.351805620065026</v>
          </cell>
          <cell r="E21">
            <v>29.700268952184881</v>
          </cell>
        </row>
        <row r="22">
          <cell r="A22">
            <v>2019</v>
          </cell>
          <cell r="B22">
            <v>10.253396494246401</v>
          </cell>
          <cell r="C22">
            <v>35.845393881281687</v>
          </cell>
          <cell r="D22">
            <v>22.799478885505962</v>
          </cell>
          <cell r="E22">
            <v>29.367995967723893</v>
          </cell>
        </row>
        <row r="23">
          <cell r="A23">
            <v>2020</v>
          </cell>
          <cell r="B23">
            <v>12.190147791383446</v>
          </cell>
          <cell r="C23">
            <v>32.147432325908682</v>
          </cell>
          <cell r="D23">
            <v>20.999459350147131</v>
          </cell>
          <cell r="E23">
            <v>31.279400415186071</v>
          </cell>
        </row>
        <row r="24">
          <cell r="A24">
            <v>2021</v>
          </cell>
          <cell r="B24">
            <v>10.532697743092175</v>
          </cell>
          <cell r="C24">
            <v>28.780240455600087</v>
          </cell>
          <cell r="D24">
            <v>22.078228221894115</v>
          </cell>
          <cell r="E24">
            <v>35.785344863952751</v>
          </cell>
        </row>
        <row r="25">
          <cell r="A25">
            <v>2022</v>
          </cell>
          <cell r="B25">
            <v>9.1289494952629333</v>
          </cell>
          <cell r="C25">
            <v>28.099108159151914</v>
          </cell>
          <cell r="D25">
            <v>20.338964403941983</v>
          </cell>
          <cell r="E25">
            <v>39.774395154749833</v>
          </cell>
        </row>
        <row r="26">
          <cell r="A26">
            <v>2023</v>
          </cell>
          <cell r="B26">
            <v>9.8421032695316715</v>
          </cell>
          <cell r="C26">
            <v>31.513116296958909</v>
          </cell>
          <cell r="D26">
            <v>21.87302410554809</v>
          </cell>
          <cell r="E26">
            <v>37.158805824026295</v>
          </cell>
        </row>
        <row r="27">
          <cell r="A27">
            <v>2024</v>
          </cell>
          <cell r="B27">
            <v>10.05318763287927</v>
          </cell>
          <cell r="C27">
            <v>30.684280484260235</v>
          </cell>
          <cell r="D27">
            <v>21.037456033494557</v>
          </cell>
          <cell r="E27">
            <v>36.012331849548822</v>
          </cell>
        </row>
      </sheetData>
      <sheetData sheetId="13">
        <row r="1">
          <cell r="O1" t="str">
            <v>Employment in agriculture (% of total employment) (modeled ILO estimate)</v>
          </cell>
        </row>
        <row r="2">
          <cell r="N2">
            <v>25.861486037755899</v>
          </cell>
          <cell r="O2">
            <v>0.17689908365402099</v>
          </cell>
        </row>
        <row r="3">
          <cell r="N3">
            <v>23.394697847414562</v>
          </cell>
          <cell r="O3">
            <v>0.173741005150197</v>
          </cell>
        </row>
        <row r="4">
          <cell r="N4">
            <v>24.737640322972926</v>
          </cell>
          <cell r="O4">
            <v>0.16944763175838501</v>
          </cell>
        </row>
        <row r="5">
          <cell r="N5">
            <v>24.765412693196893</v>
          </cell>
          <cell r="O5">
            <v>0.16459654177274699</v>
          </cell>
        </row>
        <row r="6">
          <cell r="N6">
            <v>27.119367597064286</v>
          </cell>
          <cell r="O6">
            <v>0.15970081754349399</v>
          </cell>
        </row>
        <row r="7">
          <cell r="N7">
            <v>27.076761798207059</v>
          </cell>
          <cell r="O7">
            <v>0.155212233759282</v>
          </cell>
        </row>
        <row r="8">
          <cell r="N8">
            <v>26.578005985802772</v>
          </cell>
          <cell r="O8">
            <v>0.15069969562712299</v>
          </cell>
        </row>
        <row r="9">
          <cell r="N9">
            <v>23.822651904527213</v>
          </cell>
          <cell r="O9">
            <v>0.14645508484910399</v>
          </cell>
        </row>
        <row r="10">
          <cell r="N10">
            <v>20.585664973848445</v>
          </cell>
          <cell r="O10">
            <v>0.14231124802675299</v>
          </cell>
        </row>
        <row r="11">
          <cell r="N11">
            <v>20.273376429073512</v>
          </cell>
          <cell r="O11">
            <v>0.13906365808080101</v>
          </cell>
        </row>
        <row r="12">
          <cell r="N12">
            <v>20.773833025312548</v>
          </cell>
          <cell r="O12">
            <v>0.13561924621409599</v>
          </cell>
        </row>
        <row r="13">
          <cell r="N13">
            <v>19.582551507977822</v>
          </cell>
          <cell r="O13">
            <v>0.13246039834856399</v>
          </cell>
        </row>
        <row r="14">
          <cell r="N14">
            <v>19.116821980066192</v>
          </cell>
          <cell r="O14">
            <v>0.12955873329242601</v>
          </cell>
        </row>
        <row r="15">
          <cell r="N15">
            <v>17.638409614875453</v>
          </cell>
          <cell r="O15">
            <v>0.12679854020966699</v>
          </cell>
        </row>
        <row r="16">
          <cell r="N16">
            <v>17.999768892128522</v>
          </cell>
          <cell r="O16">
            <v>0.124092213197688</v>
          </cell>
        </row>
        <row r="17">
          <cell r="N17">
            <v>18.089329854873405</v>
          </cell>
          <cell r="O17">
            <v>0.12145966005548101</v>
          </cell>
        </row>
        <row r="18">
          <cell r="N18">
            <v>17.441961312599027</v>
          </cell>
          <cell r="O18">
            <v>0.11897925916280699</v>
          </cell>
        </row>
        <row r="19">
          <cell r="N19">
            <v>18.545847537786003</v>
          </cell>
          <cell r="O19">
            <v>0.117077595142899</v>
          </cell>
        </row>
        <row r="20">
          <cell r="N20">
            <v>20.717845766781217</v>
          </cell>
          <cell r="O20">
            <v>0.115089283007242</v>
          </cell>
        </row>
        <row r="21">
          <cell r="N21">
            <v>19.40403130191034</v>
          </cell>
          <cell r="O21">
            <v>0.113041897035994</v>
          </cell>
        </row>
        <row r="22">
          <cell r="N22">
            <v>19.653984525036179</v>
          </cell>
          <cell r="O22">
            <v>0.108162685533748</v>
          </cell>
        </row>
        <row r="23">
          <cell r="N23">
            <v>20.633068003561824</v>
          </cell>
          <cell r="O23">
            <v>0.107777556138585</v>
          </cell>
        </row>
        <row r="24">
          <cell r="N24">
            <v>19.655537649937781</v>
          </cell>
          <cell r="O24">
            <v>9.0952445633474793E-2</v>
          </cell>
        </row>
        <row r="25">
          <cell r="N25">
            <v>16.975559443779353</v>
          </cell>
          <cell r="O25">
            <v>7.9580186024164501E-2</v>
          </cell>
        </row>
        <row r="26">
          <cell r="N26">
            <v>16.332704934853503</v>
          </cell>
          <cell r="O26">
            <v>9.7983733027354095E-2</v>
          </cell>
        </row>
      </sheetData>
      <sheetData sheetId="14">
        <row r="1">
          <cell r="B1" t="str">
            <v>Manufacturing, value added (% of GDP)</v>
          </cell>
          <cell r="C1" t="str">
            <v>Agriculture, forestry, and fishing, value added (% of GDP)</v>
          </cell>
        </row>
        <row r="2">
          <cell r="A2">
            <v>2000</v>
          </cell>
          <cell r="B2">
            <v>25.861486037755899</v>
          </cell>
          <cell r="C2">
            <v>9.2131732680321002E-2</v>
          </cell>
        </row>
        <row r="3">
          <cell r="A3">
            <v>2001</v>
          </cell>
          <cell r="B3">
            <v>23.394697847414562</v>
          </cell>
          <cell r="C3">
            <v>8.2356655909540694E-2</v>
          </cell>
        </row>
        <row r="4">
          <cell r="A4">
            <v>2002</v>
          </cell>
          <cell r="B4">
            <v>24.737640322972926</v>
          </cell>
          <cell r="C4">
            <v>7.1032800014001363E-2</v>
          </cell>
        </row>
        <row r="5">
          <cell r="A5">
            <v>2003</v>
          </cell>
          <cell r="B5">
            <v>24.765412693196893</v>
          </cell>
          <cell r="C5">
            <v>6.1134072311026647E-2</v>
          </cell>
        </row>
        <row r="6">
          <cell r="A6">
            <v>2004</v>
          </cell>
          <cell r="B6">
            <v>27.119367597064286</v>
          </cell>
          <cell r="C6">
            <v>5.5648989626246571E-2</v>
          </cell>
        </row>
        <row r="7">
          <cell r="A7">
            <v>2005</v>
          </cell>
          <cell r="B7">
            <v>27.076761798207059</v>
          </cell>
          <cell r="C7">
            <v>5.5048114214259862E-2</v>
          </cell>
        </row>
        <row r="8">
          <cell r="A8">
            <v>2006</v>
          </cell>
          <cell r="B8">
            <v>26.578005985802772</v>
          </cell>
          <cell r="C8">
            <v>4.8865424451682515E-2</v>
          </cell>
        </row>
        <row r="9">
          <cell r="A9">
            <v>2007</v>
          </cell>
          <cell r="B9">
            <v>23.822651904527213</v>
          </cell>
          <cell r="C9">
            <v>4.286799737144735E-2</v>
          </cell>
        </row>
        <row r="10">
          <cell r="A10">
            <v>2008</v>
          </cell>
          <cell r="B10">
            <v>20.585664973848445</v>
          </cell>
          <cell r="C10">
            <v>4.1432188466446869E-2</v>
          </cell>
        </row>
        <row r="11">
          <cell r="A11">
            <v>2009</v>
          </cell>
          <cell r="B11">
            <v>20.273376429073512</v>
          </cell>
          <cell r="C11">
            <v>4.0687761270138054E-2</v>
          </cell>
        </row>
        <row r="12">
          <cell r="A12">
            <v>2010</v>
          </cell>
          <cell r="B12">
            <v>20.773833025312548</v>
          </cell>
          <cell r="C12">
            <v>3.614898888342135E-2</v>
          </cell>
        </row>
        <row r="13">
          <cell r="A13">
            <v>2011</v>
          </cell>
          <cell r="B13">
            <v>19.582551507977822</v>
          </cell>
          <cell r="C13">
            <v>3.4607600751235389E-2</v>
          </cell>
        </row>
        <row r="14">
          <cell r="A14">
            <v>2012</v>
          </cell>
          <cell r="B14">
            <v>19.116821980066192</v>
          </cell>
          <cell r="C14">
            <v>3.3272726533169004E-2</v>
          </cell>
        </row>
        <row r="15">
          <cell r="A15">
            <v>2013</v>
          </cell>
          <cell r="B15">
            <v>17.638409614875453</v>
          </cell>
          <cell r="C15">
            <v>3.4375216793813404E-2</v>
          </cell>
        </row>
        <row r="16">
          <cell r="A16">
            <v>2014</v>
          </cell>
          <cell r="B16">
            <v>17.999768892128522</v>
          </cell>
          <cell r="C16">
            <v>3.4540851073536168E-2</v>
          </cell>
        </row>
        <row r="17">
          <cell r="A17">
            <v>2015</v>
          </cell>
          <cell r="B17">
            <v>18.089329854873405</v>
          </cell>
          <cell r="C17">
            <v>3.2613513802648333E-2</v>
          </cell>
        </row>
        <row r="18">
          <cell r="A18">
            <v>2016</v>
          </cell>
          <cell r="B18">
            <v>17.441961312599027</v>
          </cell>
          <cell r="C18">
            <v>3.1521289438126224E-2</v>
          </cell>
        </row>
        <row r="19">
          <cell r="A19">
            <v>2017</v>
          </cell>
          <cell r="B19">
            <v>18.545847537786003</v>
          </cell>
          <cell r="C19">
            <v>3.0763583755226389E-2</v>
          </cell>
        </row>
        <row r="20">
          <cell r="A20">
            <v>2018</v>
          </cell>
          <cell r="B20">
            <v>20.717845766781217</v>
          </cell>
          <cell r="C20">
            <v>3.0117148236328394E-2</v>
          </cell>
        </row>
        <row r="21">
          <cell r="A21">
            <v>2019</v>
          </cell>
          <cell r="B21">
            <v>19.40403130191034</v>
          </cell>
          <cell r="C21">
            <v>3.2252130199608528E-2</v>
          </cell>
        </row>
        <row r="22">
          <cell r="A22">
            <v>2020</v>
          </cell>
          <cell r="B22">
            <v>19.653984525036179</v>
          </cell>
          <cell r="C22">
            <v>3.281725211869508E-2</v>
          </cell>
        </row>
        <row r="23">
          <cell r="A23">
            <v>2021</v>
          </cell>
          <cell r="B23">
            <v>20.633068003561824</v>
          </cell>
          <cell r="C23">
            <v>3.0551368665513827E-2</v>
          </cell>
        </row>
        <row r="24">
          <cell r="A24">
            <v>2022</v>
          </cell>
          <cell r="B24">
            <v>19.655537649937781</v>
          </cell>
          <cell r="C24">
            <v>2.597731637364643E-2</v>
          </cell>
        </row>
        <row r="25">
          <cell r="A25">
            <v>2023</v>
          </cell>
          <cell r="B25">
            <v>16.975559443779353</v>
          </cell>
          <cell r="C25">
            <v>2.8849802007551339E-2</v>
          </cell>
        </row>
        <row r="26">
          <cell r="A26">
            <v>2024</v>
          </cell>
          <cell r="B26">
            <v>16.332704934853503</v>
          </cell>
          <cell r="C26">
            <v>2.7439170694473516E-2</v>
          </cell>
        </row>
      </sheetData>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
  <sheetViews>
    <sheetView workbookViewId="0">
      <selection activeCell="Q1" sqref="Q1"/>
    </sheetView>
  </sheetViews>
  <sheetFormatPr defaultRowHeight="14.25" x14ac:dyDescent="0.45"/>
  <cols>
    <col min="16" max="16" width="17.86328125" customWidth="1"/>
  </cols>
  <sheetData>
    <row r="1" spans="1:17" s="2" customFormat="1" ht="151.5" customHeight="1" x14ac:dyDescent="0.45">
      <c r="A1" s="2" t="s">
        <v>28</v>
      </c>
      <c r="B1" s="2" t="s">
        <v>74</v>
      </c>
      <c r="C1" s="2" t="s">
        <v>43</v>
      </c>
      <c r="D1" s="2" t="s">
        <v>29</v>
      </c>
      <c r="E1" s="2" t="s">
        <v>80</v>
      </c>
      <c r="F1" s="2" t="s">
        <v>40</v>
      </c>
      <c r="G1" s="2" t="s">
        <v>73</v>
      </c>
      <c r="H1" s="2" t="s">
        <v>39</v>
      </c>
      <c r="I1" s="2" t="s">
        <v>71</v>
      </c>
      <c r="J1" s="2" t="s">
        <v>103</v>
      </c>
      <c r="K1" s="2" t="s">
        <v>38</v>
      </c>
      <c r="L1" s="2" t="s">
        <v>63</v>
      </c>
      <c r="M1" s="2" t="s">
        <v>81</v>
      </c>
      <c r="N1" s="2" t="s">
        <v>11</v>
      </c>
      <c r="O1" s="2" t="s">
        <v>84</v>
      </c>
      <c r="P1" s="2" t="s">
        <v>141</v>
      </c>
      <c r="Q1" s="2"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E039-9D98-4AD9-9E87-88901946F8BA}">
  <dimension ref="A1:AG29"/>
  <sheetViews>
    <sheetView tabSelected="1" workbookViewId="0">
      <selection activeCell="AD5" sqref="AD5"/>
    </sheetView>
  </sheetViews>
  <sheetFormatPr defaultRowHeight="14.25" x14ac:dyDescent="0.45"/>
  <cols>
    <col min="2" max="2" width="9.06640625" style="3"/>
    <col min="3" max="3" width="11.59765625" bestFit="1" customWidth="1"/>
    <col min="8" max="8" width="9.06640625" style="53"/>
    <col min="9" max="9" width="17.53125" style="6" customWidth="1"/>
    <col min="10" max="10" width="18.9296875" style="6" customWidth="1"/>
    <col min="11" max="11" width="9.06640625" style="43"/>
    <col min="12" max="12" width="12.19921875" style="6" customWidth="1"/>
    <col min="13" max="13" width="12.19921875" style="9" customWidth="1"/>
    <col min="14" max="14" width="9.06640625" style="6"/>
    <col min="15" max="15" width="9.06640625" style="43"/>
    <col min="16" max="16" width="9.06640625" style="50"/>
    <col min="17" max="17" width="15.59765625" customWidth="1"/>
    <col min="18" max="18" width="13.33203125" style="25" customWidth="1"/>
    <col min="25" max="25" width="14.86328125" style="25" customWidth="1"/>
    <col min="28" max="28" width="11.59765625" style="25" bestFit="1" customWidth="1"/>
    <col min="29" max="29" width="5.53125" customWidth="1"/>
    <col min="30" max="33" width="9.06640625" style="2"/>
  </cols>
  <sheetData>
    <row r="1" spans="1:33" s="2" customFormat="1" ht="151.15" customHeight="1" x14ac:dyDescent="0.45">
      <c r="A1" s="2" t="s">
        <v>28</v>
      </c>
      <c r="B1" s="2" t="s">
        <v>74</v>
      </c>
      <c r="C1" s="2" t="s">
        <v>43</v>
      </c>
      <c r="D1" s="2" t="s">
        <v>29</v>
      </c>
      <c r="E1" s="2" t="s">
        <v>80</v>
      </c>
      <c r="F1" s="2" t="s">
        <v>40</v>
      </c>
      <c r="G1" s="2" t="s">
        <v>73</v>
      </c>
      <c r="H1" s="2" t="s">
        <v>63</v>
      </c>
      <c r="I1" s="4" t="s">
        <v>107</v>
      </c>
      <c r="J1" s="4" t="s">
        <v>108</v>
      </c>
      <c r="K1" s="42" t="s">
        <v>149</v>
      </c>
      <c r="L1" s="4" t="s">
        <v>109</v>
      </c>
      <c r="M1" s="8" t="s">
        <v>114</v>
      </c>
      <c r="N1" s="4" t="s">
        <v>110</v>
      </c>
      <c r="O1" s="42" t="s">
        <v>160</v>
      </c>
      <c r="P1" s="51"/>
      <c r="Q1" s="2" t="s">
        <v>141</v>
      </c>
      <c r="R1" s="40" t="s">
        <v>154</v>
      </c>
      <c r="S1" s="2" t="s">
        <v>39</v>
      </c>
      <c r="T1" s="2" t="s">
        <v>71</v>
      </c>
      <c r="U1" s="2" t="s">
        <v>103</v>
      </c>
      <c r="V1" s="2" t="s">
        <v>38</v>
      </c>
      <c r="W1" s="2" t="s">
        <v>81</v>
      </c>
      <c r="X1" s="2" t="s">
        <v>11</v>
      </c>
      <c r="Y1" s="52" t="s">
        <v>170</v>
      </c>
      <c r="Z1" s="2" t="s">
        <v>84</v>
      </c>
      <c r="AA1" s="2" t="s">
        <v>140</v>
      </c>
      <c r="AB1" s="40" t="s">
        <v>153</v>
      </c>
      <c r="AD1" s="2" t="s">
        <v>161</v>
      </c>
      <c r="AE1" s="2" t="s">
        <v>162</v>
      </c>
      <c r="AF1" s="2" t="s">
        <v>163</v>
      </c>
      <c r="AG1" s="2" t="s">
        <v>164</v>
      </c>
    </row>
    <row r="2" spans="1:33" s="57" customFormat="1" ht="108.4" thickBot="1" x14ac:dyDescent="0.5">
      <c r="C2" s="57" t="s">
        <v>106</v>
      </c>
      <c r="E2" s="57" t="s">
        <v>171</v>
      </c>
      <c r="I2" s="58" t="s">
        <v>111</v>
      </c>
      <c r="J2" s="56" t="s">
        <v>112</v>
      </c>
      <c r="K2" s="59"/>
      <c r="L2" s="56" t="s">
        <v>172</v>
      </c>
      <c r="M2" s="60"/>
      <c r="N2" s="58" t="s">
        <v>173</v>
      </c>
      <c r="O2" s="61"/>
      <c r="P2" s="62"/>
      <c r="Q2" s="57" t="s">
        <v>174</v>
      </c>
      <c r="R2" s="54" t="s">
        <v>152</v>
      </c>
      <c r="Y2" s="54" t="s">
        <v>152</v>
      </c>
      <c r="AB2" s="54" t="s">
        <v>152</v>
      </c>
      <c r="AD2" s="55" t="s">
        <v>165</v>
      </c>
      <c r="AE2" s="55" t="s">
        <v>166</v>
      </c>
      <c r="AF2" s="55" t="s">
        <v>167</v>
      </c>
      <c r="AG2" s="55" t="s">
        <v>168</v>
      </c>
    </row>
    <row r="3" spans="1:33" ht="14.65" thickTop="1" x14ac:dyDescent="0.45">
      <c r="A3" t="s">
        <v>75</v>
      </c>
      <c r="B3" s="3">
        <v>2000</v>
      </c>
      <c r="C3">
        <v>140533304238.72125</v>
      </c>
      <c r="D3">
        <v>9.0383163255516337</v>
      </c>
      <c r="E3">
        <v>43703162220.646263</v>
      </c>
      <c r="F3">
        <v>11.414764762166143</v>
      </c>
      <c r="G3">
        <v>2138100</v>
      </c>
      <c r="H3" s="53">
        <v>3.7</v>
      </c>
      <c r="Q3" t="s">
        <v>169</v>
      </c>
      <c r="S3">
        <v>25.861486037755899</v>
      </c>
      <c r="T3">
        <v>15.146298038161788</v>
      </c>
      <c r="U3">
        <v>29918062298.838032</v>
      </c>
      <c r="V3">
        <v>9.2131732680321002E-2</v>
      </c>
      <c r="W3">
        <v>0.17689908365402099</v>
      </c>
      <c r="X3">
        <v>27.293652478865699</v>
      </c>
      <c r="Z3">
        <v>72.529399958696104</v>
      </c>
      <c r="AA3">
        <v>3.26034372238966E-4</v>
      </c>
      <c r="AD3">
        <v>10.504164644115525</v>
      </c>
      <c r="AE3">
        <v>41.855216732958041</v>
      </c>
      <c r="AF3">
        <v>32.326344362576407</v>
      </c>
      <c r="AG3">
        <v>12.337260101284532</v>
      </c>
    </row>
    <row r="4" spans="1:33" x14ac:dyDescent="0.45">
      <c r="A4" t="s">
        <v>75</v>
      </c>
      <c r="B4" s="3">
        <v>2001</v>
      </c>
      <c r="C4">
        <v>139028385430.87299</v>
      </c>
      <c r="D4">
        <v>-1.0708627510044835</v>
      </c>
      <c r="E4">
        <v>41427454403.287689</v>
      </c>
      <c r="F4">
        <v>-5.2071925730891024</v>
      </c>
      <c r="G4">
        <v>2205923</v>
      </c>
      <c r="H4" s="53">
        <v>3.76</v>
      </c>
      <c r="Q4" t="s">
        <v>169</v>
      </c>
      <c r="S4">
        <v>23.394697847414562</v>
      </c>
      <c r="T4">
        <v>-11.605048125430017</v>
      </c>
      <c r="U4">
        <v>26446056770.861744</v>
      </c>
      <c r="V4">
        <v>8.2356655909540694E-2</v>
      </c>
      <c r="W4">
        <v>0.173741005150197</v>
      </c>
      <c r="X4">
        <v>26.157941891234099</v>
      </c>
      <c r="Z4">
        <v>73.668317103615706</v>
      </c>
      <c r="AA4">
        <v>4.0237915923044699E-4</v>
      </c>
      <c r="AD4">
        <v>11.609926556509718</v>
      </c>
      <c r="AE4">
        <v>46.244971582292017</v>
      </c>
      <c r="AF4">
        <v>30.887040232314138</v>
      </c>
      <c r="AG4">
        <v>16.496255724564534</v>
      </c>
    </row>
    <row r="5" spans="1:33" x14ac:dyDescent="0.45">
      <c r="A5" t="s">
        <v>75</v>
      </c>
      <c r="B5" s="3">
        <v>2002</v>
      </c>
      <c r="C5">
        <v>144482970559.8894</v>
      </c>
      <c r="D5">
        <v>3.923360767020128</v>
      </c>
      <c r="E5">
        <v>37635189933.264236</v>
      </c>
      <c r="F5">
        <v>-9.1539886402542265</v>
      </c>
      <c r="G5">
        <v>2200772</v>
      </c>
      <c r="H5" s="53">
        <v>5.65</v>
      </c>
      <c r="Q5" t="s">
        <v>169</v>
      </c>
      <c r="S5">
        <v>24.737640322972926</v>
      </c>
      <c r="T5">
        <v>8.4686746225800107</v>
      </c>
      <c r="U5">
        <v>28685687269.288815</v>
      </c>
      <c r="V5">
        <v>7.1032800014001363E-2</v>
      </c>
      <c r="W5">
        <v>0.16944763175838501</v>
      </c>
      <c r="X5">
        <v>25.389889592307298</v>
      </c>
      <c r="Z5">
        <v>74.440662775934399</v>
      </c>
      <c r="AA5">
        <v>4.3398819080536202E-4</v>
      </c>
      <c r="AD5">
        <v>11.84032888729563</v>
      </c>
      <c r="AE5">
        <v>46.182484892705467</v>
      </c>
      <c r="AF5">
        <v>26.751423220905973</v>
      </c>
      <c r="AG5">
        <v>18.426222147387328</v>
      </c>
    </row>
    <row r="6" spans="1:33" x14ac:dyDescent="0.45">
      <c r="A6" t="s">
        <v>75</v>
      </c>
      <c r="B6" s="3">
        <v>2003</v>
      </c>
      <c r="C6">
        <v>151054425108.65015</v>
      </c>
      <c r="D6">
        <v>4.5482554264322914</v>
      </c>
      <c r="E6">
        <v>35694579310.094017</v>
      </c>
      <c r="F6">
        <v>-5.1563726039681654</v>
      </c>
      <c r="G6">
        <v>2176377</v>
      </c>
      <c r="H6" s="53">
        <v>5.93</v>
      </c>
      <c r="Q6" t="s">
        <v>169</v>
      </c>
      <c r="S6">
        <v>24.765412693196893</v>
      </c>
      <c r="T6">
        <v>2.9963638945377227</v>
      </c>
      <c r="U6">
        <v>29545214845.525787</v>
      </c>
      <c r="V6">
        <v>6.1134072311026647E-2</v>
      </c>
      <c r="W6">
        <v>0.16459654177274699</v>
      </c>
      <c r="X6">
        <v>24.785305691086901</v>
      </c>
      <c r="Z6">
        <v>75.050049199261395</v>
      </c>
      <c r="AA6">
        <v>5.9371726127004001E-4</v>
      </c>
      <c r="AD6">
        <v>11.4140839970397</v>
      </c>
      <c r="AE6">
        <v>45.535361064297177</v>
      </c>
      <c r="AF6">
        <v>24.766294434624459</v>
      </c>
      <c r="AG6">
        <v>27.953848478026121</v>
      </c>
    </row>
    <row r="7" spans="1:33" x14ac:dyDescent="0.45">
      <c r="A7" t="s">
        <v>75</v>
      </c>
      <c r="B7" s="3">
        <v>2004</v>
      </c>
      <c r="C7">
        <v>166069208808.39377</v>
      </c>
      <c r="D7">
        <v>9.9399826843495731</v>
      </c>
      <c r="E7">
        <v>39369010601.349266</v>
      </c>
      <c r="F7">
        <v>10.294087680187801</v>
      </c>
      <c r="G7">
        <v>2211220</v>
      </c>
      <c r="H7" s="53">
        <v>5.84</v>
      </c>
      <c r="Q7" t="s">
        <v>169</v>
      </c>
      <c r="S7">
        <v>27.119367597064286</v>
      </c>
      <c r="T7">
        <v>13.8458129716023</v>
      </c>
      <c r="U7">
        <v>33635990035.095367</v>
      </c>
      <c r="V7">
        <v>5.5648989626246571E-2</v>
      </c>
      <c r="W7">
        <v>0.15970081754349399</v>
      </c>
      <c r="X7">
        <v>24.4105337316422</v>
      </c>
      <c r="Z7">
        <v>75.429717492610806</v>
      </c>
      <c r="AA7">
        <v>5.5564498338846495E-4</v>
      </c>
      <c r="AD7">
        <v>10.318670184588006</v>
      </c>
      <c r="AE7">
        <v>41.998426193084512</v>
      </c>
      <c r="AF7">
        <v>24.281423420921346</v>
      </c>
      <c r="AG7">
        <v>26.379678346782697</v>
      </c>
    </row>
    <row r="8" spans="1:33" x14ac:dyDescent="0.45">
      <c r="A8" t="s">
        <v>75</v>
      </c>
      <c r="B8" s="3">
        <v>2005</v>
      </c>
      <c r="C8">
        <v>178302402123.90665</v>
      </c>
      <c r="D8">
        <v>7.366322392507584</v>
      </c>
      <c r="E8">
        <v>40801992980.92485</v>
      </c>
      <c r="F8">
        <v>3.6398739965450631</v>
      </c>
      <c r="G8">
        <v>2301785</v>
      </c>
      <c r="H8" s="53">
        <v>5.59</v>
      </c>
      <c r="Q8">
        <v>38.256099700927699</v>
      </c>
      <c r="S8">
        <v>27.076761798207059</v>
      </c>
      <c r="T8">
        <v>9.5096402529214856</v>
      </c>
      <c r="U8">
        <v>36834651682.94146</v>
      </c>
      <c r="V8">
        <v>5.5048114214259862E-2</v>
      </c>
      <c r="W8">
        <v>0.155212233759282</v>
      </c>
      <c r="X8">
        <v>23.882954799438199</v>
      </c>
      <c r="Z8">
        <v>75.961878955612505</v>
      </c>
      <c r="AA8">
        <v>5.4706140442952399E-4</v>
      </c>
      <c r="AD8">
        <v>9.8971432332187881</v>
      </c>
      <c r="AE8">
        <v>39.847877286424129</v>
      </c>
      <c r="AF8">
        <v>23.187995656323011</v>
      </c>
      <c r="AG8">
        <v>29.88882255327351</v>
      </c>
    </row>
    <row r="9" spans="1:33" x14ac:dyDescent="0.45">
      <c r="A9" t="s">
        <v>75</v>
      </c>
      <c r="B9" s="3">
        <v>2006</v>
      </c>
      <c r="C9">
        <v>194361682395.94128</v>
      </c>
      <c r="D9">
        <v>9.0067660787175754</v>
      </c>
      <c r="E9">
        <v>44652955830.742096</v>
      </c>
      <c r="F9">
        <v>9.4381734039746306</v>
      </c>
      <c r="G9">
        <v>2426201</v>
      </c>
      <c r="H9" s="53">
        <v>4.4800000000000004</v>
      </c>
      <c r="Q9">
        <v>36.755790710449197</v>
      </c>
      <c r="S9">
        <v>26.578005985802772</v>
      </c>
      <c r="T9">
        <v>11.921913382779238</v>
      </c>
      <c r="U9">
        <v>41226046951.430176</v>
      </c>
      <c r="V9">
        <v>4.8865424451682515E-2</v>
      </c>
      <c r="W9">
        <v>0.15069969562712299</v>
      </c>
      <c r="X9">
        <v>23.2978195732057</v>
      </c>
      <c r="Z9">
        <v>76.5515238251608</v>
      </c>
      <c r="AA9">
        <v>3.65545459554034E-3</v>
      </c>
      <c r="AD9">
        <v>9.9069355027210513</v>
      </c>
      <c r="AE9">
        <v>38.106096406316425</v>
      </c>
      <c r="AF9">
        <v>23.086711145212458</v>
      </c>
      <c r="AG9">
        <v>30.711834579105247</v>
      </c>
    </row>
    <row r="10" spans="1:33" x14ac:dyDescent="0.45">
      <c r="A10" t="s">
        <v>75</v>
      </c>
      <c r="B10" s="3">
        <v>2007</v>
      </c>
      <c r="C10">
        <v>211896059498.4816</v>
      </c>
      <c r="D10">
        <v>9.0215195126889256</v>
      </c>
      <c r="E10">
        <v>51576309712.14518</v>
      </c>
      <c r="F10">
        <v>15.504805342889711</v>
      </c>
      <c r="G10">
        <v>2530038</v>
      </c>
      <c r="H10" s="53">
        <v>3.9</v>
      </c>
      <c r="Q10">
        <v>37.784400939941399</v>
      </c>
      <c r="S10">
        <v>23.822651904527213</v>
      </c>
      <c r="T10">
        <v>5.9408665704516324</v>
      </c>
      <c r="U10">
        <v>43675231393.086388</v>
      </c>
      <c r="V10">
        <v>4.286799737144735E-2</v>
      </c>
      <c r="W10">
        <v>0.14645508484910399</v>
      </c>
      <c r="X10">
        <v>23.590067003098699</v>
      </c>
      <c r="Z10">
        <v>76.263477912052196</v>
      </c>
      <c r="AA10">
        <v>6.8551812889980296E-3</v>
      </c>
      <c r="AD10">
        <v>9.1361273439883615</v>
      </c>
      <c r="AE10">
        <v>36.765963470158894</v>
      </c>
      <c r="AF10">
        <v>24.375682074209674</v>
      </c>
      <c r="AG10">
        <v>31.270315543664491</v>
      </c>
    </row>
    <row r="11" spans="1:33" x14ac:dyDescent="0.45">
      <c r="A11" t="s">
        <v>75</v>
      </c>
      <c r="B11" s="3">
        <v>2008</v>
      </c>
      <c r="C11">
        <v>215844707508.2283</v>
      </c>
      <c r="D11">
        <v>1.8634834546203507</v>
      </c>
      <c r="E11">
        <v>57123779390.104187</v>
      </c>
      <c r="F11">
        <v>10.755848390317652</v>
      </c>
      <c r="G11">
        <v>2737323</v>
      </c>
      <c r="H11" s="53">
        <v>3.96</v>
      </c>
      <c r="Q11">
        <v>40.407138824462898</v>
      </c>
      <c r="S11">
        <v>20.585664973848445</v>
      </c>
      <c r="T11">
        <v>-4.1884694683058541</v>
      </c>
      <c r="U11">
        <v>41845907660.975029</v>
      </c>
      <c r="V11">
        <v>4.1432188466446869E-2</v>
      </c>
      <c r="W11">
        <v>0.14231124802675299</v>
      </c>
      <c r="X11">
        <v>23.729672967526501</v>
      </c>
      <c r="Z11">
        <v>76.128015784446703</v>
      </c>
      <c r="AA11">
        <v>2.5386566425965599E-2</v>
      </c>
      <c r="AD11">
        <v>10.113213911286202</v>
      </c>
      <c r="AE11">
        <v>39.95092384654248</v>
      </c>
      <c r="AF11">
        <v>27.978919594541324</v>
      </c>
      <c r="AG11">
        <v>20.660826979180964</v>
      </c>
    </row>
    <row r="12" spans="1:33" x14ac:dyDescent="0.45">
      <c r="A12" t="s">
        <v>75</v>
      </c>
      <c r="B12" s="3">
        <v>2009</v>
      </c>
      <c r="C12">
        <v>216120888113.03256</v>
      </c>
      <c r="D12">
        <v>0.1279533827780881</v>
      </c>
      <c r="E12">
        <v>60258141945.338493</v>
      </c>
      <c r="F12">
        <v>5.4869663539406588</v>
      </c>
      <c r="G12">
        <v>2837096</v>
      </c>
      <c r="H12" s="53">
        <v>5.86</v>
      </c>
      <c r="Q12">
        <v>40.729148864746101</v>
      </c>
      <c r="S12">
        <v>20.273376429073512</v>
      </c>
      <c r="T12">
        <v>-4.1502986226508227</v>
      </c>
      <c r="U12">
        <v>40109177531.685844</v>
      </c>
      <c r="V12">
        <v>4.0687761270138054E-2</v>
      </c>
      <c r="W12">
        <v>0.13906365808080101</v>
      </c>
      <c r="X12">
        <v>22.593183926345901</v>
      </c>
      <c r="Z12">
        <v>77.267790000345798</v>
      </c>
      <c r="AA12">
        <v>6.7856716847083803E-3</v>
      </c>
      <c r="AD12">
        <v>9.9299738486408202</v>
      </c>
      <c r="AE12">
        <v>39.102921622057082</v>
      </c>
      <c r="AF12">
        <v>28.837459653073982</v>
      </c>
      <c r="AG12">
        <v>23.497058193413821</v>
      </c>
    </row>
    <row r="13" spans="1:33" x14ac:dyDescent="0.45">
      <c r="A13" t="s">
        <v>75</v>
      </c>
      <c r="B13" s="3">
        <v>2010</v>
      </c>
      <c r="C13">
        <v>247501100140.01782</v>
      </c>
      <c r="D13">
        <v>14.519749710899404</v>
      </c>
      <c r="E13">
        <v>64325859654.865166</v>
      </c>
      <c r="F13">
        <v>6.7504864541236316</v>
      </c>
      <c r="G13">
        <v>2936802</v>
      </c>
      <c r="H13" s="53">
        <v>4.12</v>
      </c>
      <c r="Q13">
        <v>46.475578308105497</v>
      </c>
      <c r="S13">
        <v>20.773833025312548</v>
      </c>
      <c r="T13">
        <v>29.675335626760187</v>
      </c>
      <c r="U13">
        <v>52011710581.34671</v>
      </c>
      <c r="V13">
        <v>3.614898888342135E-2</v>
      </c>
      <c r="W13">
        <v>0.13561924621409599</v>
      </c>
      <c r="X13">
        <v>21.723582478803099</v>
      </c>
      <c r="Z13">
        <v>78.140762763266096</v>
      </c>
      <c r="AA13">
        <v>3.8512160672045999E-2</v>
      </c>
      <c r="AD13">
        <v>9.6915683859659953</v>
      </c>
      <c r="AE13">
        <v>36.337838296581353</v>
      </c>
      <c r="AF13">
        <v>25.569721215450116</v>
      </c>
      <c r="AG13">
        <v>26.312365798407917</v>
      </c>
    </row>
    <row r="14" spans="1:33" x14ac:dyDescent="0.45">
      <c r="A14" t="s">
        <v>75</v>
      </c>
      <c r="B14" s="3">
        <v>2011</v>
      </c>
      <c r="C14">
        <v>262883130580.25568</v>
      </c>
      <c r="D14">
        <v>6.2149341685898918</v>
      </c>
      <c r="E14">
        <v>68420489880.530258</v>
      </c>
      <c r="F14">
        <v>6.3654496770575264</v>
      </c>
      <c r="G14">
        <v>3012462</v>
      </c>
      <c r="H14" s="53">
        <v>3.89</v>
      </c>
      <c r="Q14">
        <v>46.935169219970703</v>
      </c>
      <c r="S14">
        <v>19.582551507977822</v>
      </c>
      <c r="T14">
        <v>7.8077670717552081</v>
      </c>
      <c r="U14">
        <v>56072663793.573723</v>
      </c>
      <c r="V14">
        <v>3.4607600751235389E-2</v>
      </c>
      <c r="W14">
        <v>0.13246039834856399</v>
      </c>
      <c r="X14">
        <v>20.7412116291523</v>
      </c>
      <c r="Z14">
        <v>79.126327972499098</v>
      </c>
      <c r="AA14">
        <v>0.15430144547848201</v>
      </c>
      <c r="AD14">
        <v>9.2368426370194889</v>
      </c>
      <c r="AE14">
        <v>36.615610020152666</v>
      </c>
      <c r="AF14">
        <v>25.264914637905171</v>
      </c>
      <c r="AG14">
        <v>27.556785921536942</v>
      </c>
    </row>
    <row r="15" spans="1:33" x14ac:dyDescent="0.45">
      <c r="A15" t="s">
        <v>75</v>
      </c>
      <c r="B15" s="3">
        <v>2012</v>
      </c>
      <c r="C15">
        <v>274543305511.61057</v>
      </c>
      <c r="D15">
        <v>4.4354975937853709</v>
      </c>
      <c r="E15">
        <v>74324950448.238876</v>
      </c>
      <c r="F15">
        <v>8.6296671918287444</v>
      </c>
      <c r="G15">
        <v>3125729</v>
      </c>
      <c r="H15" s="53">
        <v>3.72</v>
      </c>
      <c r="Q15">
        <v>48.682609558105497</v>
      </c>
      <c r="S15">
        <v>19.116821980066192</v>
      </c>
      <c r="T15">
        <v>0.31910712270446595</v>
      </c>
      <c r="U15">
        <v>56251595657.629143</v>
      </c>
      <c r="V15">
        <v>3.3272726533169004E-2</v>
      </c>
      <c r="W15">
        <v>0.12955873329242601</v>
      </c>
      <c r="X15">
        <v>20.3739028359523</v>
      </c>
      <c r="Z15">
        <v>79.496505082303997</v>
      </c>
      <c r="AA15">
        <v>0.14329419862700701</v>
      </c>
      <c r="AD15">
        <v>8.8578668846884447</v>
      </c>
      <c r="AE15">
        <v>37.306048070547945</v>
      </c>
      <c r="AF15">
        <v>26.429988298955582</v>
      </c>
      <c r="AG15">
        <v>24.226259963852854</v>
      </c>
    </row>
    <row r="16" spans="1:33" x14ac:dyDescent="0.45">
      <c r="A16" t="s">
        <v>75</v>
      </c>
      <c r="B16" s="3">
        <v>2013</v>
      </c>
      <c r="C16">
        <v>287769788882.22137</v>
      </c>
      <c r="D16">
        <v>4.8176309912067552</v>
      </c>
      <c r="E16">
        <v>78902551233.793396</v>
      </c>
      <c r="F16">
        <v>6.1589019003012169</v>
      </c>
      <c r="G16">
        <v>3179345</v>
      </c>
      <c r="H16" s="53">
        <v>3.86</v>
      </c>
      <c r="Q16">
        <v>50.001869201660199</v>
      </c>
      <c r="S16">
        <v>17.638409614875453</v>
      </c>
      <c r="T16">
        <v>1.6712764155420388</v>
      </c>
      <c r="U16">
        <v>57191715309.221169</v>
      </c>
      <c r="V16">
        <v>3.4375216793813404E-2</v>
      </c>
      <c r="W16">
        <v>0.12679854020966699</v>
      </c>
      <c r="X16">
        <v>19.685489766741199</v>
      </c>
      <c r="Z16">
        <v>80.187678894668295</v>
      </c>
      <c r="AA16">
        <v>0.119459449682427</v>
      </c>
      <c r="AD16">
        <v>9.7442177273746502</v>
      </c>
      <c r="AE16">
        <v>37.333460129295503</v>
      </c>
      <c r="AF16">
        <v>27.548215593668829</v>
      </c>
      <c r="AG16">
        <v>23.113812627266899</v>
      </c>
    </row>
    <row r="17" spans="1:33" x14ac:dyDescent="0.45">
      <c r="A17" t="s">
        <v>75</v>
      </c>
      <c r="B17" s="3">
        <v>2014</v>
      </c>
      <c r="C17">
        <v>299095084828.97827</v>
      </c>
      <c r="D17">
        <v>3.9355402770900696</v>
      </c>
      <c r="E17">
        <v>82232429581.946793</v>
      </c>
      <c r="F17">
        <v>4.2202416729045353</v>
      </c>
      <c r="G17">
        <v>3266959</v>
      </c>
      <c r="H17" s="53">
        <v>3.74</v>
      </c>
      <c r="Q17">
        <v>51.152580261230497</v>
      </c>
      <c r="S17">
        <v>17.999768892128522</v>
      </c>
      <c r="T17">
        <v>2.6831203913080088</v>
      </c>
      <c r="U17">
        <v>58726237884.821701</v>
      </c>
      <c r="V17">
        <v>3.4540851073536168E-2</v>
      </c>
      <c r="W17">
        <v>0.124092213197688</v>
      </c>
      <c r="X17">
        <v>17.5887805852729</v>
      </c>
      <c r="Z17">
        <v>82.287159069072601</v>
      </c>
      <c r="AA17">
        <v>0.10487946932588101</v>
      </c>
      <c r="AD17">
        <v>9.6310320219758019</v>
      </c>
      <c r="AE17">
        <v>37.584381318964205</v>
      </c>
      <c r="AF17">
        <v>28.128209222306971</v>
      </c>
      <c r="AG17">
        <v>23.439752408773177</v>
      </c>
    </row>
    <row r="18" spans="1:33" x14ac:dyDescent="0.45">
      <c r="A18" t="s">
        <v>75</v>
      </c>
      <c r="B18" s="3">
        <v>2015</v>
      </c>
      <c r="C18">
        <v>307998545269.39795</v>
      </c>
      <c r="D18">
        <v>2.9767993163480639</v>
      </c>
      <c r="E18">
        <v>83844198352.517593</v>
      </c>
      <c r="F18">
        <v>1.9600159921878912</v>
      </c>
      <c r="G18">
        <v>3360400</v>
      </c>
      <c r="H18" s="53">
        <v>3.79</v>
      </c>
      <c r="Q18">
        <v>52.041000366210902</v>
      </c>
      <c r="S18">
        <v>18.089329854873405</v>
      </c>
      <c r="T18">
        <v>-5.1278017991461269</v>
      </c>
      <c r="U18">
        <v>55714872801.992981</v>
      </c>
      <c r="V18">
        <v>3.2613513802648333E-2</v>
      </c>
      <c r="W18">
        <v>0.12145966005548101</v>
      </c>
      <c r="X18">
        <v>17.2904642702552</v>
      </c>
      <c r="Z18">
        <v>82.588076069689293</v>
      </c>
      <c r="AA18">
        <v>3.4391157293545603E-2</v>
      </c>
      <c r="AD18">
        <v>10.19090831587924</v>
      </c>
      <c r="AE18">
        <v>37.158080606153213</v>
      </c>
      <c r="AF18">
        <v>27.222270897150295</v>
      </c>
      <c r="AG18">
        <v>27.297818059101541</v>
      </c>
    </row>
    <row r="19" spans="1:33" x14ac:dyDescent="0.45">
      <c r="A19" t="s">
        <v>75</v>
      </c>
      <c r="B19" s="3">
        <v>2016</v>
      </c>
      <c r="C19">
        <v>319541032495.04486</v>
      </c>
      <c r="D19">
        <v>3.7475784879279246</v>
      </c>
      <c r="E19">
        <v>84290655174.294907</v>
      </c>
      <c r="F19">
        <v>0.53248385761912687</v>
      </c>
      <c r="G19">
        <v>3396546</v>
      </c>
      <c r="H19" s="53">
        <v>4.08</v>
      </c>
      <c r="Q19">
        <v>52.7865180969238</v>
      </c>
      <c r="S19">
        <v>17.441961312599027</v>
      </c>
      <c r="T19">
        <v>3.7010008068074569</v>
      </c>
      <c r="U19">
        <v>57776880693.906494</v>
      </c>
      <c r="V19">
        <v>3.1521289438126224E-2</v>
      </c>
      <c r="W19">
        <v>0.11897925916280699</v>
      </c>
      <c r="X19">
        <v>16.156803308709499</v>
      </c>
      <c r="Z19">
        <v>83.724217432127702</v>
      </c>
      <c r="AA19">
        <v>2.9353972319112E-2</v>
      </c>
      <c r="AD19">
        <v>10.200372971650724</v>
      </c>
      <c r="AE19">
        <v>36.336754045415525</v>
      </c>
      <c r="AF19">
        <v>25.877029477577924</v>
      </c>
      <c r="AG19">
        <v>26.253769658413212</v>
      </c>
    </row>
    <row r="20" spans="1:33" x14ac:dyDescent="0.45">
      <c r="A20" t="s">
        <v>75</v>
      </c>
      <c r="B20" s="3">
        <v>2017</v>
      </c>
      <c r="C20">
        <v>333846562289.74597</v>
      </c>
      <c r="D20">
        <v>4.4768991584587638</v>
      </c>
      <c r="E20">
        <v>88598330696.634109</v>
      </c>
      <c r="F20">
        <v>5.1105018859230142</v>
      </c>
      <c r="G20">
        <v>3388507</v>
      </c>
      <c r="H20" s="53">
        <v>4.2</v>
      </c>
      <c r="Q20">
        <v>54.232109069824197</v>
      </c>
      <c r="S20">
        <v>18.545847537786003</v>
      </c>
      <c r="T20">
        <v>10.406115334791167</v>
      </c>
      <c r="U20">
        <v>63789209535.759094</v>
      </c>
      <c r="V20">
        <v>3.0763583755226389E-2</v>
      </c>
      <c r="W20">
        <v>0.117077595142899</v>
      </c>
      <c r="X20">
        <v>15.8830026161212</v>
      </c>
      <c r="Z20">
        <v>83.999919788735895</v>
      </c>
      <c r="AA20">
        <v>4.52888881904618E-4</v>
      </c>
      <c r="AD20">
        <v>10.140018759338188</v>
      </c>
      <c r="AE20">
        <v>35.184722354653985</v>
      </c>
      <c r="AF20">
        <v>25.115649681750725</v>
      </c>
      <c r="AG20">
        <v>26.545597667222111</v>
      </c>
    </row>
    <row r="21" spans="1:33" x14ac:dyDescent="0.45">
      <c r="A21" t="s">
        <v>75</v>
      </c>
      <c r="B21" s="3">
        <v>2018</v>
      </c>
      <c r="C21">
        <v>345370865382.86688</v>
      </c>
      <c r="D21">
        <v>3.4519759658686979</v>
      </c>
      <c r="E21">
        <v>84207444583.856125</v>
      </c>
      <c r="F21">
        <v>-4.9559467749032819</v>
      </c>
      <c r="G21">
        <v>3390276</v>
      </c>
      <c r="H21" s="53">
        <v>3.613</v>
      </c>
      <c r="Q21">
        <v>55.760608673095703</v>
      </c>
      <c r="S21">
        <v>20.717845766781217</v>
      </c>
      <c r="T21">
        <v>7.0287004412821261</v>
      </c>
      <c r="U21">
        <v>68272761987.889374</v>
      </c>
      <c r="V21">
        <v>3.0117148236328394E-2</v>
      </c>
      <c r="W21">
        <v>0.115089283007242</v>
      </c>
      <c r="X21">
        <v>16.038846154906299</v>
      </c>
      <c r="Z21">
        <v>83.846064562086497</v>
      </c>
      <c r="AA21">
        <v>1.8876715293803699E-4</v>
      </c>
      <c r="AD21">
        <v>9.9398348941138064</v>
      </c>
      <c r="AE21">
        <v>34.614491407338598</v>
      </c>
      <c r="AF21">
        <v>22.351805620065026</v>
      </c>
      <c r="AG21">
        <v>29.700268952184881</v>
      </c>
    </row>
    <row r="22" spans="1:33" x14ac:dyDescent="0.45">
      <c r="A22" t="s">
        <v>75</v>
      </c>
      <c r="B22" s="3">
        <v>2019</v>
      </c>
      <c r="C22">
        <v>349888458531.08569</v>
      </c>
      <c r="D22">
        <v>1.3080411815312658</v>
      </c>
      <c r="E22">
        <v>86300365501.063766</v>
      </c>
      <c r="F22">
        <v>2.4854345450697792</v>
      </c>
      <c r="G22">
        <v>3454121</v>
      </c>
      <c r="H22" s="53">
        <v>3.1</v>
      </c>
      <c r="Q22">
        <v>57.249900817871101</v>
      </c>
      <c r="S22">
        <v>19.40403130191034</v>
      </c>
      <c r="T22">
        <v>-1.4550979032228923</v>
      </c>
      <c r="U22">
        <v>67279326459.731239</v>
      </c>
      <c r="V22">
        <v>3.2252130199608528E-2</v>
      </c>
      <c r="W22">
        <v>0.113041897035994</v>
      </c>
      <c r="X22">
        <v>14.9655328914049</v>
      </c>
      <c r="Z22">
        <v>84.921455267899702</v>
      </c>
      <c r="AA22">
        <v>1.6926616042902101E-4</v>
      </c>
      <c r="AD22">
        <v>10.253396494246401</v>
      </c>
      <c r="AE22">
        <v>35.845393881281687</v>
      </c>
      <c r="AF22">
        <v>22.799478885505962</v>
      </c>
      <c r="AG22">
        <v>29.367995967723893</v>
      </c>
    </row>
    <row r="23" spans="1:33" x14ac:dyDescent="0.45">
      <c r="A23" t="s">
        <v>75</v>
      </c>
      <c r="B23" s="3">
        <v>2020</v>
      </c>
      <c r="C23">
        <v>336541232520.5025</v>
      </c>
      <c r="D23">
        <v>-3.8147088551071278</v>
      </c>
      <c r="E23">
        <v>74186532831.451279</v>
      </c>
      <c r="F23">
        <v>-14.036826610500484</v>
      </c>
      <c r="G23">
        <v>3431193</v>
      </c>
      <c r="H23" s="53">
        <v>4.0999999999999996</v>
      </c>
      <c r="Q23">
        <v>58.2861518859863</v>
      </c>
      <c r="S23">
        <v>19.653984525036179</v>
      </c>
      <c r="T23">
        <v>7.5307063016974496</v>
      </c>
      <c r="U23">
        <v>72345934937.173828</v>
      </c>
      <c r="V23">
        <v>3.281725211869508E-2</v>
      </c>
      <c r="W23">
        <v>0.108162685533748</v>
      </c>
      <c r="X23">
        <v>14.8295407728436</v>
      </c>
      <c r="Z23">
        <v>85.0622965416227</v>
      </c>
      <c r="AA23">
        <v>2.4207226855628999E-4</v>
      </c>
      <c r="AD23">
        <v>12.190147791383446</v>
      </c>
      <c r="AE23">
        <v>32.147432325908682</v>
      </c>
      <c r="AF23">
        <v>20.999459350147131</v>
      </c>
      <c r="AG23">
        <v>31.279400415186071</v>
      </c>
    </row>
    <row r="24" spans="1:33" x14ac:dyDescent="0.45">
      <c r="A24" t="s">
        <v>75</v>
      </c>
      <c r="B24" s="3">
        <v>2021</v>
      </c>
      <c r="C24">
        <v>369376902514.86536</v>
      </c>
      <c r="D24">
        <v>9.7568044629903028</v>
      </c>
      <c r="E24">
        <v>91394322913.825394</v>
      </c>
      <c r="F24">
        <v>23.19530166138037</v>
      </c>
      <c r="G24">
        <v>3385810</v>
      </c>
      <c r="H24" s="53">
        <v>4.6399999999999997</v>
      </c>
      <c r="Q24">
        <v>61.837471008300803</v>
      </c>
      <c r="S24">
        <v>20.633068003561824</v>
      </c>
      <c r="T24">
        <v>13.303540009852924</v>
      </c>
      <c r="U24">
        <v>81970505337.042892</v>
      </c>
      <c r="V24">
        <v>3.0551368665513827E-2</v>
      </c>
      <c r="W24">
        <v>0.107777556138585</v>
      </c>
      <c r="X24">
        <v>14.4449638584304</v>
      </c>
      <c r="Z24">
        <v>85.447258585431001</v>
      </c>
      <c r="AA24">
        <v>1.80989109199595E-4</v>
      </c>
      <c r="AD24">
        <v>10.532697743092175</v>
      </c>
      <c r="AE24">
        <v>28.780240455600087</v>
      </c>
      <c r="AF24">
        <v>22.078228221894115</v>
      </c>
      <c r="AG24">
        <v>35.785344863952751</v>
      </c>
    </row>
    <row r="25" spans="1:33" x14ac:dyDescent="0.45">
      <c r="A25" t="s">
        <v>75</v>
      </c>
      <c r="B25" s="3">
        <v>2022</v>
      </c>
      <c r="C25">
        <v>384550906479.00623</v>
      </c>
      <c r="D25">
        <v>4.1080002189715117</v>
      </c>
      <c r="E25">
        <v>95674867710.435883</v>
      </c>
      <c r="F25">
        <v>4.6836003157948483</v>
      </c>
      <c r="G25">
        <v>3459003</v>
      </c>
      <c r="H25" s="53">
        <v>3.5910000000000002</v>
      </c>
      <c r="Q25">
        <v>63.086940765380902</v>
      </c>
      <c r="S25">
        <v>19.655537649937781</v>
      </c>
      <c r="T25">
        <v>2.6997624563978491</v>
      </c>
      <c r="U25">
        <v>84183514265.451965</v>
      </c>
      <c r="V25">
        <v>2.597731637364643E-2</v>
      </c>
      <c r="W25">
        <v>9.0952445633474793E-2</v>
      </c>
      <c r="X25">
        <v>14.5645681583865</v>
      </c>
      <c r="Z25">
        <v>85.344449477412397</v>
      </c>
      <c r="AA25" t="s">
        <v>169</v>
      </c>
      <c r="AD25">
        <v>9.1289494952629333</v>
      </c>
      <c r="AE25">
        <v>28.099108159151914</v>
      </c>
      <c r="AF25">
        <v>20.338964403941983</v>
      </c>
      <c r="AG25">
        <v>39.774395154749833</v>
      </c>
    </row>
    <row r="26" spans="1:33" x14ac:dyDescent="0.45">
      <c r="A26" t="s">
        <v>75</v>
      </c>
      <c r="B26" s="3">
        <v>2023</v>
      </c>
      <c r="C26">
        <v>391555143381.88489</v>
      </c>
      <c r="D26">
        <v>1.8214069411538532</v>
      </c>
      <c r="E26">
        <v>94809012056.079865</v>
      </c>
      <c r="F26">
        <v>-0.90499801575536765</v>
      </c>
      <c r="G26">
        <v>3622441</v>
      </c>
      <c r="H26" s="53">
        <v>3.444</v>
      </c>
      <c r="Q26" t="s">
        <v>169</v>
      </c>
      <c r="S26">
        <v>16.975559443779353</v>
      </c>
      <c r="T26">
        <v>-4.2302587923025925</v>
      </c>
      <c r="U26">
        <v>80622333751.568375</v>
      </c>
      <c r="V26">
        <v>2.8849802007551339E-2</v>
      </c>
      <c r="W26">
        <v>7.9580186024164501E-2</v>
      </c>
      <c r="X26">
        <v>13.8432992197459</v>
      </c>
      <c r="Z26">
        <v>86.077120594229896</v>
      </c>
      <c r="AA26" t="s">
        <v>169</v>
      </c>
      <c r="AD26">
        <v>9.8421032695316715</v>
      </c>
      <c r="AE26">
        <v>31.513116296958909</v>
      </c>
      <c r="AF26">
        <v>21.87302410554809</v>
      </c>
      <c r="AG26">
        <v>37.158805824026295</v>
      </c>
    </row>
    <row r="27" spans="1:33" x14ac:dyDescent="0.45">
      <c r="A27" t="s">
        <v>75</v>
      </c>
      <c r="B27" s="3">
        <v>2024</v>
      </c>
      <c r="C27">
        <v>408736675576.89142</v>
      </c>
      <c r="D27">
        <v>4.3880236246186541</v>
      </c>
      <c r="E27">
        <v>97592930009.273911</v>
      </c>
      <c r="F27">
        <v>2.9363431733128351</v>
      </c>
      <c r="G27">
        <v>3689424</v>
      </c>
      <c r="H27" s="53">
        <v>2.7370000000000001</v>
      </c>
      <c r="Q27" t="s">
        <v>169</v>
      </c>
      <c r="S27">
        <v>16.332704934853503</v>
      </c>
      <c r="T27">
        <v>4.2628399445695493</v>
      </c>
      <c r="U27">
        <v>84059134798.974411</v>
      </c>
      <c r="V27">
        <v>2.7439170694473516E-2</v>
      </c>
      <c r="W27">
        <v>9.7983733027354095E-2</v>
      </c>
      <c r="X27">
        <v>14.162557810979401</v>
      </c>
      <c r="Z27">
        <v>85.739458455993301</v>
      </c>
      <c r="AA27" t="s">
        <v>169</v>
      </c>
      <c r="AD27">
        <v>10.05318763287927</v>
      </c>
      <c r="AE27">
        <v>30.684280484260235</v>
      </c>
      <c r="AF27">
        <v>21.037456033494557</v>
      </c>
      <c r="AG27">
        <v>36.012331849548822</v>
      </c>
    </row>
    <row r="29" spans="1:33" x14ac:dyDescent="0.45">
      <c r="I29" s="1"/>
      <c r="J29" s="1"/>
      <c r="L29" s="1"/>
      <c r="M29" s="10"/>
      <c r="N2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EBE0-77D1-4DEE-BD25-B861D3CF253E}">
  <dimension ref="A1:AJ29"/>
  <sheetViews>
    <sheetView zoomScale="70" zoomScaleNormal="70" workbookViewId="0">
      <selection activeCell="AG1" sqref="AG1:AJ1048576"/>
    </sheetView>
  </sheetViews>
  <sheetFormatPr defaultRowHeight="14.25" x14ac:dyDescent="0.45"/>
  <cols>
    <col min="3" max="3" width="11.59765625" style="3" bestFit="1" customWidth="1"/>
    <col min="4" max="4" width="9.06640625" style="3"/>
    <col min="5" max="5" width="3.33203125" style="28" customWidth="1"/>
    <col min="6" max="6" width="9.06640625" style="3"/>
    <col min="8" max="8" width="5.06640625" style="29" customWidth="1"/>
    <col min="11" max="11" width="17.53125" style="6" customWidth="1"/>
    <col min="12" max="13" width="9.06640625" style="6"/>
    <col min="14" max="14" width="12.19921875" style="6" customWidth="1"/>
    <col min="15" max="15" width="12.19921875" style="9" customWidth="1"/>
    <col min="16" max="16" width="9.06640625" style="6"/>
    <col min="17" max="17" width="14.265625" style="7" bestFit="1" customWidth="1"/>
    <col min="18" max="18" width="6.19921875" style="31" customWidth="1"/>
    <col min="19" max="19" width="13.33203125" customWidth="1"/>
    <col min="20" max="20" width="13.33203125" style="25" customWidth="1"/>
    <col min="21" max="21" width="4.46484375" style="29" customWidth="1"/>
    <col min="22" max="22" width="13.33203125" customWidth="1"/>
    <col min="23" max="23" width="16.06640625" customWidth="1"/>
    <col min="24" max="24" width="13.46484375" customWidth="1"/>
    <col min="29" max="29" width="3.73046875" style="29" customWidth="1"/>
    <col min="31" max="31" width="9.06640625" style="25"/>
  </cols>
  <sheetData>
    <row r="1" spans="1:36" s="2" customFormat="1" ht="151.15" customHeight="1" x14ac:dyDescent="0.45">
      <c r="A1" s="2" t="s">
        <v>28</v>
      </c>
      <c r="B1" s="34" t="s">
        <v>74</v>
      </c>
      <c r="C1" s="34" t="s">
        <v>43</v>
      </c>
      <c r="D1" s="34" t="s">
        <v>29</v>
      </c>
      <c r="E1" s="35"/>
      <c r="F1" s="34" t="s">
        <v>80</v>
      </c>
      <c r="G1" s="34" t="s">
        <v>40</v>
      </c>
      <c r="H1" s="35"/>
      <c r="I1" s="34" t="s">
        <v>73</v>
      </c>
      <c r="J1" s="34" t="s">
        <v>63</v>
      </c>
      <c r="K1" s="36" t="s">
        <v>107</v>
      </c>
      <c r="L1" s="36" t="s">
        <v>108</v>
      </c>
      <c r="M1" s="36" t="s">
        <v>149</v>
      </c>
      <c r="N1" s="36" t="s">
        <v>109</v>
      </c>
      <c r="O1" s="37" t="s">
        <v>142</v>
      </c>
      <c r="P1" s="36" t="s">
        <v>110</v>
      </c>
      <c r="Q1" s="38" t="s">
        <v>115</v>
      </c>
      <c r="R1" s="39"/>
      <c r="S1" s="34" t="s">
        <v>156</v>
      </c>
      <c r="T1" s="40" t="s">
        <v>154</v>
      </c>
      <c r="U1" s="35"/>
      <c r="V1" s="34" t="s">
        <v>39</v>
      </c>
      <c r="W1" s="34" t="s">
        <v>71</v>
      </c>
      <c r="X1" s="34" t="s">
        <v>103</v>
      </c>
      <c r="Y1" s="34" t="s">
        <v>38</v>
      </c>
      <c r="Z1" s="34" t="s">
        <v>81</v>
      </c>
      <c r="AA1" s="34" t="s">
        <v>11</v>
      </c>
      <c r="AB1" s="34" t="s">
        <v>84</v>
      </c>
      <c r="AC1" s="35"/>
      <c r="AD1" s="34" t="s">
        <v>140</v>
      </c>
      <c r="AE1" s="40" t="s">
        <v>153</v>
      </c>
      <c r="AG1" s="2" t="s">
        <v>161</v>
      </c>
      <c r="AH1" s="2" t="s">
        <v>162</v>
      </c>
      <c r="AI1" s="2" t="s">
        <v>163</v>
      </c>
      <c r="AJ1" s="2" t="s">
        <v>164</v>
      </c>
    </row>
    <row r="2" spans="1:36" s="23" customFormat="1" ht="85.5" x14ac:dyDescent="0.45">
      <c r="C2" s="23" t="s">
        <v>106</v>
      </c>
      <c r="E2" s="33"/>
      <c r="F2" s="23" t="s">
        <v>144</v>
      </c>
      <c r="H2" s="33"/>
      <c r="K2" s="5" t="s">
        <v>111</v>
      </c>
      <c r="L2" s="4" t="s">
        <v>112</v>
      </c>
      <c r="M2" s="26" t="s">
        <v>150</v>
      </c>
      <c r="N2" s="6" t="s">
        <v>151</v>
      </c>
      <c r="O2" s="27" t="s">
        <v>143</v>
      </c>
      <c r="P2" s="5" t="s">
        <v>145</v>
      </c>
      <c r="Q2" s="11" t="s">
        <v>146</v>
      </c>
      <c r="R2" s="30"/>
      <c r="S2" s="23" t="s">
        <v>147</v>
      </c>
      <c r="T2" s="24" t="s">
        <v>152</v>
      </c>
      <c r="U2" s="32"/>
      <c r="V2" s="41" t="s">
        <v>155</v>
      </c>
      <c r="W2" s="41"/>
      <c r="X2" s="41"/>
      <c r="Y2" s="41"/>
      <c r="Z2" s="41"/>
      <c r="AA2" s="41"/>
      <c r="AB2" s="41"/>
      <c r="AC2" s="33"/>
      <c r="AD2" s="23" t="s">
        <v>148</v>
      </c>
      <c r="AE2" s="24" t="s">
        <v>152</v>
      </c>
      <c r="AG2" s="49" t="s">
        <v>165</v>
      </c>
      <c r="AH2" s="23" t="s">
        <v>166</v>
      </c>
      <c r="AI2" s="23" t="s">
        <v>167</v>
      </c>
      <c r="AJ2" s="23" t="s">
        <v>168</v>
      </c>
    </row>
    <row r="3" spans="1:36" x14ac:dyDescent="0.45">
      <c r="B3">
        <v>2000</v>
      </c>
    </row>
    <row r="4" spans="1:36" x14ac:dyDescent="0.45">
      <c r="B4">
        <v>2001</v>
      </c>
    </row>
    <row r="5" spans="1:36" x14ac:dyDescent="0.45">
      <c r="B5">
        <v>2002</v>
      </c>
    </row>
    <row r="6" spans="1:36" x14ac:dyDescent="0.45">
      <c r="B6">
        <v>2003</v>
      </c>
    </row>
    <row r="7" spans="1:36" x14ac:dyDescent="0.45">
      <c r="B7">
        <v>2004</v>
      </c>
    </row>
    <row r="8" spans="1:36" x14ac:dyDescent="0.45">
      <c r="B8">
        <v>2005</v>
      </c>
    </row>
    <row r="9" spans="1:36" x14ac:dyDescent="0.45">
      <c r="B9">
        <v>2006</v>
      </c>
    </row>
    <row r="10" spans="1:36" x14ac:dyDescent="0.45">
      <c r="B10">
        <v>2007</v>
      </c>
    </row>
    <row r="11" spans="1:36" x14ac:dyDescent="0.45">
      <c r="B11">
        <v>2008</v>
      </c>
    </row>
    <row r="12" spans="1:36" x14ac:dyDescent="0.45">
      <c r="B12">
        <v>2009</v>
      </c>
    </row>
    <row r="13" spans="1:36" x14ac:dyDescent="0.45">
      <c r="B13">
        <v>2010</v>
      </c>
    </row>
    <row r="14" spans="1:36" x14ac:dyDescent="0.45">
      <c r="B14">
        <v>2011</v>
      </c>
    </row>
    <row r="15" spans="1:36" x14ac:dyDescent="0.45">
      <c r="B15">
        <v>2012</v>
      </c>
    </row>
    <row r="16" spans="1:36" x14ac:dyDescent="0.45">
      <c r="B16">
        <v>2013</v>
      </c>
    </row>
    <row r="17" spans="1:31" x14ac:dyDescent="0.45">
      <c r="B17">
        <v>2014</v>
      </c>
    </row>
    <row r="18" spans="1:31" x14ac:dyDescent="0.45">
      <c r="B18">
        <v>2015</v>
      </c>
    </row>
    <row r="19" spans="1:31" x14ac:dyDescent="0.45">
      <c r="B19">
        <v>2016</v>
      </c>
    </row>
    <row r="20" spans="1:31" x14ac:dyDescent="0.45">
      <c r="B20">
        <v>2017</v>
      </c>
    </row>
    <row r="21" spans="1:31" x14ac:dyDescent="0.45">
      <c r="B21">
        <v>2018</v>
      </c>
    </row>
    <row r="22" spans="1:31" x14ac:dyDescent="0.45">
      <c r="B22">
        <v>2019</v>
      </c>
    </row>
    <row r="23" spans="1:31" x14ac:dyDescent="0.45">
      <c r="B23">
        <v>2020</v>
      </c>
    </row>
    <row r="24" spans="1:31" x14ac:dyDescent="0.45">
      <c r="B24">
        <v>2021</v>
      </c>
    </row>
    <row r="25" spans="1:31" x14ac:dyDescent="0.45">
      <c r="B25">
        <v>2022</v>
      </c>
    </row>
    <row r="26" spans="1:31" x14ac:dyDescent="0.45">
      <c r="B26">
        <v>2023</v>
      </c>
    </row>
    <row r="27" spans="1:31" x14ac:dyDescent="0.45">
      <c r="B27">
        <v>2024</v>
      </c>
    </row>
    <row r="29" spans="1:31" s="18" customFormat="1" x14ac:dyDescent="0.45">
      <c r="A29" s="18" t="s">
        <v>113</v>
      </c>
      <c r="C29" s="19"/>
      <c r="D29" s="19"/>
      <c r="E29" s="28"/>
      <c r="F29" s="19"/>
      <c r="H29" s="29"/>
      <c r="K29" s="20"/>
      <c r="L29" s="20"/>
      <c r="M29" s="20"/>
      <c r="N29" s="20"/>
      <c r="O29" s="21"/>
      <c r="P29" s="20"/>
      <c r="Q29" s="22"/>
      <c r="R29" s="31"/>
      <c r="T29" s="25"/>
      <c r="U29" s="29"/>
      <c r="X29" s="18" t="e">
        <f t="shared" ref="X29:AB29" si="0">AVERAGE(X3:X27)</f>
        <v>#DIV/0!</v>
      </c>
      <c r="Y29" s="18" t="e">
        <f t="shared" si="0"/>
        <v>#DIV/0!</v>
      </c>
      <c r="Z29" s="18" t="e">
        <f t="shared" si="0"/>
        <v>#DIV/0!</v>
      </c>
      <c r="AA29" s="18" t="e">
        <f t="shared" si="0"/>
        <v>#DIV/0!</v>
      </c>
      <c r="AB29" s="18" t="e">
        <f t="shared" si="0"/>
        <v>#DIV/0!</v>
      </c>
      <c r="AC29" s="29"/>
      <c r="AE29" s="25"/>
    </row>
  </sheetData>
  <mergeCells count="1">
    <mergeCell ref="V2:A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AECA-F9D8-4E94-9029-29AE891E1F4A}">
  <dimension ref="A1:M28"/>
  <sheetViews>
    <sheetView workbookViewId="0">
      <selection activeCell="I10" sqref="I10"/>
    </sheetView>
  </sheetViews>
  <sheetFormatPr defaultRowHeight="14.25" x14ac:dyDescent="0.45"/>
  <cols>
    <col min="1" max="1" width="11.59765625" bestFit="1" customWidth="1"/>
    <col min="3" max="3" width="9.06640625" style="6"/>
  </cols>
  <sheetData>
    <row r="1" spans="1:13" ht="85.5" x14ac:dyDescent="0.45">
      <c r="A1" s="2" t="s">
        <v>43</v>
      </c>
      <c r="B1" s="2" t="s">
        <v>80</v>
      </c>
      <c r="C1" s="4" t="s">
        <v>108</v>
      </c>
      <c r="E1" t="s">
        <v>116</v>
      </c>
    </row>
    <row r="2" spans="1:13" ht="14.65" thickBot="1" x14ac:dyDescent="0.5">
      <c r="A2">
        <v>140533304238.72125</v>
      </c>
      <c r="B2">
        <v>43703162220.646263</v>
      </c>
      <c r="C2" s="6">
        <v>2058990.2999999998</v>
      </c>
    </row>
    <row r="3" spans="1:13" x14ac:dyDescent="0.45">
      <c r="A3">
        <v>139028385430.87299</v>
      </c>
      <c r="B3">
        <v>41427454403.287689</v>
      </c>
      <c r="C3" s="6">
        <v>2122980.2952000001</v>
      </c>
      <c r="E3" s="14" t="s">
        <v>117</v>
      </c>
      <c r="F3" s="14"/>
    </row>
    <row r="4" spans="1:13" x14ac:dyDescent="0.45">
      <c r="A4">
        <v>144482970559.8894</v>
      </c>
      <c r="B4">
        <v>37635189933.264236</v>
      </c>
      <c r="C4" s="6">
        <v>2076428.3819999998</v>
      </c>
      <c r="E4" t="s">
        <v>118</v>
      </c>
      <c r="F4">
        <v>0.98087740551070124</v>
      </c>
    </row>
    <row r="5" spans="1:13" x14ac:dyDescent="0.45">
      <c r="A5">
        <v>151054425108.65015</v>
      </c>
      <c r="B5">
        <v>35694579310.094017</v>
      </c>
      <c r="C5" s="6">
        <v>2047317.8439</v>
      </c>
      <c r="E5" t="s">
        <v>119</v>
      </c>
      <c r="F5" s="15">
        <v>0.96212048464140454</v>
      </c>
    </row>
    <row r="6" spans="1:13" x14ac:dyDescent="0.45">
      <c r="A6">
        <v>166069208808.39377</v>
      </c>
      <c r="B6">
        <v>39369010601.349266</v>
      </c>
      <c r="C6" s="6">
        <v>2082084.7520000001</v>
      </c>
      <c r="E6" t="s">
        <v>120</v>
      </c>
      <c r="F6">
        <v>0.95867689233607767</v>
      </c>
    </row>
    <row r="7" spans="1:13" x14ac:dyDescent="0.45">
      <c r="A7">
        <v>178302402123.90665</v>
      </c>
      <c r="B7">
        <v>40801992980.92485</v>
      </c>
      <c r="C7" s="6">
        <v>2173115.2185</v>
      </c>
      <c r="E7" t="s">
        <v>121</v>
      </c>
      <c r="F7">
        <v>17652168151.839451</v>
      </c>
    </row>
    <row r="8" spans="1:13" ht="14.65" thickBot="1" x14ac:dyDescent="0.5">
      <c r="A8">
        <v>194361682395.94128</v>
      </c>
      <c r="B8">
        <v>44652955830.742096</v>
      </c>
      <c r="C8" s="6">
        <v>2317507.1952</v>
      </c>
      <c r="E8" s="12" t="s">
        <v>122</v>
      </c>
      <c r="F8" s="16">
        <v>25</v>
      </c>
    </row>
    <row r="9" spans="1:13" x14ac:dyDescent="0.45">
      <c r="A9">
        <v>211896059498.4816</v>
      </c>
      <c r="B9">
        <v>51576309712.14518</v>
      </c>
      <c r="C9" s="6">
        <v>2431366.5179999997</v>
      </c>
    </row>
    <row r="10" spans="1:13" ht="14.65" thickBot="1" x14ac:dyDescent="0.5">
      <c r="A10">
        <v>215844707508.2283</v>
      </c>
      <c r="B10">
        <v>57123779390.104187</v>
      </c>
      <c r="C10" s="6">
        <v>2628925.0092000002</v>
      </c>
      <c r="E10" t="s">
        <v>123</v>
      </c>
    </row>
    <row r="11" spans="1:13" x14ac:dyDescent="0.45">
      <c r="A11">
        <v>216120888113.03256</v>
      </c>
      <c r="B11">
        <v>60258141945.338493</v>
      </c>
      <c r="C11" s="6">
        <v>2670842.1743999999</v>
      </c>
      <c r="E11" s="13"/>
      <c r="F11" s="13" t="s">
        <v>128</v>
      </c>
      <c r="G11" s="13" t="s">
        <v>129</v>
      </c>
      <c r="H11" s="13" t="s">
        <v>130</v>
      </c>
      <c r="I11" s="13" t="s">
        <v>131</v>
      </c>
      <c r="J11" s="13" t="s">
        <v>132</v>
      </c>
    </row>
    <row r="12" spans="1:13" x14ac:dyDescent="0.45">
      <c r="A12">
        <v>247501100140.01782</v>
      </c>
      <c r="B12">
        <v>64325859654.865166</v>
      </c>
      <c r="C12" s="6">
        <v>2815805.7576000001</v>
      </c>
      <c r="E12" t="s">
        <v>124</v>
      </c>
      <c r="F12">
        <v>2</v>
      </c>
      <c r="G12">
        <v>1.7411806813379431E+23</v>
      </c>
      <c r="H12">
        <v>8.7059034066897156E+22</v>
      </c>
      <c r="I12">
        <v>279.39442283951837</v>
      </c>
      <c r="J12">
        <v>2.3038200450523506E-16</v>
      </c>
    </row>
    <row r="13" spans="1:13" x14ac:dyDescent="0.45">
      <c r="A13">
        <v>262883130580.25568</v>
      </c>
      <c r="B13">
        <v>68420489880.530258</v>
      </c>
      <c r="C13" s="6">
        <v>2895277.2281999998</v>
      </c>
      <c r="E13" t="s">
        <v>125</v>
      </c>
      <c r="F13">
        <v>22</v>
      </c>
      <c r="G13">
        <v>6.8551788901379311E+21</v>
      </c>
      <c r="H13">
        <v>3.1159904046081507E+20</v>
      </c>
    </row>
    <row r="14" spans="1:13" ht="14.65" thickBot="1" x14ac:dyDescent="0.5">
      <c r="A14">
        <v>274543305511.61057</v>
      </c>
      <c r="B14">
        <v>74324950448.238876</v>
      </c>
      <c r="C14" s="6">
        <v>3009451.8812000002</v>
      </c>
      <c r="E14" s="12" t="s">
        <v>126</v>
      </c>
      <c r="F14" s="12">
        <v>24</v>
      </c>
      <c r="G14" s="12">
        <v>1.8097324702393224E+23</v>
      </c>
      <c r="H14" s="12"/>
      <c r="I14" s="12"/>
      <c r="J14" s="12"/>
    </row>
    <row r="15" spans="1:13" ht="14.65" thickBot="1" x14ac:dyDescent="0.5">
      <c r="A15">
        <v>287769788882.22137</v>
      </c>
      <c r="B15">
        <v>78902551233.793396</v>
      </c>
      <c r="C15" s="6">
        <v>3056622.2830000003</v>
      </c>
    </row>
    <row r="16" spans="1:13" x14ac:dyDescent="0.45">
      <c r="A16">
        <v>299095084828.97827</v>
      </c>
      <c r="B16">
        <v>82232429581.946793</v>
      </c>
      <c r="C16" s="6">
        <v>3144774.7334000003</v>
      </c>
      <c r="E16" s="13"/>
      <c r="F16" s="17" t="s">
        <v>133</v>
      </c>
      <c r="G16" s="13" t="s">
        <v>121</v>
      </c>
      <c r="H16" s="13" t="s">
        <v>134</v>
      </c>
      <c r="I16" s="17" t="s">
        <v>135</v>
      </c>
      <c r="J16" s="13" t="s">
        <v>136</v>
      </c>
      <c r="K16" s="13" t="s">
        <v>137</v>
      </c>
      <c r="L16" s="13" t="s">
        <v>138</v>
      </c>
      <c r="M16" s="13" t="s">
        <v>139</v>
      </c>
    </row>
    <row r="17" spans="1:13" x14ac:dyDescent="0.45">
      <c r="A17">
        <v>307998545269.39795</v>
      </c>
      <c r="B17">
        <v>83844198352.517593</v>
      </c>
      <c r="C17" s="6">
        <v>3233040.84</v>
      </c>
      <c r="E17" t="s">
        <v>127</v>
      </c>
      <c r="F17" s="15">
        <v>-113161816008.73782</v>
      </c>
      <c r="G17">
        <v>44971266471.871254</v>
      </c>
      <c r="H17">
        <v>-2.5163137462343554</v>
      </c>
      <c r="I17" s="15">
        <v>1.965345641486229E-2</v>
      </c>
      <c r="J17">
        <v>-206426514374.28693</v>
      </c>
      <c r="K17">
        <v>-19897117643.188736</v>
      </c>
      <c r="L17">
        <v>-206426514374.28693</v>
      </c>
      <c r="M17">
        <v>-19897117643.188736</v>
      </c>
    </row>
    <row r="18" spans="1:13" x14ac:dyDescent="0.45">
      <c r="A18">
        <v>319541032495.04486</v>
      </c>
      <c r="B18">
        <v>84290655174.294907</v>
      </c>
      <c r="C18" s="6">
        <v>3257966.9232000001</v>
      </c>
      <c r="E18" t="s">
        <v>80</v>
      </c>
      <c r="F18" s="15">
        <v>1.800813466879718</v>
      </c>
      <c r="G18">
        <v>0.91384660647729232</v>
      </c>
      <c r="H18">
        <v>1.9705861510188423</v>
      </c>
      <c r="I18" s="15">
        <v>6.1483377423879396E-2</v>
      </c>
      <c r="J18">
        <v>-9.4388398489027248E-2</v>
      </c>
      <c r="K18">
        <v>3.6960153322484635</v>
      </c>
      <c r="L18">
        <v>-9.4388398489027248E-2</v>
      </c>
      <c r="M18">
        <v>3.6960153322484635</v>
      </c>
    </row>
    <row r="19" spans="1:13" ht="14.65" thickBot="1" x14ac:dyDescent="0.5">
      <c r="A19">
        <v>333846562289.74597</v>
      </c>
      <c r="B19">
        <v>88598330696.634109</v>
      </c>
      <c r="C19" s="6">
        <v>3246189.7059999998</v>
      </c>
      <c r="E19" s="12" t="s">
        <v>108</v>
      </c>
      <c r="F19" s="16">
        <v>90960.124457354628</v>
      </c>
      <c r="G19" s="12">
        <v>36849.464837520442</v>
      </c>
      <c r="H19" s="12">
        <v>2.4684245716572319</v>
      </c>
      <c r="I19" s="16">
        <v>2.1817592591986689E-2</v>
      </c>
      <c r="J19" s="12">
        <v>14539.011764144583</v>
      </c>
      <c r="K19" s="12">
        <v>167381.23715056467</v>
      </c>
      <c r="L19" s="12">
        <v>14539.011764144583</v>
      </c>
      <c r="M19" s="12">
        <v>167381.23715056467</v>
      </c>
    </row>
    <row r="20" spans="1:13" x14ac:dyDescent="0.45">
      <c r="A20">
        <v>345370865382.86688</v>
      </c>
      <c r="B20">
        <v>84207444583.856125</v>
      </c>
      <c r="C20" s="6">
        <v>3267785.3281200002</v>
      </c>
    </row>
    <row r="21" spans="1:13" x14ac:dyDescent="0.45">
      <c r="A21">
        <v>349888458531.08569</v>
      </c>
      <c r="B21">
        <v>86300365501.063766</v>
      </c>
      <c r="C21" s="6">
        <v>3347043.2490000003</v>
      </c>
    </row>
    <row r="22" spans="1:13" x14ac:dyDescent="0.45">
      <c r="A22">
        <v>336541232520.5025</v>
      </c>
      <c r="B22">
        <v>74186532831.451279</v>
      </c>
      <c r="C22" s="6">
        <v>3290514.0870000003</v>
      </c>
    </row>
    <row r="23" spans="1:13" x14ac:dyDescent="0.45">
      <c r="A23">
        <v>369376902514.86536</v>
      </c>
      <c r="B23">
        <v>91394322913.825394</v>
      </c>
      <c r="C23" s="6">
        <v>3228708.4160000002</v>
      </c>
    </row>
    <row r="24" spans="1:13" x14ac:dyDescent="0.45">
      <c r="A24">
        <v>384550906479.00623</v>
      </c>
      <c r="B24">
        <v>95674867710.435883</v>
      </c>
      <c r="C24" s="6">
        <v>3334790.2022700002</v>
      </c>
    </row>
    <row r="25" spans="1:13" x14ac:dyDescent="0.45">
      <c r="A25">
        <v>391555143381.88489</v>
      </c>
      <c r="B25">
        <v>94809012056.079865</v>
      </c>
      <c r="C25" s="6">
        <v>3497684.1319599999</v>
      </c>
    </row>
    <row r="26" spans="1:13" x14ac:dyDescent="0.45">
      <c r="A26">
        <v>408736675576.89142</v>
      </c>
      <c r="B26">
        <v>97592930009.273911</v>
      </c>
      <c r="C26" s="6">
        <v>3588444.4651200003</v>
      </c>
    </row>
    <row r="28" spans="1:13" x14ac:dyDescent="0.45">
      <c r="C28" s="1"/>
    </row>
  </sheetData>
  <sheetProtection sheet="1" objects="1" scenarios="1" selectLockedCells="1" selectUn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65112-9F7A-4E65-AF87-66BF12EAFA09}">
  <dimension ref="A1:Q33"/>
  <sheetViews>
    <sheetView workbookViewId="0">
      <selection activeCell="L7" sqref="L7"/>
    </sheetView>
  </sheetViews>
  <sheetFormatPr defaultRowHeight="14.25" x14ac:dyDescent="0.45"/>
  <cols>
    <col min="5" max="5" width="9.06640625" style="43"/>
    <col min="6" max="6" width="13.33203125" style="25" customWidth="1"/>
    <col min="7" max="7" width="11.59765625" style="25" bestFit="1" customWidth="1"/>
    <col min="10" max="10" width="12.33203125" bestFit="1" customWidth="1"/>
    <col min="11" max="11" width="13" bestFit="1" customWidth="1"/>
  </cols>
  <sheetData>
    <row r="1" spans="1:17" ht="85.5" x14ac:dyDescent="0.45">
      <c r="A1" s="2" t="s">
        <v>28</v>
      </c>
      <c r="B1" s="2" t="s">
        <v>74</v>
      </c>
      <c r="C1" s="2" t="s">
        <v>29</v>
      </c>
      <c r="D1" s="2" t="s">
        <v>40</v>
      </c>
      <c r="E1" s="42" t="s">
        <v>149</v>
      </c>
      <c r="F1" s="40" t="s">
        <v>154</v>
      </c>
      <c r="G1" s="40" t="s">
        <v>153</v>
      </c>
      <c r="I1" t="s">
        <v>116</v>
      </c>
    </row>
    <row r="2" spans="1:17" ht="14.65" thickBot="1" x14ac:dyDescent="0.5">
      <c r="A2" t="s">
        <v>75</v>
      </c>
      <c r="B2">
        <v>2000</v>
      </c>
      <c r="C2">
        <v>9.0383163255516337</v>
      </c>
      <c r="D2">
        <v>11.414764762166143</v>
      </c>
    </row>
    <row r="3" spans="1:17" x14ac:dyDescent="0.45">
      <c r="A3" t="s">
        <v>75</v>
      </c>
      <c r="B3">
        <v>2001</v>
      </c>
      <c r="C3">
        <v>-1.0708627510044835</v>
      </c>
      <c r="D3">
        <v>-5.2071925730891024</v>
      </c>
      <c r="E3" s="43">
        <v>3.1078337377305879E-2</v>
      </c>
      <c r="G3" s="25">
        <v>7.6344786991480989E-5</v>
      </c>
      <c r="I3" s="14" t="s">
        <v>117</v>
      </c>
      <c r="J3" s="14"/>
    </row>
    <row r="4" spans="1:17" x14ac:dyDescent="0.45">
      <c r="A4" t="s">
        <v>75</v>
      </c>
      <c r="B4">
        <v>2002</v>
      </c>
      <c r="C4">
        <v>3.923360767020128</v>
      </c>
      <c r="D4">
        <v>-9.1539886402542265</v>
      </c>
      <c r="E4" s="43">
        <v>-2.1927623777409942E-2</v>
      </c>
      <c r="G4" s="25">
        <v>3.1609031574915034E-5</v>
      </c>
      <c r="I4" t="s">
        <v>118</v>
      </c>
      <c r="J4">
        <v>0.82393292350564329</v>
      </c>
    </row>
    <row r="5" spans="1:17" x14ac:dyDescent="0.45">
      <c r="A5" t="s">
        <v>75</v>
      </c>
      <c r="B5">
        <v>2003</v>
      </c>
      <c r="C5">
        <v>4.5482554264322914</v>
      </c>
      <c r="D5">
        <v>-5.1563726039681654</v>
      </c>
      <c r="E5" s="43">
        <v>-1.4019524271750093E-2</v>
      </c>
      <c r="G5" s="25">
        <v>1.5972907046467799E-4</v>
      </c>
      <c r="I5" t="s">
        <v>119</v>
      </c>
      <c r="J5">
        <v>0.67886546243655621</v>
      </c>
    </row>
    <row r="6" spans="1:17" x14ac:dyDescent="0.45">
      <c r="A6" t="s">
        <v>75</v>
      </c>
      <c r="B6">
        <v>2004</v>
      </c>
      <c r="C6">
        <v>9.9399826843495731</v>
      </c>
      <c r="D6">
        <v>10.294087680187801</v>
      </c>
      <c r="E6" s="43">
        <v>1.6981685674058087E-2</v>
      </c>
      <c r="G6" s="25">
        <v>-3.8072277881575061E-5</v>
      </c>
      <c r="I6" t="s">
        <v>120</v>
      </c>
      <c r="J6">
        <v>0.55041164741117865</v>
      </c>
    </row>
    <row r="7" spans="1:17" x14ac:dyDescent="0.45">
      <c r="A7" t="s">
        <v>75</v>
      </c>
      <c r="B7">
        <v>2005</v>
      </c>
      <c r="C7">
        <v>7.366322392507584</v>
      </c>
      <c r="D7">
        <v>3.6398739965450631</v>
      </c>
      <c r="E7" s="43">
        <v>4.3720826643852136E-2</v>
      </c>
      <c r="G7" s="25">
        <v>-8.5835789589409515E-6</v>
      </c>
      <c r="I7" t="s">
        <v>121</v>
      </c>
      <c r="J7">
        <v>2.8961175812830007</v>
      </c>
    </row>
    <row r="8" spans="1:17" s="44" customFormat="1" ht="14.65" thickBot="1" x14ac:dyDescent="0.5">
      <c r="A8" s="44" t="s">
        <v>75</v>
      </c>
      <c r="B8" s="44">
        <v>2006</v>
      </c>
      <c r="C8" s="44">
        <v>9.0067660787175754</v>
      </c>
      <c r="D8" s="44">
        <v>9.4381734039746306</v>
      </c>
      <c r="E8" s="45">
        <v>6.6444694450976713E-2</v>
      </c>
      <c r="F8" s="44">
        <v>-1.5003089904785014</v>
      </c>
      <c r="G8" s="44">
        <v>3.1083931911108161E-3</v>
      </c>
      <c r="I8" s="12" t="s">
        <v>122</v>
      </c>
      <c r="J8" s="12">
        <v>15</v>
      </c>
      <c r="K8"/>
      <c r="L8"/>
      <c r="M8"/>
      <c r="N8"/>
      <c r="O8"/>
      <c r="P8"/>
      <c r="Q8"/>
    </row>
    <row r="9" spans="1:17" s="44" customFormat="1" x14ac:dyDescent="0.45">
      <c r="A9" s="44" t="s">
        <v>75</v>
      </c>
      <c r="B9" s="44">
        <v>2007</v>
      </c>
      <c r="C9" s="44">
        <v>9.0215195126889256</v>
      </c>
      <c r="D9" s="44">
        <v>15.504805342889711</v>
      </c>
      <c r="E9" s="45">
        <v>4.9130083840008838E-2</v>
      </c>
      <c r="F9" s="44">
        <v>1.0286102294922017</v>
      </c>
      <c r="G9" s="44">
        <v>3.1997266934576897E-3</v>
      </c>
      <c r="I9"/>
      <c r="J9"/>
      <c r="K9"/>
      <c r="L9"/>
      <c r="M9"/>
      <c r="N9"/>
      <c r="O9"/>
      <c r="P9"/>
      <c r="Q9"/>
    </row>
    <row r="10" spans="1:17" s="44" customFormat="1" ht="14.65" thickBot="1" x14ac:dyDescent="0.5">
      <c r="A10" s="44" t="s">
        <v>75</v>
      </c>
      <c r="B10" s="44">
        <v>2008</v>
      </c>
      <c r="C10" s="44">
        <v>1.8634834546203507</v>
      </c>
      <c r="D10" s="44">
        <v>10.755848390317652</v>
      </c>
      <c r="E10" s="45">
        <v>8.1254097124981689E-2</v>
      </c>
      <c r="F10" s="44">
        <v>2.6227378845214986</v>
      </c>
      <c r="G10" s="44">
        <v>1.853138513696757E-2</v>
      </c>
      <c r="I10" t="s">
        <v>123</v>
      </c>
      <c r="J10"/>
      <c r="K10"/>
      <c r="L10"/>
      <c r="M10"/>
      <c r="N10"/>
      <c r="O10"/>
      <c r="P10"/>
      <c r="Q10"/>
    </row>
    <row r="11" spans="1:17" s="44" customFormat="1" x14ac:dyDescent="0.45">
      <c r="A11" s="44" t="s">
        <v>75</v>
      </c>
      <c r="B11" s="44">
        <v>2009</v>
      </c>
      <c r="C11" s="44">
        <v>0.1279533827780881</v>
      </c>
      <c r="D11" s="44">
        <v>5.4869663539406588</v>
      </c>
      <c r="E11" s="45">
        <v>1.5944602852234029E-2</v>
      </c>
      <c r="F11" s="44">
        <v>0.32201004028320313</v>
      </c>
      <c r="G11" s="44">
        <v>-1.8600894741257219E-2</v>
      </c>
      <c r="I11" s="13"/>
      <c r="J11" s="13" t="s">
        <v>128</v>
      </c>
      <c r="K11" s="13" t="s">
        <v>129</v>
      </c>
      <c r="L11" s="13" t="s">
        <v>130</v>
      </c>
      <c r="M11" s="13" t="s">
        <v>131</v>
      </c>
      <c r="N11" s="13" t="s">
        <v>132</v>
      </c>
      <c r="O11"/>
      <c r="P11"/>
      <c r="Q11"/>
    </row>
    <row r="12" spans="1:17" s="44" customFormat="1" x14ac:dyDescent="0.45">
      <c r="A12" s="44" t="s">
        <v>75</v>
      </c>
      <c r="B12" s="44">
        <v>2010</v>
      </c>
      <c r="C12" s="44">
        <v>14.519749710899404</v>
      </c>
      <c r="D12" s="44">
        <v>6.7504864541236316</v>
      </c>
      <c r="E12" s="45">
        <v>5.4276356944440586E-2</v>
      </c>
      <c r="F12" s="44">
        <v>5.7464294433593963</v>
      </c>
      <c r="G12" s="44">
        <v>3.1726488987337619E-2</v>
      </c>
      <c r="I12" t="s">
        <v>124</v>
      </c>
      <c r="J12">
        <v>4</v>
      </c>
      <c r="K12">
        <v>177.30830520693888</v>
      </c>
      <c r="L12">
        <v>44.327076301734721</v>
      </c>
      <c r="M12">
        <v>5.284899185769131</v>
      </c>
      <c r="N12">
        <v>1.5008161051736435E-2</v>
      </c>
      <c r="O12"/>
      <c r="P12"/>
      <c r="Q12"/>
    </row>
    <row r="13" spans="1:17" s="44" customFormat="1" x14ac:dyDescent="0.45">
      <c r="A13" s="44" t="s">
        <v>75</v>
      </c>
      <c r="B13" s="44">
        <v>2011</v>
      </c>
      <c r="C13" s="44">
        <v>6.2149341685898918</v>
      </c>
      <c r="D13" s="44">
        <v>6.3654496770575264</v>
      </c>
      <c r="E13" s="45">
        <v>2.822334970567561E-2</v>
      </c>
      <c r="F13" s="44">
        <v>0.45959091186520595</v>
      </c>
      <c r="G13" s="44">
        <v>0.11578928480643602</v>
      </c>
      <c r="I13" t="s">
        <v>125</v>
      </c>
      <c r="J13">
        <v>10</v>
      </c>
      <c r="K13">
        <v>83.874970446164966</v>
      </c>
      <c r="L13">
        <v>8.3874970446164969</v>
      </c>
      <c r="M13"/>
      <c r="N13"/>
      <c r="O13"/>
      <c r="P13"/>
      <c r="Q13"/>
    </row>
    <row r="14" spans="1:17" s="44" customFormat="1" ht="14.65" thickBot="1" x14ac:dyDescent="0.5">
      <c r="A14" s="44" t="s">
        <v>75</v>
      </c>
      <c r="B14" s="44">
        <v>2012</v>
      </c>
      <c r="C14" s="44">
        <v>4.4354975937853709</v>
      </c>
      <c r="D14" s="44">
        <v>8.6296671918287444</v>
      </c>
      <c r="E14" s="45">
        <v>3.943479121375297E-2</v>
      </c>
      <c r="F14" s="44">
        <v>1.747440338134794</v>
      </c>
      <c r="G14" s="44">
        <v>-1.1007246851475E-2</v>
      </c>
      <c r="I14" s="12" t="s">
        <v>126</v>
      </c>
      <c r="J14" s="12">
        <v>14</v>
      </c>
      <c r="K14" s="12">
        <v>261.18327565310386</v>
      </c>
      <c r="L14" s="12"/>
      <c r="M14" s="12"/>
      <c r="N14" s="12"/>
      <c r="O14"/>
      <c r="P14"/>
      <c r="Q14"/>
    </row>
    <row r="15" spans="1:17" s="44" customFormat="1" ht="14.65" thickBot="1" x14ac:dyDescent="0.5">
      <c r="A15" s="44" t="s">
        <v>75</v>
      </c>
      <c r="B15" s="44">
        <v>2013</v>
      </c>
      <c r="C15" s="44">
        <v>4.8176309912067552</v>
      </c>
      <c r="D15" s="44">
        <v>6.1589019003012169</v>
      </c>
      <c r="E15" s="45">
        <v>1.5674084073140655E-2</v>
      </c>
      <c r="F15" s="44">
        <v>1.3192596435547017</v>
      </c>
      <c r="G15" s="44">
        <v>-2.3834748944580014E-2</v>
      </c>
      <c r="I15"/>
      <c r="J15"/>
      <c r="K15"/>
      <c r="L15"/>
      <c r="M15"/>
      <c r="N15"/>
      <c r="O15"/>
      <c r="P15"/>
      <c r="Q15"/>
    </row>
    <row r="16" spans="1:17" s="44" customFormat="1" x14ac:dyDescent="0.45">
      <c r="A16" s="44" t="s">
        <v>75</v>
      </c>
      <c r="B16" s="44">
        <v>2014</v>
      </c>
      <c r="C16" s="44">
        <v>3.9355402770900696</v>
      </c>
      <c r="D16" s="44">
        <v>4.2202416729045353</v>
      </c>
      <c r="E16" s="45">
        <v>2.8839824563956423E-2</v>
      </c>
      <c r="F16" s="44">
        <v>1.1507110595702983</v>
      </c>
      <c r="G16" s="44">
        <v>-1.4579980356545993E-2</v>
      </c>
      <c r="I16" s="13"/>
      <c r="J16" s="46" t="s">
        <v>133</v>
      </c>
      <c r="K16" s="46" t="s">
        <v>121</v>
      </c>
      <c r="L16" s="13" t="s">
        <v>134</v>
      </c>
      <c r="M16" s="13" t="s">
        <v>135</v>
      </c>
      <c r="N16" s="13" t="s">
        <v>136</v>
      </c>
      <c r="O16" s="13" t="s">
        <v>137</v>
      </c>
      <c r="P16" s="13" t="s">
        <v>138</v>
      </c>
      <c r="Q16" s="13" t="s">
        <v>139</v>
      </c>
    </row>
    <row r="17" spans="1:17" s="44" customFormat="1" x14ac:dyDescent="0.45">
      <c r="A17" s="44" t="s">
        <v>75</v>
      </c>
      <c r="B17" s="44">
        <v>2015</v>
      </c>
      <c r="C17" s="44">
        <v>2.9767993163480639</v>
      </c>
      <c r="D17" s="44">
        <v>1.9600159921878912</v>
      </c>
      <c r="E17" s="45">
        <v>2.8067545081224287E-2</v>
      </c>
      <c r="F17" s="44">
        <v>0.8884201049804048</v>
      </c>
      <c r="G17" s="44">
        <v>-7.048831203233541E-2</v>
      </c>
      <c r="I17" t="s">
        <v>127</v>
      </c>
      <c r="J17">
        <v>0.74453604665789208</v>
      </c>
      <c r="K17">
        <v>1.2900141659011393</v>
      </c>
      <c r="L17">
        <v>0.57715338818608752</v>
      </c>
      <c r="M17">
        <v>0.57659766247818589</v>
      </c>
      <c r="N17">
        <v>-2.1297946359991036</v>
      </c>
      <c r="O17">
        <v>3.6188667293148882</v>
      </c>
      <c r="P17">
        <v>-2.1297946359991036</v>
      </c>
      <c r="Q17">
        <v>3.6188667293148882</v>
      </c>
    </row>
    <row r="18" spans="1:17" s="44" customFormat="1" x14ac:dyDescent="0.45">
      <c r="A18" s="44" t="s">
        <v>75</v>
      </c>
      <c r="B18" s="44">
        <v>2016</v>
      </c>
      <c r="C18" s="44">
        <v>3.7475784879279246</v>
      </c>
      <c r="D18" s="44">
        <v>0.53248385761912687</v>
      </c>
      <c r="E18" s="45">
        <v>7.7097953393005167E-3</v>
      </c>
      <c r="F18" s="44">
        <v>0.74551773071289773</v>
      </c>
      <c r="G18" s="44">
        <v>-5.0371849744336034E-3</v>
      </c>
      <c r="I18">
        <v>9.4381734039746306</v>
      </c>
      <c r="J18">
        <v>0.23778909514372215</v>
      </c>
      <c r="K18">
        <v>0.10101629249765647</v>
      </c>
      <c r="L18">
        <v>2.3539677537585213</v>
      </c>
      <c r="M18">
        <v>4.0366528062239213E-2</v>
      </c>
      <c r="N18">
        <v>1.2710769146084183E-2</v>
      </c>
      <c r="O18">
        <v>0.46286742114136015</v>
      </c>
      <c r="P18">
        <v>1.2710769146084183E-2</v>
      </c>
      <c r="Q18">
        <v>0.46286742114136015</v>
      </c>
    </row>
    <row r="19" spans="1:17" s="44" customFormat="1" x14ac:dyDescent="0.45">
      <c r="A19" s="44" t="s">
        <v>75</v>
      </c>
      <c r="B19" s="44">
        <v>2017</v>
      </c>
      <c r="C19" s="44">
        <v>4.4768991584587638</v>
      </c>
      <c r="D19" s="44">
        <v>5.1105018859230142</v>
      </c>
      <c r="E19" s="45">
        <v>-3.6148977192293381E-3</v>
      </c>
      <c r="F19" s="44">
        <v>1.4455909729003977</v>
      </c>
      <c r="G19" s="44">
        <v>-2.8901083437207382E-2</v>
      </c>
      <c r="I19">
        <v>6.6444694450976713E-2</v>
      </c>
      <c r="J19">
        <v>-4.765631722815999</v>
      </c>
      <c r="K19">
        <v>31.186145566812122</v>
      </c>
      <c r="L19">
        <v>-0.15281246323327369</v>
      </c>
      <c r="M19">
        <v>0.88158558796621778</v>
      </c>
      <c r="N19">
        <v>-74.252694303929601</v>
      </c>
      <c r="O19">
        <v>64.721430858297609</v>
      </c>
      <c r="P19">
        <v>-74.252694303929601</v>
      </c>
      <c r="Q19">
        <v>64.721430858297609</v>
      </c>
    </row>
    <row r="20" spans="1:17" s="44" customFormat="1" x14ac:dyDescent="0.45">
      <c r="A20" s="44" t="s">
        <v>75</v>
      </c>
      <c r="B20" s="44">
        <v>2018</v>
      </c>
      <c r="C20" s="44">
        <v>3.4519759658686979</v>
      </c>
      <c r="D20" s="44">
        <v>-4.9559467749032819</v>
      </c>
      <c r="E20" s="45">
        <v>6.652606309509511E-3</v>
      </c>
      <c r="F20" s="44">
        <v>1.5284996032715057</v>
      </c>
      <c r="G20" s="44">
        <v>-2.6412172896658097E-4</v>
      </c>
      <c r="I20">
        <v>-1.5003089904785014</v>
      </c>
      <c r="J20">
        <v>1.5457225898946869</v>
      </c>
      <c r="K20">
        <v>0.60625522367897222</v>
      </c>
      <c r="L20">
        <v>2.5496235405852552</v>
      </c>
      <c r="M20">
        <v>2.8882595401599251E-2</v>
      </c>
      <c r="N20">
        <v>0.19490177179593982</v>
      </c>
      <c r="O20">
        <v>2.896543407993434</v>
      </c>
      <c r="P20">
        <v>0.19490177179593982</v>
      </c>
      <c r="Q20">
        <v>2.896543407993434</v>
      </c>
    </row>
    <row r="21" spans="1:17" s="44" customFormat="1" ht="14.65" thickBot="1" x14ac:dyDescent="0.5">
      <c r="A21" s="44" t="s">
        <v>75</v>
      </c>
      <c r="B21" s="44">
        <v>2019</v>
      </c>
      <c r="C21" s="44">
        <v>1.3080411815312658</v>
      </c>
      <c r="D21" s="44">
        <v>2.4854345450697792</v>
      </c>
      <c r="E21" s="45">
        <v>2.4254323011358346E-2</v>
      </c>
      <c r="F21" s="44">
        <v>1.4892921447753977</v>
      </c>
      <c r="G21" s="44">
        <v>-1.9500992509015986E-5</v>
      </c>
      <c r="I21" s="12">
        <v>3.1083931911108161E-3</v>
      </c>
      <c r="J21" s="12">
        <v>18.104708455422788</v>
      </c>
      <c r="K21" s="12">
        <v>20.188849261855861</v>
      </c>
      <c r="L21" s="12">
        <v>0.89676772660981829</v>
      </c>
      <c r="M21" s="12">
        <v>0.39092064395145643</v>
      </c>
      <c r="N21" s="12">
        <v>-26.878850961812674</v>
      </c>
      <c r="O21" s="12">
        <v>63.08826787265825</v>
      </c>
      <c r="P21" s="12">
        <v>-26.878850961812674</v>
      </c>
      <c r="Q21" s="12">
        <v>63.08826787265825</v>
      </c>
    </row>
    <row r="22" spans="1:17" s="44" customFormat="1" x14ac:dyDescent="0.45">
      <c r="A22" s="44" t="s">
        <v>75</v>
      </c>
      <c r="B22" s="44">
        <v>2020</v>
      </c>
      <c r="C22" s="44">
        <v>-3.8147088551071278</v>
      </c>
      <c r="D22" s="44">
        <v>-14.036826610500484</v>
      </c>
      <c r="E22" s="45">
        <v>-1.6889283404655522E-2</v>
      </c>
      <c r="F22" s="44">
        <v>1.0362510681151988</v>
      </c>
      <c r="G22" s="44">
        <v>7.2806108127268987E-5</v>
      </c>
      <c r="I22"/>
      <c r="J22"/>
      <c r="K22"/>
      <c r="L22"/>
      <c r="M22"/>
      <c r="N22"/>
      <c r="O22"/>
      <c r="P22"/>
      <c r="Q22"/>
    </row>
    <row r="23" spans="1:17" s="44" customFormat="1" x14ac:dyDescent="0.45">
      <c r="A23" s="44" t="s">
        <v>75</v>
      </c>
      <c r="B23" s="44">
        <v>2021</v>
      </c>
      <c r="C23" s="44">
        <v>9.7568044629903028</v>
      </c>
      <c r="D23" s="44">
        <v>23.19530166138037</v>
      </c>
      <c r="E23" s="45">
        <v>-1.878298325607505E-2</v>
      </c>
      <c r="F23" s="44">
        <v>3.5513191223145029</v>
      </c>
      <c r="G23" s="44">
        <v>-6.1083159356694992E-5</v>
      </c>
      <c r="I23"/>
      <c r="J23"/>
      <c r="K23"/>
      <c r="L23"/>
      <c r="M23"/>
      <c r="N23"/>
      <c r="O23"/>
      <c r="P23"/>
      <c r="Q23"/>
    </row>
    <row r="24" spans="1:17" x14ac:dyDescent="0.45">
      <c r="A24" t="s">
        <v>75</v>
      </c>
      <c r="B24">
        <v>2022</v>
      </c>
      <c r="C24">
        <v>4.1080002189715117</v>
      </c>
      <c r="D24">
        <v>4.6836003157948483</v>
      </c>
      <c r="E24" s="43">
        <v>3.285579637489322E-2</v>
      </c>
      <c r="F24" s="25">
        <v>1.2494697570800994</v>
      </c>
    </row>
    <row r="25" spans="1:17" x14ac:dyDescent="0.45">
      <c r="A25" t="s">
        <v>75</v>
      </c>
      <c r="B25">
        <v>2023</v>
      </c>
      <c r="C25">
        <v>1.8214069411538532</v>
      </c>
      <c r="D25">
        <v>-0.90499801575536765</v>
      </c>
      <c r="E25" s="43">
        <v>4.8846829878268612E-2</v>
      </c>
    </row>
    <row r="26" spans="1:17" x14ac:dyDescent="0.45">
      <c r="A26" t="s">
        <v>75</v>
      </c>
      <c r="B26">
        <v>2024</v>
      </c>
      <c r="C26">
        <v>4.3880236246186541</v>
      </c>
      <c r="D26">
        <v>2.9363431733128351</v>
      </c>
      <c r="E26" s="43">
        <v>2.5948693402780471E-2</v>
      </c>
    </row>
    <row r="28" spans="1:17" x14ac:dyDescent="0.45">
      <c r="A28" t="s">
        <v>113</v>
      </c>
      <c r="C28">
        <v>4.7963708207198028</v>
      </c>
      <c r="D28">
        <v>4.0059049215621823</v>
      </c>
    </row>
    <row r="31" spans="1:17" x14ac:dyDescent="0.45">
      <c r="A31" t="s">
        <v>157</v>
      </c>
    </row>
    <row r="32" spans="1:17" x14ac:dyDescent="0.45">
      <c r="A32" t="s">
        <v>158</v>
      </c>
    </row>
    <row r="33" spans="1:1" x14ac:dyDescent="0.45">
      <c r="A33" t="s">
        <v>159</v>
      </c>
    </row>
  </sheetData>
  <sheetProtection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6D3-3ACC-423F-8903-C5F506436891}">
  <dimension ref="A1:N20"/>
  <sheetViews>
    <sheetView workbookViewId="0">
      <selection activeCell="F17" sqref="F17"/>
    </sheetView>
  </sheetViews>
  <sheetFormatPr defaultRowHeight="14.25" x14ac:dyDescent="0.45"/>
  <cols>
    <col min="1" max="1" width="12.19921875" style="9" customWidth="1"/>
    <col min="2" max="2" width="9.06640625" style="43"/>
    <col min="3" max="3" width="13.33203125" style="25" customWidth="1"/>
    <col min="6" max="6" width="35.9296875" customWidth="1"/>
  </cols>
  <sheetData>
    <row r="1" spans="1:14" ht="85.5" x14ac:dyDescent="0.45">
      <c r="A1" s="8" t="s">
        <v>114</v>
      </c>
      <c r="B1" s="42" t="s">
        <v>160</v>
      </c>
      <c r="C1" s="40" t="s">
        <v>154</v>
      </c>
      <c r="D1" s="2" t="s">
        <v>71</v>
      </c>
      <c r="F1" t="s">
        <v>116</v>
      </c>
    </row>
    <row r="2" spans="1:14" ht="14.65" thickBot="1" x14ac:dyDescent="0.5">
      <c r="A2" s="9">
        <v>2.2151140569329326E-2</v>
      </c>
      <c r="B2" s="43">
        <v>2.6196426063287068E-2</v>
      </c>
      <c r="C2" s="25">
        <v>-1.5003089904785014</v>
      </c>
      <c r="D2">
        <v>11.921913382779238</v>
      </c>
    </row>
    <row r="3" spans="1:14" x14ac:dyDescent="0.45">
      <c r="A3" s="9">
        <v>3.9161122076016859E-2</v>
      </c>
      <c r="B3" s="43">
        <v>0.10095789952110516</v>
      </c>
      <c r="C3" s="25">
        <v>1.0286102294922017</v>
      </c>
      <c r="D3">
        <v>5.9408665704516324</v>
      </c>
      <c r="F3" s="14" t="s">
        <v>117</v>
      </c>
      <c r="G3" s="14"/>
    </row>
    <row r="4" spans="1:14" x14ac:dyDescent="0.45">
      <c r="A4" s="9">
        <v>-5.7913549410153149E-2</v>
      </c>
      <c r="B4" s="43">
        <v>2.4327664374301224E-2</v>
      </c>
      <c r="C4" s="25">
        <v>2.6227378845214986</v>
      </c>
      <c r="D4">
        <v>-4.1884694683058541</v>
      </c>
      <c r="F4" t="s">
        <v>118</v>
      </c>
      <c r="G4">
        <v>0.90255618496708157</v>
      </c>
    </row>
    <row r="5" spans="1:14" x14ac:dyDescent="0.45">
      <c r="A5" s="9">
        <v>-1.4434910115454443E-2</v>
      </c>
      <c r="B5" s="43">
        <v>3.8314156675365557E-2</v>
      </c>
      <c r="C5" s="25">
        <v>0.32201004028320313</v>
      </c>
      <c r="D5">
        <v>-4.1502986226508227</v>
      </c>
      <c r="F5" t="s">
        <v>119</v>
      </c>
      <c r="G5" s="47">
        <v>0.81460766702233278</v>
      </c>
    </row>
    <row r="6" spans="1:14" x14ac:dyDescent="0.45">
      <c r="A6" s="9">
        <v>8.6240329270084265E-2</v>
      </c>
      <c r="B6" s="43">
        <v>1.2547476294674259E-2</v>
      </c>
      <c r="C6" s="25">
        <v>5.7464294433593963</v>
      </c>
      <c r="D6">
        <v>29.675335626760187</v>
      </c>
      <c r="F6" t="s">
        <v>120</v>
      </c>
      <c r="G6">
        <v>0.77182482095056337</v>
      </c>
    </row>
    <row r="7" spans="1:14" x14ac:dyDescent="0.45">
      <c r="A7" s="9">
        <v>3.299476907418445E-2</v>
      </c>
      <c r="B7" s="43">
        <v>3.4458609673707216E-2</v>
      </c>
      <c r="C7" s="25">
        <v>0.45959091186520595</v>
      </c>
      <c r="D7">
        <v>7.8077670717552081</v>
      </c>
      <c r="F7" t="s">
        <v>121</v>
      </c>
      <c r="G7">
        <v>1.9437792621639249E-2</v>
      </c>
    </row>
    <row r="8" spans="1:14" ht="14.65" thickBot="1" x14ac:dyDescent="0.5">
      <c r="A8" s="9">
        <v>4.7335193758095443E-3</v>
      </c>
      <c r="B8" s="43">
        <v>4.5084002479668366E-2</v>
      </c>
      <c r="C8" s="25">
        <v>1.747440338134794</v>
      </c>
      <c r="D8">
        <v>0.31910712270446595</v>
      </c>
      <c r="F8" s="12" t="s">
        <v>122</v>
      </c>
      <c r="G8" s="48">
        <v>17</v>
      </c>
    </row>
    <row r="9" spans="1:14" x14ac:dyDescent="0.45">
      <c r="A9" s="9">
        <v>3.2000645038203282E-2</v>
      </c>
      <c r="B9" s="43">
        <v>4.5206366540080929E-2</v>
      </c>
      <c r="C9" s="25">
        <v>1.3192596435547017</v>
      </c>
      <c r="D9">
        <v>1.6712764155420388</v>
      </c>
    </row>
    <row r="10" spans="1:14" ht="14.65" thickBot="1" x14ac:dyDescent="0.5">
      <c r="A10" s="9">
        <v>1.0220811788075115E-2</v>
      </c>
      <c r="B10" s="43">
        <v>1.298801994834551E-2</v>
      </c>
      <c r="C10" s="25">
        <v>1.1507110595702983</v>
      </c>
      <c r="D10">
        <v>2.6831203913080088</v>
      </c>
      <c r="F10" t="s">
        <v>123</v>
      </c>
    </row>
    <row r="11" spans="1:14" x14ac:dyDescent="0.45">
      <c r="A11" s="9">
        <v>1.6540236975596098E-3</v>
      </c>
      <c r="B11" s="43">
        <v>-8.2362148283519395E-3</v>
      </c>
      <c r="C11" s="25">
        <v>0.8884201049804048</v>
      </c>
      <c r="D11">
        <v>-5.1278017991461269</v>
      </c>
      <c r="F11" s="13"/>
      <c r="G11" s="13" t="s">
        <v>128</v>
      </c>
      <c r="H11" s="13" t="s">
        <v>129</v>
      </c>
      <c r="I11" s="13" t="s">
        <v>130</v>
      </c>
      <c r="J11" s="13" t="s">
        <v>131</v>
      </c>
      <c r="K11" s="13" t="s">
        <v>132</v>
      </c>
    </row>
    <row r="12" spans="1:14" x14ac:dyDescent="0.45">
      <c r="A12" s="9">
        <v>2.9538255634357968E-2</v>
      </c>
      <c r="B12" s="43">
        <v>-2.3667099140445851E-3</v>
      </c>
      <c r="C12" s="25">
        <v>0.74551773071289773</v>
      </c>
      <c r="D12">
        <v>3.7010008068074569</v>
      </c>
      <c r="F12" t="s">
        <v>124</v>
      </c>
      <c r="G12">
        <v>3</v>
      </c>
      <c r="H12">
        <v>2.1582113133598507E-2</v>
      </c>
      <c r="I12">
        <v>7.1940377111995024E-3</v>
      </c>
      <c r="J12">
        <v>19.040520718416136</v>
      </c>
      <c r="K12">
        <v>4.8672019036150807E-5</v>
      </c>
    </row>
    <row r="13" spans="1:14" x14ac:dyDescent="0.45">
      <c r="A13" s="9">
        <v>4.8559426664513565E-2</v>
      </c>
      <c r="B13" s="43">
        <v>5.4918441126029546E-2</v>
      </c>
      <c r="C13" s="25">
        <v>1.4455909729003977</v>
      </c>
      <c r="D13">
        <v>10.406115334791167</v>
      </c>
      <c r="F13" t="s">
        <v>125</v>
      </c>
      <c r="G13">
        <v>13</v>
      </c>
      <c r="H13">
        <v>4.9117611660240926E-3</v>
      </c>
      <c r="I13">
        <v>3.7782778200185326E-4</v>
      </c>
    </row>
    <row r="14" spans="1:14" ht="14.65" thickBot="1" x14ac:dyDescent="0.5">
      <c r="A14" s="9">
        <v>2.7682989319762721E-2</v>
      </c>
      <c r="B14" s="43">
        <v>-5.5840588606452392E-2</v>
      </c>
      <c r="C14" s="25">
        <v>1.5284996032715057</v>
      </c>
      <c r="D14">
        <v>7.0287004412821261</v>
      </c>
      <c r="F14" s="12" t="s">
        <v>126</v>
      </c>
      <c r="G14" s="12">
        <v>16</v>
      </c>
      <c r="H14" s="12">
        <v>2.6493874299622598E-2</v>
      </c>
      <c r="I14" s="12"/>
      <c r="J14" s="12"/>
      <c r="K14" s="12"/>
    </row>
    <row r="15" spans="1:14" ht="14.65" thickBot="1" x14ac:dyDescent="0.5">
      <c r="A15" s="9">
        <v>-1.0909313190100821E-2</v>
      </c>
      <c r="B15" s="43">
        <v>5.8581391931573521E-4</v>
      </c>
      <c r="C15" s="25">
        <v>1.4892921447753977</v>
      </c>
      <c r="D15">
        <v>-1.4550979032228923</v>
      </c>
    </row>
    <row r="16" spans="1:14" x14ac:dyDescent="0.45">
      <c r="A16" s="9">
        <v>-2.1623002157920537E-2</v>
      </c>
      <c r="B16" s="43">
        <v>-0.12560028144945354</v>
      </c>
      <c r="C16" s="25">
        <v>1.0362510681151988</v>
      </c>
      <c r="D16">
        <v>7.5307063016974496</v>
      </c>
      <c r="F16" s="13"/>
      <c r="G16" s="13" t="s">
        <v>133</v>
      </c>
      <c r="H16" s="13" t="s">
        <v>121</v>
      </c>
      <c r="I16" s="13" t="s">
        <v>134</v>
      </c>
      <c r="J16" s="13" t="s">
        <v>135</v>
      </c>
      <c r="K16" s="13" t="s">
        <v>136</v>
      </c>
      <c r="L16" s="13" t="s">
        <v>137</v>
      </c>
      <c r="M16" s="13" t="s">
        <v>138</v>
      </c>
      <c r="N16" s="13" t="s">
        <v>139</v>
      </c>
    </row>
    <row r="17" spans="1:14" x14ac:dyDescent="0.45">
      <c r="A17" s="9">
        <v>0.11857828176694038</v>
      </c>
      <c r="B17" s="43">
        <v>0.25553572307777783</v>
      </c>
      <c r="C17" s="25">
        <v>3.5513191223145029</v>
      </c>
      <c r="D17">
        <v>13.303540009852924</v>
      </c>
      <c r="F17" t="s">
        <v>127</v>
      </c>
      <c r="G17">
        <v>-2.3691376758903926E-3</v>
      </c>
      <c r="H17">
        <v>6.7164117621336637E-3</v>
      </c>
      <c r="I17">
        <v>-0.35273859909056066</v>
      </c>
      <c r="J17">
        <v>0.72993781617758779</v>
      </c>
      <c r="K17">
        <v>-1.6879063130701994E-2</v>
      </c>
      <c r="L17">
        <v>1.2140787778921209E-2</v>
      </c>
      <c r="M17">
        <v>-1.6879063130701994E-2</v>
      </c>
      <c r="N17">
        <v>1.2140787778921209E-2</v>
      </c>
    </row>
    <row r="18" spans="1:14" x14ac:dyDescent="0.45">
      <c r="A18" s="9">
        <v>7.9625886243627955E-3</v>
      </c>
      <c r="B18" s="43">
        <v>1.3535487559950652E-2</v>
      </c>
      <c r="C18" s="25">
        <v>1.2494697570800994</v>
      </c>
      <c r="D18">
        <v>2.6997624563978491</v>
      </c>
      <c r="F18" t="s">
        <v>160</v>
      </c>
      <c r="G18">
        <v>0.28086591243648851</v>
      </c>
      <c r="H18">
        <v>6.6019121440717352E-2</v>
      </c>
      <c r="I18">
        <v>4.2543115737869268</v>
      </c>
      <c r="J18">
        <v>9.3964046218829658E-4</v>
      </c>
      <c r="K18">
        <v>0.138240271748752</v>
      </c>
      <c r="L18">
        <v>0.42349155312422504</v>
      </c>
      <c r="M18">
        <v>0.138240271748752</v>
      </c>
      <c r="N18">
        <v>0.42349155312422504</v>
      </c>
    </row>
    <row r="19" spans="1:14" x14ac:dyDescent="0.45">
      <c r="F19" t="s">
        <v>154</v>
      </c>
      <c r="G19">
        <v>-1.3738151214681749E-3</v>
      </c>
      <c r="H19">
        <v>3.8326829660824892E-3</v>
      </c>
      <c r="I19">
        <v>-0.35844736797324939</v>
      </c>
      <c r="J19">
        <v>0.72576228588149083</v>
      </c>
      <c r="K19">
        <v>-9.6538232715516325E-3</v>
      </c>
      <c r="L19">
        <v>6.9061930286152835E-3</v>
      </c>
      <c r="M19">
        <v>-9.6538232715516325E-3</v>
      </c>
      <c r="N19">
        <v>6.9061930286152835E-3</v>
      </c>
    </row>
    <row r="20" spans="1:14" ht="14.65" thickBot="1" x14ac:dyDescent="0.5">
      <c r="F20" s="12" t="s">
        <v>71</v>
      </c>
      <c r="G20" s="12">
        <v>3.322412053943481E-3</v>
      </c>
      <c r="H20" s="12">
        <v>6.7523402500177694E-4</v>
      </c>
      <c r="I20" s="12">
        <v>4.9203860156998722</v>
      </c>
      <c r="J20" s="12">
        <v>2.7976643221786326E-4</v>
      </c>
      <c r="K20" s="12">
        <v>1.8636576305524285E-3</v>
      </c>
      <c r="L20" s="12">
        <v>4.7811664773345338E-3</v>
      </c>
      <c r="M20" s="12">
        <v>1.8636576305524285E-3</v>
      </c>
      <c r="N20" s="12">
        <v>4.7811664773345338E-3</v>
      </c>
    </row>
  </sheetData>
  <sheetProtection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50B5-D3B7-45EF-87FA-2DEE08221817}">
  <dimension ref="A1"/>
  <sheetViews>
    <sheetView topLeftCell="A13" workbookViewId="0">
      <selection activeCell="L25" sqref="L25"/>
    </sheetView>
  </sheetViews>
  <sheetFormatPr defaultRowHeight="14.25" x14ac:dyDescent="0.45"/>
  <sheetData/>
  <sheetProtection sheet="1" objects="1" scenarios="1" selectLockedCells="1" selectUnlockedCells="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workbookViewId="0"/>
  </sheetViews>
  <sheetFormatPr defaultRowHeight="14.25" x14ac:dyDescent="0.45"/>
  <cols>
    <col min="1" max="1" width="15.796875" customWidth="1"/>
    <col min="2" max="16" width="50.796875" customWidth="1"/>
  </cols>
  <sheetData>
    <row r="1" spans="1:16" x14ac:dyDescent="0.45">
      <c r="A1" t="s">
        <v>16</v>
      </c>
      <c r="B1" t="s">
        <v>47</v>
      </c>
      <c r="C1" t="s">
        <v>101</v>
      </c>
      <c r="D1" t="s">
        <v>65</v>
      </c>
      <c r="E1" t="s">
        <v>93</v>
      </c>
      <c r="F1" t="s">
        <v>55</v>
      </c>
      <c r="G1" t="s">
        <v>26</v>
      </c>
      <c r="H1" t="s">
        <v>97</v>
      </c>
      <c r="I1" t="s">
        <v>67</v>
      </c>
      <c r="J1" t="s">
        <v>32</v>
      </c>
      <c r="K1" t="s">
        <v>2</v>
      </c>
      <c r="L1" t="s">
        <v>87</v>
      </c>
      <c r="M1" t="s">
        <v>0</v>
      </c>
      <c r="N1" t="s">
        <v>41</v>
      </c>
      <c r="O1" t="s">
        <v>98</v>
      </c>
      <c r="P1" t="s">
        <v>91</v>
      </c>
    </row>
    <row r="2" spans="1:16" x14ac:dyDescent="0.45">
      <c r="A2" t="s">
        <v>1</v>
      </c>
      <c r="B2" t="s">
        <v>52</v>
      </c>
      <c r="C2" t="s">
        <v>43</v>
      </c>
      <c r="D2" t="s">
        <v>31</v>
      </c>
      <c r="E2" t="s">
        <v>6</v>
      </c>
      <c r="F2" t="s">
        <v>15</v>
      </c>
      <c r="G2" t="s">
        <v>44</v>
      </c>
      <c r="H2" t="s">
        <v>82</v>
      </c>
      <c r="I2" t="s">
        <v>25</v>
      </c>
      <c r="J2" t="s">
        <v>66</v>
      </c>
      <c r="K2" t="s">
        <v>78</v>
      </c>
      <c r="L2" t="s">
        <v>70</v>
      </c>
      <c r="M2" t="s">
        <v>88</v>
      </c>
      <c r="N2" t="s">
        <v>21</v>
      </c>
      <c r="P2" t="s">
        <v>5</v>
      </c>
    </row>
    <row r="3" spans="1:16" x14ac:dyDescent="0.45">
      <c r="A3" t="s">
        <v>22</v>
      </c>
      <c r="B3" t="s">
        <v>52</v>
      </c>
      <c r="C3" t="s">
        <v>8</v>
      </c>
      <c r="D3" t="s">
        <v>96</v>
      </c>
      <c r="E3" t="s">
        <v>6</v>
      </c>
      <c r="F3" t="s">
        <v>69</v>
      </c>
      <c r="G3" t="s">
        <v>44</v>
      </c>
      <c r="H3" t="s">
        <v>86</v>
      </c>
      <c r="I3" t="s">
        <v>25</v>
      </c>
      <c r="J3" t="s">
        <v>53</v>
      </c>
      <c r="K3" t="s">
        <v>23</v>
      </c>
      <c r="L3" t="s">
        <v>70</v>
      </c>
      <c r="M3" t="s">
        <v>88</v>
      </c>
      <c r="N3" t="s">
        <v>21</v>
      </c>
      <c r="P3" t="s">
        <v>5</v>
      </c>
    </row>
    <row r="4" spans="1:16" x14ac:dyDescent="0.45">
      <c r="A4" t="s">
        <v>92</v>
      </c>
      <c r="B4" t="s">
        <v>52</v>
      </c>
      <c r="C4" t="s">
        <v>80</v>
      </c>
      <c r="D4" t="s">
        <v>72</v>
      </c>
      <c r="E4" t="s">
        <v>6</v>
      </c>
      <c r="F4" t="s">
        <v>79</v>
      </c>
      <c r="G4" t="s">
        <v>44</v>
      </c>
      <c r="H4" t="s">
        <v>82</v>
      </c>
      <c r="I4" t="s">
        <v>25</v>
      </c>
      <c r="J4" t="s">
        <v>66</v>
      </c>
      <c r="K4" t="s">
        <v>78</v>
      </c>
      <c r="L4" t="s">
        <v>70</v>
      </c>
      <c r="M4" t="s">
        <v>89</v>
      </c>
      <c r="P4" t="s">
        <v>5</v>
      </c>
    </row>
    <row r="5" spans="1:16" x14ac:dyDescent="0.45">
      <c r="A5" t="s">
        <v>59</v>
      </c>
      <c r="B5" t="s">
        <v>52</v>
      </c>
      <c r="C5" t="s">
        <v>40</v>
      </c>
      <c r="D5" t="s">
        <v>102</v>
      </c>
      <c r="E5" t="s">
        <v>6</v>
      </c>
      <c r="F5" t="s">
        <v>69</v>
      </c>
      <c r="G5" t="s">
        <v>44</v>
      </c>
      <c r="H5" t="s">
        <v>86</v>
      </c>
      <c r="I5" t="s">
        <v>25</v>
      </c>
      <c r="J5" t="s">
        <v>53</v>
      </c>
      <c r="K5" t="s">
        <v>23</v>
      </c>
      <c r="L5" t="s">
        <v>70</v>
      </c>
      <c r="M5" t="s">
        <v>89</v>
      </c>
      <c r="P5" t="s">
        <v>5</v>
      </c>
    </row>
    <row r="6" spans="1:16" x14ac:dyDescent="0.45">
      <c r="A6" t="s">
        <v>42</v>
      </c>
      <c r="B6" t="s">
        <v>52</v>
      </c>
      <c r="C6" t="s">
        <v>73</v>
      </c>
      <c r="D6" t="s">
        <v>45</v>
      </c>
      <c r="E6" t="s">
        <v>56</v>
      </c>
      <c r="F6" t="s">
        <v>94</v>
      </c>
      <c r="G6" t="s">
        <v>44</v>
      </c>
      <c r="H6" t="s">
        <v>14</v>
      </c>
      <c r="I6" t="s">
        <v>25</v>
      </c>
      <c r="J6" t="s">
        <v>57</v>
      </c>
      <c r="K6" t="s">
        <v>58</v>
      </c>
      <c r="L6" t="s">
        <v>105</v>
      </c>
      <c r="M6" t="s">
        <v>61</v>
      </c>
      <c r="P6" t="s">
        <v>5</v>
      </c>
    </row>
    <row r="7" spans="1:16" x14ac:dyDescent="0.45">
      <c r="A7" t="s">
        <v>35</v>
      </c>
      <c r="B7" t="s">
        <v>52</v>
      </c>
      <c r="C7" t="s">
        <v>39</v>
      </c>
      <c r="D7" t="s">
        <v>68</v>
      </c>
      <c r="E7" t="s">
        <v>6</v>
      </c>
      <c r="F7" t="s">
        <v>104</v>
      </c>
      <c r="G7" t="s">
        <v>44</v>
      </c>
      <c r="H7" t="s">
        <v>86</v>
      </c>
      <c r="I7" t="s">
        <v>25</v>
      </c>
      <c r="J7" t="s">
        <v>66</v>
      </c>
      <c r="K7" t="s">
        <v>23</v>
      </c>
      <c r="L7" t="s">
        <v>70</v>
      </c>
      <c r="M7" t="s">
        <v>51</v>
      </c>
      <c r="N7" t="s">
        <v>19</v>
      </c>
      <c r="O7" t="s">
        <v>48</v>
      </c>
      <c r="P7" t="s">
        <v>5</v>
      </c>
    </row>
    <row r="8" spans="1:16" x14ac:dyDescent="0.45">
      <c r="A8" t="s">
        <v>95</v>
      </c>
      <c r="B8" t="s">
        <v>52</v>
      </c>
      <c r="C8" t="s">
        <v>71</v>
      </c>
      <c r="D8" t="s">
        <v>12</v>
      </c>
      <c r="E8" t="s">
        <v>6</v>
      </c>
      <c r="F8" t="s">
        <v>69</v>
      </c>
      <c r="G8" t="s">
        <v>44</v>
      </c>
      <c r="H8" t="s">
        <v>86</v>
      </c>
      <c r="I8" t="s">
        <v>25</v>
      </c>
      <c r="J8" t="s">
        <v>53</v>
      </c>
      <c r="K8" t="s">
        <v>23</v>
      </c>
      <c r="L8" t="s">
        <v>70</v>
      </c>
      <c r="M8" t="s">
        <v>51</v>
      </c>
      <c r="N8" t="s">
        <v>19</v>
      </c>
      <c r="O8" t="s">
        <v>48</v>
      </c>
      <c r="P8" t="s">
        <v>5</v>
      </c>
    </row>
    <row r="9" spans="1:16" x14ac:dyDescent="0.45">
      <c r="A9" t="s">
        <v>76</v>
      </c>
      <c r="B9" t="s">
        <v>52</v>
      </c>
      <c r="C9" t="s">
        <v>103</v>
      </c>
      <c r="D9" t="s">
        <v>33</v>
      </c>
      <c r="E9" t="s">
        <v>6</v>
      </c>
      <c r="F9" t="s">
        <v>85</v>
      </c>
      <c r="G9" t="s">
        <v>44</v>
      </c>
      <c r="H9" t="s">
        <v>82</v>
      </c>
      <c r="I9" t="s">
        <v>25</v>
      </c>
      <c r="J9" t="s">
        <v>66</v>
      </c>
      <c r="K9" t="s">
        <v>78</v>
      </c>
      <c r="L9" t="s">
        <v>70</v>
      </c>
      <c r="M9" t="s">
        <v>51</v>
      </c>
      <c r="N9" t="s">
        <v>19</v>
      </c>
      <c r="O9" t="s">
        <v>48</v>
      </c>
      <c r="P9" t="s">
        <v>5</v>
      </c>
    </row>
    <row r="10" spans="1:16" x14ac:dyDescent="0.45">
      <c r="A10" t="s">
        <v>64</v>
      </c>
      <c r="B10" t="s">
        <v>52</v>
      </c>
      <c r="C10" t="s">
        <v>38</v>
      </c>
      <c r="D10" t="s">
        <v>99</v>
      </c>
      <c r="E10" t="s">
        <v>6</v>
      </c>
      <c r="F10" t="s">
        <v>104</v>
      </c>
      <c r="G10" t="s">
        <v>44</v>
      </c>
      <c r="H10" t="s">
        <v>86</v>
      </c>
      <c r="I10" t="s">
        <v>25</v>
      </c>
      <c r="J10" t="s">
        <v>66</v>
      </c>
      <c r="K10" t="s">
        <v>23</v>
      </c>
      <c r="L10" t="s">
        <v>70</v>
      </c>
      <c r="M10" t="s">
        <v>51</v>
      </c>
      <c r="N10" t="s">
        <v>90</v>
      </c>
      <c r="O10" t="s">
        <v>48</v>
      </c>
      <c r="P10" t="s">
        <v>5</v>
      </c>
    </row>
    <row r="11" spans="1:16" x14ac:dyDescent="0.45">
      <c r="A11" t="s">
        <v>18</v>
      </c>
      <c r="B11" t="s">
        <v>52</v>
      </c>
      <c r="C11" t="s">
        <v>63</v>
      </c>
      <c r="D11" t="s">
        <v>77</v>
      </c>
      <c r="E11" t="s">
        <v>34</v>
      </c>
      <c r="F11" t="s">
        <v>9</v>
      </c>
      <c r="G11" t="s">
        <v>44</v>
      </c>
      <c r="H11" t="s">
        <v>7</v>
      </c>
      <c r="I11" t="s">
        <v>25</v>
      </c>
      <c r="J11" t="s">
        <v>49</v>
      </c>
      <c r="K11" t="s">
        <v>23</v>
      </c>
      <c r="L11" t="s">
        <v>60</v>
      </c>
      <c r="M11" t="s">
        <v>83</v>
      </c>
      <c r="N11" t="s">
        <v>50</v>
      </c>
      <c r="O11" t="s">
        <v>37</v>
      </c>
      <c r="P11" t="s">
        <v>5</v>
      </c>
    </row>
    <row r="12" spans="1:16" x14ac:dyDescent="0.45">
      <c r="A12" t="s">
        <v>20</v>
      </c>
      <c r="B12" t="s">
        <v>52</v>
      </c>
      <c r="C12" t="s">
        <v>81</v>
      </c>
      <c r="D12" t="s">
        <v>46</v>
      </c>
      <c r="E12" t="s">
        <v>34</v>
      </c>
      <c r="F12" t="s">
        <v>54</v>
      </c>
      <c r="G12" t="s">
        <v>44</v>
      </c>
      <c r="H12" t="s">
        <v>3</v>
      </c>
      <c r="I12" t="s">
        <v>25</v>
      </c>
      <c r="J12" t="s">
        <v>49</v>
      </c>
      <c r="K12" t="s">
        <v>23</v>
      </c>
      <c r="L12" t="s">
        <v>13</v>
      </c>
      <c r="M12" t="s">
        <v>62</v>
      </c>
      <c r="N12" t="s">
        <v>30</v>
      </c>
      <c r="P12" t="s">
        <v>5</v>
      </c>
    </row>
    <row r="13" spans="1:16" x14ac:dyDescent="0.45">
      <c r="A13" t="s">
        <v>17</v>
      </c>
      <c r="B13" t="s">
        <v>52</v>
      </c>
      <c r="C13" t="s">
        <v>11</v>
      </c>
      <c r="D13" t="s">
        <v>10</v>
      </c>
      <c r="E13" t="s">
        <v>34</v>
      </c>
      <c r="F13" t="s">
        <v>54</v>
      </c>
      <c r="G13" t="s">
        <v>44</v>
      </c>
      <c r="H13" t="s">
        <v>3</v>
      </c>
      <c r="I13" t="s">
        <v>25</v>
      </c>
      <c r="J13" t="s">
        <v>49</v>
      </c>
      <c r="K13" t="s">
        <v>23</v>
      </c>
      <c r="L13" t="s">
        <v>13</v>
      </c>
      <c r="M13" t="s">
        <v>4</v>
      </c>
      <c r="N13" t="s">
        <v>36</v>
      </c>
      <c r="P13" t="s">
        <v>5</v>
      </c>
    </row>
    <row r="14" spans="1:16" x14ac:dyDescent="0.45">
      <c r="A14" t="s">
        <v>24</v>
      </c>
      <c r="B14" t="s">
        <v>52</v>
      </c>
      <c r="C14" t="s">
        <v>84</v>
      </c>
      <c r="D14" t="s">
        <v>100</v>
      </c>
      <c r="E14" t="s">
        <v>34</v>
      </c>
      <c r="F14" t="s">
        <v>54</v>
      </c>
      <c r="G14" t="s">
        <v>44</v>
      </c>
      <c r="H14" t="s">
        <v>3</v>
      </c>
      <c r="I14" t="s">
        <v>25</v>
      </c>
      <c r="J14" t="s">
        <v>49</v>
      </c>
      <c r="K14" t="s">
        <v>23</v>
      </c>
      <c r="L14" t="s">
        <v>13</v>
      </c>
      <c r="M14" t="s">
        <v>4</v>
      </c>
      <c r="N14" t="s">
        <v>27</v>
      </c>
      <c r="P1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sg</vt:lpstr>
      <vt:lpstr>Country Assigned</vt:lpstr>
      <vt:lpstr>regression 1 _SG</vt:lpstr>
      <vt:lpstr>regression 2_SG</vt:lpstr>
      <vt:lpstr>regression 3_sg</vt:lpstr>
      <vt:lpstr>SG_Charts </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 Clare</dc:creator>
  <cp:lastModifiedBy>Clare Kon</cp:lastModifiedBy>
  <dcterms:created xsi:type="dcterms:W3CDTF">2026-06-26T10:05:29Z</dcterms:created>
  <dcterms:modified xsi:type="dcterms:W3CDTF">2026-07-02T14:32:39Z</dcterms:modified>
</cp:coreProperties>
</file>