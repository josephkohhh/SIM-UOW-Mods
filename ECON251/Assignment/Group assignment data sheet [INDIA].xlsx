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DIA_RAW_DATA" sheetId="1" r:id="rId4"/>
    <sheet state="visible" name="host country" sheetId="2" r:id="rId5"/>
    <sheet state="visible" name="host - china" sheetId="3" r:id="rId6"/>
    <sheet state="visible" name="host-topFDI" sheetId="4" r:id="rId7"/>
  </sheets>
  <definedNames/>
  <calcPr/>
  <extLst>
    <ext uri="GoogleSheetsCustomDataVersion2">
      <go:sheetsCustomData xmlns:go="http://customooxmlschemas.google.com/" r:id="rId8" roundtripDataChecksum="hvTqMvuOPzeAy8GSQtNbwIex+vujeNhbetOw79L9/n4="/>
    </ext>
  </extLst>
</workbook>
</file>

<file path=xl/sharedStrings.xml><?xml version="1.0" encoding="utf-8"?>
<sst xmlns="http://schemas.openxmlformats.org/spreadsheetml/2006/main" count="189" uniqueCount="101">
  <si>
    <t xml:space="preserve">Time </t>
  </si>
  <si>
    <t>Country Name</t>
  </si>
  <si>
    <t>Total bilateral Trade (X+M) with top FDI source</t>
  </si>
  <si>
    <t>Country Code</t>
  </si>
  <si>
    <t>Time</t>
  </si>
  <si>
    <t>Time Code</t>
  </si>
  <si>
    <t xml:space="preserve">Total bilateral Trade (X+M) with china </t>
  </si>
  <si>
    <t>GDP (constant 2015 US$) [NY.GDP.MKTP.KD]</t>
  </si>
  <si>
    <t>GDP growth (annual %) [NY.GDP.MKTP.KD.ZG]</t>
  </si>
  <si>
    <t>GDP per capita (constant 2015 US$) [NY.GDP.PCAP.KD]</t>
  </si>
  <si>
    <t>Gross fixed capital formation (constant 2015 US$) [NE.GDI.FTOT.KD]</t>
  </si>
  <si>
    <t>Gross fixed capital formation (annual % growth) [NE.GDI.FTOT.KD.ZG]</t>
  </si>
  <si>
    <t xml:space="preserve">FDI inflow from China </t>
  </si>
  <si>
    <t>Labor force, total [SL.TLF.TOTL.IN]</t>
  </si>
  <si>
    <t>Unemployment, total (% of total labor force) (modeled ILO estimate) [SL.UEM.TOTL.ZS]</t>
  </si>
  <si>
    <t xml:space="preserve">FDI outflow to China </t>
  </si>
  <si>
    <t>Manufacturing, value added (% of GDP) [NV.IND.MANF.ZS]</t>
  </si>
  <si>
    <t>Manufacturing, value added (annual % growth) [NV.IND.MANF.KD.ZG]</t>
  </si>
  <si>
    <t>GVC participation rate (Optional)</t>
  </si>
  <si>
    <t>Manufacturing, value added (constant 2015 US$) [NV.IND.MANF.KD]</t>
  </si>
  <si>
    <t xml:space="preserve">Number of new trade pacts (optional) </t>
  </si>
  <si>
    <t>Employment in agriculture (% of total employment) (modeled ILO estimate) [SL.AGR.EMPL.ZS]</t>
  </si>
  <si>
    <t>Employment in industry (% of total employment) (modeled ILO estimate) [SL.IND.EMPL.ZS]</t>
  </si>
  <si>
    <t>Employment in services (% of total employment) (modeled ILO estimate) [SL.SRV.EMPL.ZS]</t>
  </si>
  <si>
    <t>Trade (% of GDP) [NE.TRD.GNFS.ZS]</t>
  </si>
  <si>
    <t>Exports of goods and services (current US$) [NE.EXP.GNFS.CD]</t>
  </si>
  <si>
    <t>Exports of goods and services (constant 2015 US$) [NE.EXP.GNFS.KD]</t>
  </si>
  <si>
    <t>GDP (constant 2015 US$)</t>
  </si>
  <si>
    <t>Imports of goods and services (current US$) [NE.IMP.GNFS.CD]</t>
  </si>
  <si>
    <t>Imports of goods and services (constant 2015 US$) [NE.IMP.GNFS.KD]</t>
  </si>
  <si>
    <t>Tariff rate, applied, weighted mean, all products (%) [TM.TAX.MRCH.WM.AR.ZS]</t>
  </si>
  <si>
    <t>Foreign direct investment, net inflows (BoP, current US$) [BX.KLT.DINV.CD.WD]</t>
  </si>
  <si>
    <t>GDP growth (annual %)</t>
  </si>
  <si>
    <t xml:space="preserve">= foreign value added from china / total export of host country </t>
  </si>
  <si>
    <t>India</t>
  </si>
  <si>
    <t>GDP per person(constant 2015 US$)</t>
  </si>
  <si>
    <t>IND</t>
  </si>
  <si>
    <t xml:space="preserve">Growth rate of GDP per capita </t>
  </si>
  <si>
    <t>YR2000</t>
  </si>
  <si>
    <t>Gross fixed capital formation (constant 2015 US$)</t>
  </si>
  <si>
    <t>Gross fixed capital formation (annual % growth)</t>
  </si>
  <si>
    <t>Labor force, total</t>
  </si>
  <si>
    <t>Unemployment, total (% of total labor force) (modeled ILO estimate)</t>
  </si>
  <si>
    <t xml:space="preserve">Employment Rate </t>
  </si>
  <si>
    <t>YR2001</t>
  </si>
  <si>
    <t xml:space="preserve">Number employed </t>
  </si>
  <si>
    <t xml:space="preserve">Labour productivity </t>
  </si>
  <si>
    <t>% labour productivity</t>
  </si>
  <si>
    <t xml:space="preserve">Capital per employed </t>
  </si>
  <si>
    <t xml:space="preserve"> growth of capital per employed</t>
  </si>
  <si>
    <t>YR2002</t>
  </si>
  <si>
    <t>Manufacturing, value added (% of GDP)</t>
  </si>
  <si>
    <t>Manufacturing, value added (annual % growth)</t>
  </si>
  <si>
    <t>Manufacturing, value added (constant 2015 US$)</t>
  </si>
  <si>
    <t>Employment in agriculture (% of total employment) (modeled ILO estimate)</t>
  </si>
  <si>
    <t>Employment in industry (% of total employment) (modeled ILO estimate)</t>
  </si>
  <si>
    <t>Employment in services (% of total employment) (modeled ILO estimate)</t>
  </si>
  <si>
    <t>Trade (% of GDP)</t>
  </si>
  <si>
    <t>YR2003</t>
  </si>
  <si>
    <t>Export value (US$)</t>
  </si>
  <si>
    <t>Import value (US$)</t>
  </si>
  <si>
    <t xml:space="preserve">Simple tariff rate (%) </t>
  </si>
  <si>
    <t>FDI inflow (US$)</t>
  </si>
  <si>
    <t xml:space="preserve">Growth rate of FDI </t>
  </si>
  <si>
    <t>FDI as % of GDP</t>
  </si>
  <si>
    <t>YR2004</t>
  </si>
  <si>
    <t>Y</t>
  </si>
  <si>
    <t>Find % change = ((new - old)/old)*100</t>
  </si>
  <si>
    <t>K</t>
  </si>
  <si>
    <t>YR2005</t>
  </si>
  <si>
    <t>U</t>
  </si>
  <si>
    <t>E % =100 - U</t>
  </si>
  <si>
    <t>L = E% X Labour force</t>
  </si>
  <si>
    <t>Y/L</t>
  </si>
  <si>
    <t>=k/L</t>
  </si>
  <si>
    <t>Find % change = ((new - old)/old)*100)</t>
  </si>
  <si>
    <t>YR2006</t>
  </si>
  <si>
    <t xml:space="preserve">trade openness </t>
  </si>
  <si>
    <t>= FDIinflow/GDP) X 100%</t>
  </si>
  <si>
    <t>YR2007</t>
  </si>
  <si>
    <t>YR2008</t>
  </si>
  <si>
    <t>YR2009</t>
  </si>
  <si>
    <t>YR2010</t>
  </si>
  <si>
    <t>YR2011</t>
  </si>
  <si>
    <t>YR2012</t>
  </si>
  <si>
    <t>YR2013</t>
  </si>
  <si>
    <t>YR2014</t>
  </si>
  <si>
    <t>..</t>
  </si>
  <si>
    <t>YR2015</t>
  </si>
  <si>
    <t>YR2016</t>
  </si>
  <si>
    <t>YR2017</t>
  </si>
  <si>
    <t>YR2018</t>
  </si>
  <si>
    <t>YR2019</t>
  </si>
  <si>
    <t>YR2020</t>
  </si>
  <si>
    <t>YR2021</t>
  </si>
  <si>
    <t>YR2022</t>
  </si>
  <si>
    <t>YR2023</t>
  </si>
  <si>
    <t>YR2024</t>
  </si>
  <si>
    <t>YR2025</t>
  </si>
  <si>
    <t>Data from database: World Development Indicators</t>
  </si>
  <si>
    <t>Last Updated: 07/13/2026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</si>
</sst>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000"/>
  </numFmts>
  <fonts count="11">
    <font>
      <sz val="11.0"/>
      <color theme="1"/>
      <name val="Aptos Narrow"/>
      <scheme val="minor"/>
    </font>
    <font>
      <sz val="11.0"/>
      <color theme="1"/>
      <name val="Aptos Narrow"/>
    </font>
    <font>
      <sz val="11.0"/>
      <color theme="1"/>
      <name val="Calibri"/>
    </font>
    <font>
      <sz val="8.0"/>
      <color rgb="FF000000"/>
      <name val="Aptos"/>
    </font>
    <font>
      <sz val="11.0"/>
      <color rgb="FFFF0000"/>
      <name val="Aptos Narrow"/>
    </font>
    <font>
      <b/>
      <sz val="11.0"/>
      <color rgb="FFFF0000"/>
      <name val="Aptos Narrow"/>
    </font>
    <font>
      <sz val="12.0"/>
      <color theme="1"/>
      <name val="Aptos Narrow"/>
    </font>
    <font>
      <sz val="12.0"/>
      <color theme="1"/>
      <name val="Arial"/>
    </font>
    <font>
      <color theme="1"/>
      <name val="Aptos Narrow"/>
      <scheme val="minor"/>
    </font>
    <font>
      <color rgb="FFFF0000"/>
      <name val="Aptos Narrow"/>
      <scheme val="minor"/>
    </font>
    <font>
      <color rgb="FFFF0000"/>
      <name val="Arial"/>
    </font>
  </fonts>
  <fills count="8">
    <fill>
      <patternFill patternType="none"/>
    </fill>
    <fill>
      <patternFill patternType="lightGray"/>
    </fill>
    <fill>
      <patternFill patternType="solid">
        <fgColor theme="9"/>
        <bgColor theme="9"/>
      </patternFill>
    </fill>
    <fill>
      <patternFill patternType="solid">
        <fgColor rgb="FFDBE9F7"/>
        <bgColor rgb="FFDBE9F7"/>
      </patternFill>
    </fill>
    <fill>
      <patternFill patternType="solid">
        <fgColor rgb="FFFFFF00"/>
        <bgColor rgb="FFFFFF00"/>
      </patternFill>
    </fill>
    <fill>
      <patternFill patternType="solid">
        <fgColor rgb="FFD9F2D0"/>
        <bgColor rgb="FFD9F2D0"/>
      </patternFill>
    </fill>
    <fill>
      <patternFill patternType="solid">
        <fgColor rgb="FFB3E5A1"/>
        <bgColor rgb="FFB3E5A1"/>
      </patternFill>
    </fill>
    <fill>
      <patternFill patternType="solid">
        <fgColor rgb="FF3A7D22"/>
        <bgColor rgb="FF3A7D22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3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center"/>
    </xf>
    <xf borderId="0" fillId="0" fontId="2" numFmtId="0" xfId="0" applyAlignment="1" applyFont="1">
      <alignment vertical="bottom"/>
    </xf>
    <xf borderId="0" fillId="0" fontId="1" numFmtId="0" xfId="0" applyAlignment="1" applyFont="1">
      <alignment horizontal="center" shrinkToFit="0" vertical="center" wrapText="1"/>
    </xf>
    <xf borderId="0" fillId="0" fontId="2" numFmtId="49" xfId="0" applyAlignment="1" applyFont="1" applyNumberFormat="1">
      <alignment vertical="bottom"/>
    </xf>
    <xf borderId="0" fillId="0" fontId="1" numFmtId="0" xfId="0" applyAlignment="1" applyFont="1">
      <alignment shrinkToFit="0" vertical="center" wrapText="1"/>
    </xf>
    <xf borderId="1" fillId="2" fontId="1" numFmtId="0" xfId="0" applyAlignment="1" applyBorder="1" applyFill="1" applyFont="1">
      <alignment horizontal="center" shrinkToFit="0" vertical="center" wrapText="1"/>
    </xf>
    <xf borderId="1" fillId="3" fontId="1" numFmtId="0" xfId="0" applyBorder="1" applyFill="1" applyFont="1"/>
    <xf borderId="0" fillId="4" fontId="2" numFmtId="0" xfId="0" applyAlignment="1" applyFill="1" applyFont="1">
      <alignment vertical="bottom"/>
    </xf>
    <xf borderId="0" fillId="0" fontId="1" numFmtId="2" xfId="0" applyAlignment="1" applyFont="1" applyNumberFormat="1">
      <alignment horizontal="center" shrinkToFit="0" vertical="center" wrapText="1"/>
    </xf>
    <xf borderId="1" fillId="3" fontId="3" numFmtId="0" xfId="0" applyAlignment="1" applyBorder="1" applyFont="1">
      <alignment shrinkToFit="0" wrapText="1"/>
    </xf>
    <xf borderId="0" fillId="0" fontId="2" numFmtId="0" xfId="0" applyAlignment="1" applyFont="1">
      <alignment horizontal="right" vertical="bottom"/>
    </xf>
    <xf borderId="1" fillId="5" fontId="1" numFmtId="0" xfId="0" applyAlignment="1" applyBorder="1" applyFill="1" applyFont="1">
      <alignment horizontal="center" shrinkToFit="0" vertical="center" wrapText="1"/>
    </xf>
    <xf borderId="1" fillId="6" fontId="1" numFmtId="0" xfId="0" applyAlignment="1" applyBorder="1" applyFill="1" applyFont="1">
      <alignment horizontal="center" shrinkToFit="0" vertical="center" wrapText="1"/>
    </xf>
    <xf borderId="0" fillId="0" fontId="1" numFmtId="0" xfId="0" applyAlignment="1" applyFont="1">
      <alignment shrinkToFit="0" wrapText="1"/>
    </xf>
    <xf borderId="0" fillId="0" fontId="4" numFmtId="164" xfId="0" applyAlignment="1" applyFont="1" applyNumberFormat="1">
      <alignment horizontal="center" shrinkToFit="0" vertical="center" wrapText="1"/>
    </xf>
    <xf borderId="0" fillId="0" fontId="5" numFmtId="164" xfId="0" applyAlignment="1" applyFont="1" applyNumberFormat="1">
      <alignment horizontal="center" shrinkToFit="0" vertical="center" wrapText="1"/>
    </xf>
    <xf borderId="1" fillId="7" fontId="1" numFmtId="10" xfId="0" applyAlignment="1" applyBorder="1" applyFill="1" applyFont="1" applyNumberFormat="1">
      <alignment horizontal="center" shrinkToFit="0" vertical="center" wrapText="1"/>
    </xf>
    <xf borderId="0" fillId="0" fontId="4" numFmtId="0" xfId="0" applyAlignment="1" applyFont="1">
      <alignment horizontal="center" shrinkToFit="0" vertical="center" wrapText="1"/>
    </xf>
    <xf borderId="0" fillId="0" fontId="6" numFmtId="0" xfId="0" applyAlignment="1" applyFont="1">
      <alignment horizontal="center" shrinkToFit="0" vertical="center" wrapText="1"/>
    </xf>
    <xf borderId="1" fillId="2" fontId="6" numFmtId="0" xfId="0" applyAlignment="1" applyBorder="1" applyFont="1">
      <alignment horizontal="center" shrinkToFit="0" vertical="center" wrapText="1"/>
    </xf>
    <xf borderId="0" fillId="0" fontId="6" numFmtId="2" xfId="0" applyAlignment="1" applyFont="1" applyNumberFormat="1">
      <alignment horizontal="center" shrinkToFit="0" vertical="center" wrapText="1"/>
    </xf>
    <xf borderId="0" fillId="0" fontId="7" numFmtId="164" xfId="0" applyAlignment="1" applyFont="1" applyNumberFormat="1">
      <alignment horizontal="center" readingOrder="0" shrinkToFit="0" vertical="center" wrapText="1"/>
    </xf>
    <xf borderId="1" fillId="5" fontId="6" numFmtId="0" xfId="0" applyAlignment="1" applyBorder="1" applyFont="1">
      <alignment horizontal="center" shrinkToFit="0" vertical="center" wrapText="1"/>
    </xf>
    <xf borderId="1" fillId="6" fontId="6" numFmtId="0" xfId="0" applyAlignment="1" applyBorder="1" applyFont="1">
      <alignment horizontal="center" shrinkToFit="0" vertical="center" wrapText="1"/>
    </xf>
    <xf quotePrefix="1" borderId="0" fillId="0" fontId="6" numFmtId="164" xfId="0" applyAlignment="1" applyFont="1" applyNumberFormat="1">
      <alignment horizontal="center" shrinkToFit="0" vertical="center" wrapText="1"/>
    </xf>
    <xf borderId="0" fillId="0" fontId="6" numFmtId="164" xfId="0" applyAlignment="1" applyFont="1" applyNumberFormat="1">
      <alignment horizontal="center" shrinkToFit="0" vertical="center" wrapText="1"/>
    </xf>
    <xf borderId="1" fillId="7" fontId="6" numFmtId="10" xfId="0" applyAlignment="1" applyBorder="1" applyFont="1" applyNumberFormat="1">
      <alignment horizontal="center" shrinkToFit="0" vertical="center" wrapText="1"/>
    </xf>
    <xf quotePrefix="1" borderId="0" fillId="0" fontId="6" numFmtId="0" xfId="0" applyAlignment="1" applyFont="1">
      <alignment horizontal="center" shrinkToFit="0" vertical="center" wrapText="1"/>
    </xf>
    <xf borderId="1" fillId="2" fontId="1" numFmtId="0" xfId="0" applyBorder="1" applyFont="1"/>
    <xf borderId="0" fillId="4" fontId="8" numFmtId="0" xfId="0" applyFont="1"/>
    <xf borderId="1" fillId="5" fontId="1" numFmtId="0" xfId="0" applyBorder="1" applyFont="1"/>
    <xf borderId="1" fillId="6" fontId="1" numFmtId="0" xfId="0" applyBorder="1" applyFont="1"/>
    <xf borderId="0" fillId="0" fontId="9" numFmtId="0" xfId="0" applyFont="1"/>
    <xf borderId="0" fillId="0" fontId="10" numFmtId="0" xfId="0" applyAlignment="1" applyFont="1">
      <alignment readingOrder="0"/>
    </xf>
    <xf borderId="1" fillId="7" fontId="1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5" max="5" width="20.25"/>
    <col customWidth="1" min="6" max="6" width="30.88"/>
    <col customWidth="1" min="8" max="8" width="20.13"/>
    <col customWidth="1" min="12" max="12" width="38.13"/>
    <col customWidth="1" min="19" max="19" width="11.25"/>
    <col customWidth="1" min="20" max="20" width="16.38"/>
    <col customWidth="1" min="21" max="21" width="10.5"/>
    <col customWidth="1" min="22" max="22" width="20.5"/>
  </cols>
  <sheetData>
    <row r="1">
      <c r="A1" s="2" t="s">
        <v>1</v>
      </c>
      <c r="B1" s="4" t="s">
        <v>3</v>
      </c>
      <c r="C1" s="2" t="s">
        <v>4</v>
      </c>
      <c r="D1" s="4" t="s">
        <v>5</v>
      </c>
      <c r="E1" s="2" t="s">
        <v>7</v>
      </c>
      <c r="F1" s="2" t="s">
        <v>8</v>
      </c>
      <c r="G1" s="2" t="s">
        <v>9</v>
      </c>
      <c r="H1" s="2" t="s">
        <v>10</v>
      </c>
      <c r="I1" s="2" t="s">
        <v>11</v>
      </c>
      <c r="J1" s="2" t="s">
        <v>13</v>
      </c>
      <c r="K1" s="2" t="s">
        <v>14</v>
      </c>
      <c r="L1" s="2" t="s">
        <v>16</v>
      </c>
      <c r="M1" s="2" t="s">
        <v>17</v>
      </c>
      <c r="N1" s="2" t="s">
        <v>19</v>
      </c>
      <c r="O1" s="2" t="s">
        <v>21</v>
      </c>
      <c r="P1" s="2" t="s">
        <v>22</v>
      </c>
      <c r="Q1" s="2" t="s">
        <v>23</v>
      </c>
      <c r="R1" s="2" t="s">
        <v>24</v>
      </c>
      <c r="S1" s="2" t="s">
        <v>25</v>
      </c>
      <c r="T1" s="8" t="s">
        <v>26</v>
      </c>
      <c r="U1" s="2" t="s">
        <v>28</v>
      </c>
      <c r="V1" s="8" t="s">
        <v>29</v>
      </c>
      <c r="W1" s="2" t="s">
        <v>30</v>
      </c>
      <c r="X1" s="2" t="s">
        <v>31</v>
      </c>
      <c r="Y1" s="2"/>
      <c r="Z1" s="2"/>
    </row>
    <row r="2">
      <c r="A2" s="2" t="s">
        <v>34</v>
      </c>
      <c r="B2" s="4" t="s">
        <v>36</v>
      </c>
      <c r="C2" s="11">
        <v>2000.0</v>
      </c>
      <c r="D2" s="4" t="s">
        <v>38</v>
      </c>
      <c r="E2" s="11">
        <v>8.005344796296804E11</v>
      </c>
      <c r="F2" s="11">
        <v>3.8409911568655417</v>
      </c>
      <c r="G2" s="11">
        <v>756.7041095331869</v>
      </c>
      <c r="H2" s="11">
        <v>1.7110592874279523E11</v>
      </c>
      <c r="I2" s="11">
        <v>-1.7939818453297676</v>
      </c>
      <c r="J2" s="11">
        <v>4.09617771E8</v>
      </c>
      <c r="K2" s="11">
        <v>7.589</v>
      </c>
      <c r="L2" s="11">
        <v>15.927023018432255</v>
      </c>
      <c r="M2" s="11">
        <v>7.299097849011133</v>
      </c>
      <c r="N2" s="11">
        <v>1.0945443718262312E11</v>
      </c>
      <c r="O2" s="11">
        <v>59.607310099104</v>
      </c>
      <c r="P2" s="11">
        <v>16.341359744203</v>
      </c>
      <c r="Q2" s="11">
        <v>24.0513301566929</v>
      </c>
      <c r="R2" s="11">
        <v>26.900922910447356</v>
      </c>
      <c r="S2" s="11">
        <v>6.08784728212004E10</v>
      </c>
      <c r="T2" s="11">
        <v>8.842081137847476E10</v>
      </c>
      <c r="U2" s="11">
        <v>6.5124245375053055E10</v>
      </c>
      <c r="V2" s="11">
        <v>1.0591388292246399E11</v>
      </c>
      <c r="W2" s="11">
        <v>23.36</v>
      </c>
      <c r="X2" s="11">
        <v>3.58421730718755E9</v>
      </c>
      <c r="Y2" s="2"/>
      <c r="Z2" s="2"/>
    </row>
    <row r="3">
      <c r="A3" s="2" t="s">
        <v>34</v>
      </c>
      <c r="B3" s="4" t="s">
        <v>36</v>
      </c>
      <c r="C3" s="11">
        <v>2001.0</v>
      </c>
      <c r="D3" s="4" t="s">
        <v>44</v>
      </c>
      <c r="E3" s="11">
        <v>8.391519928584883E11</v>
      </c>
      <c r="F3" s="11">
        <v>4.823966263973034</v>
      </c>
      <c r="G3" s="11">
        <v>778.5073775224986</v>
      </c>
      <c r="H3" s="11">
        <v>2.0907472024912314E11</v>
      </c>
      <c r="I3" s="11">
        <v>22.190225543500745</v>
      </c>
      <c r="J3" s="11">
        <v>4.18764922E8</v>
      </c>
      <c r="K3" s="11">
        <v>7.611</v>
      </c>
      <c r="L3" s="11">
        <v>15.307021283153091</v>
      </c>
      <c r="M3" s="11">
        <v>2.2703251937848563</v>
      </c>
      <c r="N3" s="11">
        <v>1.1193940884569563E11</v>
      </c>
      <c r="O3" s="11">
        <v>58.8908092207151</v>
      </c>
      <c r="P3" s="11">
        <v>16.7528345033409</v>
      </c>
      <c r="Q3" s="11">
        <v>24.356356017476</v>
      </c>
      <c r="R3" s="11">
        <v>25.993254753436517</v>
      </c>
      <c r="S3" s="11">
        <v>6.096341557664468E10</v>
      </c>
      <c r="T3" s="11">
        <v>9.223132792318614E10</v>
      </c>
      <c r="U3" s="11">
        <v>6.521827648213225E10</v>
      </c>
      <c r="V3" s="11">
        <v>1.0903225091096906E11</v>
      </c>
      <c r="W3" s="11">
        <v>26.51</v>
      </c>
      <c r="X3" s="11">
        <v>5.12809356162688E9</v>
      </c>
      <c r="Y3" s="2"/>
      <c r="Z3" s="2"/>
    </row>
    <row r="4">
      <c r="A4" s="2" t="s">
        <v>34</v>
      </c>
      <c r="B4" s="4" t="s">
        <v>36</v>
      </c>
      <c r="C4" s="11">
        <v>2002.0</v>
      </c>
      <c r="D4" s="4" t="s">
        <v>50</v>
      </c>
      <c r="E4" s="11">
        <v>8.710731275741864E11</v>
      </c>
      <c r="F4" s="11">
        <v>3.803975321200383</v>
      </c>
      <c r="G4" s="11">
        <v>793.6159129010017</v>
      </c>
      <c r="H4" s="11">
        <v>2.075749136843497E11</v>
      </c>
      <c r="I4" s="11">
        <v>-0.7173543329324303</v>
      </c>
      <c r="J4" s="11">
        <v>4.27829074E8</v>
      </c>
      <c r="K4" s="11">
        <v>7.681</v>
      </c>
      <c r="L4" s="11">
        <v>15.55870172629556</v>
      </c>
      <c r="M4" s="11">
        <v>6.866763607650242</v>
      </c>
      <c r="N4" s="11">
        <v>1.1962602343493068E11</v>
      </c>
      <c r="O4" s="11">
        <v>58.2078564520654</v>
      </c>
      <c r="P4" s="11">
        <v>17.0567268841005</v>
      </c>
      <c r="Q4" s="11">
        <v>24.7354169170179</v>
      </c>
      <c r="R4" s="11">
        <v>29.5086629350614</v>
      </c>
      <c r="S4" s="11">
        <v>7.345289595163309E10</v>
      </c>
      <c r="T4" s="11">
        <v>1.1167830601156667E11</v>
      </c>
      <c r="U4" s="11">
        <v>7.849875928573134E10</v>
      </c>
      <c r="V4" s="11">
        <v>1.2211265311605037E11</v>
      </c>
      <c r="W4" s="11">
        <v>23.08</v>
      </c>
      <c r="X4" s="11">
        <v>5.20896710627894E9</v>
      </c>
      <c r="Y4" s="2"/>
      <c r="Z4" s="2"/>
    </row>
    <row r="5">
      <c r="A5" s="2" t="s">
        <v>34</v>
      </c>
      <c r="B5" s="4" t="s">
        <v>36</v>
      </c>
      <c r="C5" s="11">
        <v>2003.0</v>
      </c>
      <c r="D5" s="4" t="s">
        <v>58</v>
      </c>
      <c r="E5" s="11">
        <v>9.395427983316547E11</v>
      </c>
      <c r="F5" s="11">
        <v>7.860381475450453</v>
      </c>
      <c r="G5" s="11">
        <v>841.2788945624084</v>
      </c>
      <c r="H5" s="11">
        <v>2.1819445491432138E11</v>
      </c>
      <c r="I5" s="11">
        <v>5.116004165185558</v>
      </c>
      <c r="J5" s="11">
        <v>4.36753652E8</v>
      </c>
      <c r="K5" s="11">
        <v>7.633</v>
      </c>
      <c r="L5" s="11">
        <v>15.58738664864604</v>
      </c>
      <c r="M5" s="11">
        <v>6.336610322550911</v>
      </c>
      <c r="N5" s="11">
        <v>1.2720625838436566E11</v>
      </c>
      <c r="O5" s="11">
        <v>57.1646505429386</v>
      </c>
      <c r="P5" s="11">
        <v>17.6938066486046</v>
      </c>
      <c r="Q5" s="11">
        <v>25.1415353719471</v>
      </c>
      <c r="R5" s="11">
        <v>30.592436132907984</v>
      </c>
      <c r="S5" s="11">
        <v>9.083857524376205E10</v>
      </c>
      <c r="T5" s="11">
        <v>1.2237956689716957E11</v>
      </c>
      <c r="U5" s="11">
        <v>9.50718693785573E10</v>
      </c>
      <c r="V5" s="11">
        <v>1.3906667246007495E11</v>
      </c>
      <c r="W5" s="11">
        <v>21.45</v>
      </c>
      <c r="X5" s="11">
        <v>3.68198467143428E9</v>
      </c>
      <c r="Y5" s="2"/>
      <c r="Z5" s="2"/>
    </row>
    <row r="6">
      <c r="A6" s="2" t="s">
        <v>34</v>
      </c>
      <c r="B6" s="4" t="s">
        <v>36</v>
      </c>
      <c r="C6" s="11">
        <v>2004.0</v>
      </c>
      <c r="D6" s="4" t="s">
        <v>65</v>
      </c>
      <c r="E6" s="11">
        <v>1.0139821786962278E12</v>
      </c>
      <c r="F6" s="11">
        <v>7.922936613079784</v>
      </c>
      <c r="G6" s="11">
        <v>892.5966145807181</v>
      </c>
      <c r="H6" s="11">
        <v>2.431863863198393E11</v>
      </c>
      <c r="I6" s="11">
        <v>11.453971832295878</v>
      </c>
      <c r="J6" s="11">
        <v>4.45825854E8</v>
      </c>
      <c r="K6" s="11">
        <v>7.598</v>
      </c>
      <c r="L6" s="11">
        <v>15.827245740502713</v>
      </c>
      <c r="M6" s="11">
        <v>7.383253310659725</v>
      </c>
      <c r="N6" s="11">
        <v>1.365982186678957E11</v>
      </c>
      <c r="O6" s="11">
        <v>55.9994573237763</v>
      </c>
      <c r="P6" s="11">
        <v>18.4184794843161</v>
      </c>
      <c r="Q6" s="11">
        <v>25.5820631919076</v>
      </c>
      <c r="R6" s="11">
        <v>37.50381405944698</v>
      </c>
      <c r="S6" s="11">
        <v>1.266484720207521E11</v>
      </c>
      <c r="T6" s="11">
        <v>1.556379419817607E11</v>
      </c>
      <c r="U6" s="11">
        <v>1.3931084879743585E11</v>
      </c>
      <c r="V6" s="11">
        <v>1.699328468566208E11</v>
      </c>
      <c r="W6" s="11">
        <v>22.96</v>
      </c>
      <c r="X6" s="11">
        <v>5.42925098985717E9</v>
      </c>
      <c r="Y6" s="2"/>
      <c r="Z6" s="2"/>
    </row>
    <row r="7">
      <c r="A7" s="2" t="s">
        <v>34</v>
      </c>
      <c r="B7" s="4" t="s">
        <v>36</v>
      </c>
      <c r="C7" s="11">
        <v>2005.0</v>
      </c>
      <c r="D7" s="4" t="s">
        <v>69</v>
      </c>
      <c r="E7" s="11">
        <v>1.094324353137751E12</v>
      </c>
      <c r="F7" s="11">
        <v>7.923430621317891</v>
      </c>
      <c r="G7" s="11">
        <v>947.7325656442715</v>
      </c>
      <c r="H7" s="11">
        <v>2.831692240391331E11</v>
      </c>
      <c r="I7" s="11">
        <v>16.441231898034076</v>
      </c>
      <c r="J7" s="11">
        <v>4.54832471E8</v>
      </c>
      <c r="K7" s="11">
        <v>7.551</v>
      </c>
      <c r="L7" s="11">
        <v>15.973017044613139</v>
      </c>
      <c r="M7" s="11">
        <v>9.349088691146918</v>
      </c>
      <c r="N7" s="11">
        <v>1.4936890728168408E11</v>
      </c>
      <c r="O7" s="11">
        <v>55.0204533123109</v>
      </c>
      <c r="P7" s="11">
        <v>19.0012317655898</v>
      </c>
      <c r="Q7" s="11">
        <v>25.9783149220993</v>
      </c>
      <c r="R7" s="11">
        <v>42.00166961486911</v>
      </c>
      <c r="S7" s="11">
        <v>1.6083826068077817E11</v>
      </c>
      <c r="T7" s="11">
        <v>1.9623621498518198E11</v>
      </c>
      <c r="U7" s="11">
        <v>1.8373661724332825E11</v>
      </c>
      <c r="V7" s="11">
        <v>2.2476957310896857E11</v>
      </c>
      <c r="W7" s="11">
        <v>13.9</v>
      </c>
      <c r="X7" s="11">
        <v>7.26940722561438E9</v>
      </c>
      <c r="Y7" s="2"/>
      <c r="Z7" s="2"/>
    </row>
    <row r="8">
      <c r="A8" s="2" t="s">
        <v>34</v>
      </c>
      <c r="B8" s="4" t="s">
        <v>36</v>
      </c>
      <c r="C8" s="11">
        <v>2006.0</v>
      </c>
      <c r="D8" s="4" t="s">
        <v>76</v>
      </c>
      <c r="E8" s="11">
        <v>1.1825349127259507E12</v>
      </c>
      <c r="F8" s="11">
        <v>8.060732573050572</v>
      </c>
      <c r="G8" s="11">
        <v>1008.2327534481848</v>
      </c>
      <c r="H8" s="11">
        <v>3.224564371674222E11</v>
      </c>
      <c r="I8" s="11">
        <v>13.87411123564037</v>
      </c>
      <c r="J8" s="11">
        <v>4.5761146E8</v>
      </c>
      <c r="K8" s="11">
        <v>7.553</v>
      </c>
      <c r="L8" s="11">
        <v>17.303653331192518</v>
      </c>
      <c r="M8" s="11">
        <v>17.78779231797725</v>
      </c>
      <c r="N8" s="11">
        <v>1.7593833829658203E11</v>
      </c>
      <c r="O8" s="11">
        <v>54.2730178999296</v>
      </c>
      <c r="P8" s="11">
        <v>19.5238914291204</v>
      </c>
      <c r="Q8" s="11">
        <v>26.20309067095</v>
      </c>
      <c r="R8" s="11">
        <v>45.724480499265226</v>
      </c>
      <c r="S8" s="11">
        <v>1.9997392236378305E11</v>
      </c>
      <c r="T8" s="11">
        <v>2.3625624698608176E11</v>
      </c>
      <c r="U8" s="11">
        <v>2.2995502712737158E11</v>
      </c>
      <c r="V8" s="11">
        <v>2.731054701101124E11</v>
      </c>
      <c r="W8" s="11">
        <v>8.99</v>
      </c>
      <c r="X8" s="11">
        <v>2.00291192671396E10</v>
      </c>
      <c r="Y8" s="2"/>
      <c r="Z8" s="2"/>
    </row>
    <row r="9">
      <c r="A9" s="2" t="s">
        <v>34</v>
      </c>
      <c r="B9" s="4" t="s">
        <v>36</v>
      </c>
      <c r="C9" s="11">
        <v>2007.0</v>
      </c>
      <c r="D9" s="4" t="s">
        <v>79</v>
      </c>
      <c r="E9" s="11">
        <v>1.273126725470218E12</v>
      </c>
      <c r="F9" s="11">
        <v>7.660815065107656</v>
      </c>
      <c r="G9" s="11">
        <v>1069.246968122337</v>
      </c>
      <c r="H9" s="11">
        <v>3.751100219051532E11</v>
      </c>
      <c r="I9" s="11">
        <v>16.32889862589184</v>
      </c>
      <c r="J9" s="11">
        <v>4.60225575E8</v>
      </c>
      <c r="K9" s="11">
        <v>7.562</v>
      </c>
      <c r="L9" s="11">
        <v>16.864567775406833</v>
      </c>
      <c r="M9" s="11">
        <v>6.98058873129321</v>
      </c>
      <c r="N9" s="11">
        <v>1.8821987011373776E11</v>
      </c>
      <c r="O9" s="11">
        <v>53.3688684377217</v>
      </c>
      <c r="P9" s="11">
        <v>20.3219145451672</v>
      </c>
      <c r="Q9" s="11">
        <v>26.309209260168</v>
      </c>
      <c r="R9" s="11">
        <v>45.686268679347975</v>
      </c>
      <c r="S9" s="11">
        <v>2.5307752601316815E11</v>
      </c>
      <c r="T9" s="11">
        <v>2.5011631197458334E11</v>
      </c>
      <c r="U9" s="11">
        <v>3.0280395255249994E11</v>
      </c>
      <c r="V9" s="11">
        <v>3.002837991344896E11</v>
      </c>
      <c r="W9" s="11">
        <v>11.99</v>
      </c>
      <c r="X9" s="11">
        <v>2.52277408866819E10</v>
      </c>
      <c r="Y9" s="2"/>
      <c r="Z9" s="2"/>
    </row>
    <row r="10">
      <c r="A10" s="2" t="s">
        <v>34</v>
      </c>
      <c r="B10" s="4" t="s">
        <v>36</v>
      </c>
      <c r="C10" s="11">
        <v>2008.0</v>
      </c>
      <c r="D10" s="4" t="s">
        <v>80</v>
      </c>
      <c r="E10" s="11">
        <v>1.3124243034002935E12</v>
      </c>
      <c r="F10" s="11">
        <v>3.0866980595008187</v>
      </c>
      <c r="G10" s="11">
        <v>1086.506052510045</v>
      </c>
      <c r="H10" s="11">
        <v>3.871110671484847E11</v>
      </c>
      <c r="I10" s="11">
        <v>3.199340071581986</v>
      </c>
      <c r="J10" s="11">
        <v>4.62536166E8</v>
      </c>
      <c r="K10" s="11">
        <v>7.629</v>
      </c>
      <c r="L10" s="11">
        <v>17.09867414895781</v>
      </c>
      <c r="M10" s="11">
        <v>4.663615482395016</v>
      </c>
      <c r="N10" s="11">
        <v>1.9699772111730585E11</v>
      </c>
      <c r="O10" s="11">
        <v>52.8791883959001</v>
      </c>
      <c r="P10" s="11">
        <v>20.751447752882</v>
      </c>
      <c r="Q10" s="11">
        <v>26.3693638512179</v>
      </c>
      <c r="R10" s="11">
        <v>53.368220439222625</v>
      </c>
      <c r="S10" s="11">
        <v>2.8890204482069763E11</v>
      </c>
      <c r="T10" s="11">
        <v>2.8707883854355023E11</v>
      </c>
      <c r="U10" s="11">
        <v>3.509269557991058E11</v>
      </c>
      <c r="V10" s="11">
        <v>3.676933855084451E11</v>
      </c>
      <c r="W10" s="11">
        <v>5.98</v>
      </c>
      <c r="X10" s="11">
        <v>4.34062770758108E10</v>
      </c>
      <c r="Y10" s="2"/>
      <c r="Z10" s="2"/>
    </row>
    <row r="11">
      <c r="A11" s="2" t="s">
        <v>34</v>
      </c>
      <c r="B11" s="4" t="s">
        <v>36</v>
      </c>
      <c r="C11" s="11">
        <v>2009.0</v>
      </c>
      <c r="D11" s="4" t="s">
        <v>81</v>
      </c>
      <c r="E11" s="11">
        <v>1.4156056431513428E12</v>
      </c>
      <c r="F11" s="11">
        <v>7.861888833033802</v>
      </c>
      <c r="G11" s="11">
        <v>1155.10163273817</v>
      </c>
      <c r="H11" s="11">
        <v>4.168291182603156E11</v>
      </c>
      <c r="I11" s="11">
        <v>7.6768797468742775</v>
      </c>
      <c r="J11" s="11">
        <v>4.64953334E8</v>
      </c>
      <c r="K11" s="11">
        <v>7.636</v>
      </c>
      <c r="L11" s="11">
        <v>17.143577667284617</v>
      </c>
      <c r="M11" s="11">
        <v>10.967629778823465</v>
      </c>
      <c r="N11" s="11">
        <v>2.1860370184217108E11</v>
      </c>
      <c r="O11" s="11">
        <v>51.9444266180638</v>
      </c>
      <c r="P11" s="11">
        <v>21.5635579497653</v>
      </c>
      <c r="Q11" s="11">
        <v>26.4920231164018</v>
      </c>
      <c r="R11" s="11">
        <v>46.272869642883734</v>
      </c>
      <c r="S11" s="11">
        <v>2.737521248892107E11</v>
      </c>
      <c r="T11" s="11">
        <v>2.732008005450488E11</v>
      </c>
      <c r="U11" s="11">
        <v>3.471779679683161E11</v>
      </c>
      <c r="V11" s="11">
        <v>3.60612286798895E11</v>
      </c>
      <c r="W11" s="11">
        <v>6.84</v>
      </c>
      <c r="X11" s="11">
        <v>3.55813729296641E10</v>
      </c>
      <c r="Y11" s="2"/>
      <c r="Z11" s="2"/>
    </row>
    <row r="12">
      <c r="A12" s="2" t="s">
        <v>34</v>
      </c>
      <c r="B12" s="4" t="s">
        <v>36</v>
      </c>
      <c r="C12" s="11">
        <v>2010.0</v>
      </c>
      <c r="D12" s="4" t="s">
        <v>82</v>
      </c>
      <c r="E12" s="11">
        <v>1.5358979317195537E12</v>
      </c>
      <c r="F12" s="11">
        <v>8.497584701656251</v>
      </c>
      <c r="G12" s="11">
        <v>1235.1593913293866</v>
      </c>
      <c r="H12" s="11">
        <v>4.628726707344661E11</v>
      </c>
      <c r="I12" s="11">
        <v>11.046145880191531</v>
      </c>
      <c r="J12" s="11">
        <v>4.67561989E8</v>
      </c>
      <c r="K12" s="11">
        <v>7.631</v>
      </c>
      <c r="L12" s="11">
        <v>17.029934249862396</v>
      </c>
      <c r="M12" s="11">
        <v>7.695106464358645</v>
      </c>
      <c r="N12" s="11">
        <v>2.354254894339553E11</v>
      </c>
      <c r="O12" s="11">
        <v>51.056070239905</v>
      </c>
      <c r="P12" s="11">
        <v>22.3778888372942</v>
      </c>
      <c r="Q12" s="11">
        <v>26.5660351341417</v>
      </c>
      <c r="R12" s="11">
        <v>49.25520649741613</v>
      </c>
      <c r="S12" s="11">
        <v>3.753535140262667E11</v>
      </c>
      <c r="T12" s="11">
        <v>3.264152225468512E11</v>
      </c>
      <c r="U12" s="11">
        <v>4.499743701988019E11</v>
      </c>
      <c r="V12" s="11">
        <v>4.176319101967377E11</v>
      </c>
      <c r="W12" s="11">
        <v>6.1</v>
      </c>
      <c r="X12" s="11">
        <v>2.73968850337838E10</v>
      </c>
      <c r="Y12" s="2"/>
      <c r="Z12" s="2"/>
    </row>
    <row r="13">
      <c r="A13" s="2" t="s">
        <v>34</v>
      </c>
      <c r="B13" s="4" t="s">
        <v>36</v>
      </c>
      <c r="C13" s="11">
        <v>2011.0</v>
      </c>
      <c r="D13" s="4" t="s">
        <v>83</v>
      </c>
      <c r="E13" s="11">
        <v>1.6163991988339668E12</v>
      </c>
      <c r="F13" s="11">
        <v>5.2413162002429345</v>
      </c>
      <c r="G13" s="11">
        <v>1281.610543549368</v>
      </c>
      <c r="H13" s="11">
        <v>5.188476321989339E11</v>
      </c>
      <c r="I13" s="11">
        <v>12.09295017907391</v>
      </c>
      <c r="J13" s="11">
        <v>4.71891929E8</v>
      </c>
      <c r="K13" s="11">
        <v>7.609</v>
      </c>
      <c r="L13" s="11">
        <v>16.139337444628858</v>
      </c>
      <c r="M13" s="11">
        <v>3.1250562390001875</v>
      </c>
      <c r="N13" s="11">
        <v>2.4278266837970786E11</v>
      </c>
      <c r="O13" s="11">
        <v>49.0753059155876</v>
      </c>
      <c r="P13" s="11">
        <v>23.5473821255696</v>
      </c>
      <c r="Q13" s="11">
        <v>27.3773195279181</v>
      </c>
      <c r="R13" s="11">
        <v>55.62388001352977</v>
      </c>
      <c r="S13" s="11">
        <v>4.473844176250927E11</v>
      </c>
      <c r="T13" s="11">
        <v>3.7698667243683746E11</v>
      </c>
      <c r="U13" s="11">
        <v>5.666677448199084E11</v>
      </c>
      <c r="V13" s="11">
        <v>5.0287781593263135E11</v>
      </c>
      <c r="W13" s="11">
        <v>7.33</v>
      </c>
      <c r="X13" s="11">
        <v>3.64986545978589E10</v>
      </c>
      <c r="Y13" s="2"/>
      <c r="Z13" s="2"/>
    </row>
    <row r="14">
      <c r="A14" s="2" t="s">
        <v>34</v>
      </c>
      <c r="B14" s="4" t="s">
        <v>36</v>
      </c>
      <c r="C14" s="11">
        <v>2012.0</v>
      </c>
      <c r="D14" s="4" t="s">
        <v>84</v>
      </c>
      <c r="E14" s="11">
        <v>1.7045962035040764E12</v>
      </c>
      <c r="F14" s="11">
        <v>5.4563875516477225</v>
      </c>
      <c r="G14" s="11">
        <v>1333.0962655764886</v>
      </c>
      <c r="H14" s="11">
        <v>5.444739147577465E11</v>
      </c>
      <c r="I14" s="11">
        <v>4.939076709323231</v>
      </c>
      <c r="J14" s="11">
        <v>4.76101422E8</v>
      </c>
      <c r="K14" s="11">
        <v>7.645</v>
      </c>
      <c r="L14" s="11">
        <v>15.816923007106634</v>
      </c>
      <c r="M14" s="11">
        <v>5.453083306863533</v>
      </c>
      <c r="N14" s="11">
        <v>2.5602180954107962E11</v>
      </c>
      <c r="O14" s="11">
        <v>47.0881544623322</v>
      </c>
      <c r="P14" s="11">
        <v>24.6920379635984</v>
      </c>
      <c r="Q14" s="11">
        <v>28.2198150791246</v>
      </c>
      <c r="R14" s="11">
        <v>55.793721728751144</v>
      </c>
      <c r="S14" s="11">
        <v>4.4840047736125354E11</v>
      </c>
      <c r="T14" s="11">
        <v>4.0264245820065753E11</v>
      </c>
      <c r="U14" s="11">
        <v>5.713065540423856E11</v>
      </c>
      <c r="V14" s="11">
        <v>5.3316009534188763E11</v>
      </c>
      <c r="W14" s="11">
        <v>6.32</v>
      </c>
      <c r="X14" s="11">
        <v>2.39956850142141E10</v>
      </c>
      <c r="Y14" s="2"/>
      <c r="Z14" s="2"/>
    </row>
    <row r="15">
      <c r="A15" s="2" t="s">
        <v>34</v>
      </c>
      <c r="B15" s="4" t="s">
        <v>36</v>
      </c>
      <c r="C15" s="11">
        <v>2013.0</v>
      </c>
      <c r="D15" s="4" t="s">
        <v>85</v>
      </c>
      <c r="E15" s="11">
        <v>1.8134535307658406E12</v>
      </c>
      <c r="F15" s="11">
        <v>6.386106400917129</v>
      </c>
      <c r="G15" s="11">
        <v>1399.4537980280961</v>
      </c>
      <c r="H15" s="11">
        <v>5.529775286271702E11</v>
      </c>
      <c r="I15" s="11">
        <v>1.5618037226277721</v>
      </c>
      <c r="J15" s="11">
        <v>4.8446683E8</v>
      </c>
      <c r="K15" s="11">
        <v>7.678</v>
      </c>
      <c r="L15" s="11">
        <v>15.253022692585985</v>
      </c>
      <c r="M15" s="11">
        <v>4.965847439565962</v>
      </c>
      <c r="N15" s="11">
        <v>2.6873546201490576E11</v>
      </c>
      <c r="O15" s="11">
        <v>46.2418839816327</v>
      </c>
      <c r="P15" s="11">
        <v>24.7546738405335</v>
      </c>
      <c r="Q15" s="11">
        <v>29.0034439664578</v>
      </c>
      <c r="R15" s="11">
        <v>53.844131946677734</v>
      </c>
      <c r="S15" s="11">
        <v>4.7218027134014923E11</v>
      </c>
      <c r="T15" s="11">
        <v>4.340179257814659E11</v>
      </c>
      <c r="U15" s="11">
        <v>5.275553071059563E11</v>
      </c>
      <c r="V15" s="11">
        <v>4.8972993521933954E11</v>
      </c>
      <c r="W15" s="11">
        <v>6.34</v>
      </c>
      <c r="X15" s="11">
        <v>2.81530312703202E10</v>
      </c>
      <c r="Y15" s="2"/>
      <c r="Z15" s="2"/>
    </row>
    <row r="16">
      <c r="A16" s="2" t="s">
        <v>34</v>
      </c>
      <c r="B16" s="4" t="s">
        <v>36</v>
      </c>
      <c r="C16" s="11">
        <v>2014.0</v>
      </c>
      <c r="D16" s="4" t="s">
        <v>86</v>
      </c>
      <c r="E16" s="11">
        <v>1.9478345649095762E12</v>
      </c>
      <c r="F16" s="11">
        <v>7.410227605169766</v>
      </c>
      <c r="G16" s="11">
        <v>1484.3164068296119</v>
      </c>
      <c r="H16" s="11">
        <v>5.673729019894071E11</v>
      </c>
      <c r="I16" s="11">
        <v>2.6032474408092128</v>
      </c>
      <c r="J16" s="11">
        <v>4.92680645E8</v>
      </c>
      <c r="K16" s="11">
        <v>7.656</v>
      </c>
      <c r="L16" s="11">
        <v>15.065570110758902</v>
      </c>
      <c r="M16" s="11">
        <v>7.895669766297743</v>
      </c>
      <c r="N16" s="11">
        <v>2.8995392664053723E11</v>
      </c>
      <c r="O16" s="11">
        <v>45.2547111152237</v>
      </c>
      <c r="P16" s="11">
        <v>24.8960152022282</v>
      </c>
      <c r="Q16" s="11">
        <v>29.8492736825481</v>
      </c>
      <c r="R16" s="11">
        <v>48.922185747066905</v>
      </c>
      <c r="S16" s="11">
        <v>4.683458154209329E11</v>
      </c>
      <c r="T16" s="11">
        <v>4.4173298821241595E11</v>
      </c>
      <c r="U16" s="11">
        <v>5.292394283286653E11</v>
      </c>
      <c r="V16" s="11">
        <v>4.939966130764156E11</v>
      </c>
      <c r="W16" s="2" t="s">
        <v>87</v>
      </c>
      <c r="X16" s="11">
        <v>3.45766436941382E10</v>
      </c>
      <c r="Y16" s="2"/>
      <c r="Z16" s="2"/>
    </row>
    <row r="17">
      <c r="A17" s="2" t="s">
        <v>34</v>
      </c>
      <c r="B17" s="4" t="s">
        <v>36</v>
      </c>
      <c r="C17" s="11">
        <v>2015.0</v>
      </c>
      <c r="D17" s="4" t="s">
        <v>88</v>
      </c>
      <c r="E17" s="11">
        <v>2.1035883600449392E12</v>
      </c>
      <c r="F17" s="11">
        <v>7.996253785679869</v>
      </c>
      <c r="G17" s="11">
        <v>1583.998159079848</v>
      </c>
      <c r="H17" s="11">
        <v>6.044270753669364E11</v>
      </c>
      <c r="I17" s="11">
        <v>6.530832411559388</v>
      </c>
      <c r="J17" s="11">
        <v>5.00640619E8</v>
      </c>
      <c r="K17" s="11">
        <v>7.629</v>
      </c>
      <c r="L17" s="11">
        <v>15.583854586371334</v>
      </c>
      <c r="M17" s="11">
        <v>13.059393581395867</v>
      </c>
      <c r="N17" s="11">
        <v>3.278201511252368E11</v>
      </c>
      <c r="O17" s="11">
        <v>44.2796936892031</v>
      </c>
      <c r="P17" s="11">
        <v>24.9480704919335</v>
      </c>
      <c r="Q17" s="11">
        <v>30.7722358188634</v>
      </c>
      <c r="R17" s="11">
        <v>41.92291386586472</v>
      </c>
      <c r="S17" s="11">
        <v>4.167879408478122E11</v>
      </c>
      <c r="T17" s="11">
        <v>4.167879408478122E11</v>
      </c>
      <c r="U17" s="11">
        <v>4.650975954261839E11</v>
      </c>
      <c r="V17" s="11">
        <v>4.650975954261839E11</v>
      </c>
      <c r="W17" s="11">
        <v>7.32</v>
      </c>
      <c r="X17" s="11">
        <v>4.40094921295319E10</v>
      </c>
      <c r="Y17" s="2"/>
      <c r="Z17" s="2"/>
    </row>
    <row r="18">
      <c r="A18" s="2" t="s">
        <v>34</v>
      </c>
      <c r="B18" s="4" t="s">
        <v>36</v>
      </c>
      <c r="C18" s="11">
        <v>2016.0</v>
      </c>
      <c r="D18" s="4" t="s">
        <v>89</v>
      </c>
      <c r="E18" s="11">
        <v>2.2772670415498516E12</v>
      </c>
      <c r="F18" s="11">
        <v>8.256305501766619</v>
      </c>
      <c r="G18" s="11">
        <v>1694.465349737867</v>
      </c>
      <c r="H18" s="11">
        <v>6.555522380644639E11</v>
      </c>
      <c r="I18" s="11">
        <v>8.458450122620718</v>
      </c>
      <c r="J18" s="11">
        <v>5.08681288E8</v>
      </c>
      <c r="K18" s="11">
        <v>7.611</v>
      </c>
      <c r="L18" s="11">
        <v>15.162237133252901</v>
      </c>
      <c r="M18" s="11">
        <v>7.9268214208403975</v>
      </c>
      <c r="N18" s="11">
        <v>3.5380586908646344E11</v>
      </c>
      <c r="O18" s="11">
        <v>43.2048505926307</v>
      </c>
      <c r="P18" s="11">
        <v>25.1894783758453</v>
      </c>
      <c r="Q18" s="11">
        <v>31.6056633714195</v>
      </c>
      <c r="R18" s="11">
        <v>40.08248571327602</v>
      </c>
      <c r="S18" s="11">
        <v>4.3964257807635834E11</v>
      </c>
      <c r="T18" s="11">
        <v>4.375617255527108E11</v>
      </c>
      <c r="U18" s="11">
        <v>4.801690557682821E11</v>
      </c>
      <c r="V18" s="11">
        <v>4.8547767860636224E11</v>
      </c>
      <c r="W18" s="11">
        <v>6.35</v>
      </c>
      <c r="X18" s="11">
        <v>4.4458571545798E10</v>
      </c>
      <c r="Y18" s="2"/>
      <c r="Z18" s="2"/>
    </row>
    <row r="19">
      <c r="A19" s="2" t="s">
        <v>34</v>
      </c>
      <c r="B19" s="4" t="s">
        <v>36</v>
      </c>
      <c r="C19" s="11">
        <v>2017.0</v>
      </c>
      <c r="D19" s="4" t="s">
        <v>90</v>
      </c>
      <c r="E19" s="11">
        <v>2.4320160684982334E12</v>
      </c>
      <c r="F19" s="11">
        <v>6.795383419024219</v>
      </c>
      <c r="G19" s="11">
        <v>1788.697703184812</v>
      </c>
      <c r="H19" s="11">
        <v>7.06699366177944E11</v>
      </c>
      <c r="I19" s="11">
        <v>7.80214377186681</v>
      </c>
      <c r="J19" s="11">
        <v>5.16713963E8</v>
      </c>
      <c r="K19" s="11">
        <v>7.626</v>
      </c>
      <c r="L19" s="11">
        <v>15.018238750171792</v>
      </c>
      <c r="M19" s="11">
        <v>7.527063602912193</v>
      </c>
      <c r="N19" s="11">
        <v>3.804370618834378E11</v>
      </c>
      <c r="O19" s="11">
        <v>42.2671064682124</v>
      </c>
      <c r="P19" s="11">
        <v>25.2657227336051</v>
      </c>
      <c r="Q19" s="11">
        <v>32.4671651415297</v>
      </c>
      <c r="R19" s="11">
        <v>40.74249695452253</v>
      </c>
      <c r="S19" s="11">
        <v>4.98258808231521E11</v>
      </c>
      <c r="T19" s="11">
        <v>4.5753513960776917E11</v>
      </c>
      <c r="U19" s="11">
        <v>5.820180125215677E11</v>
      </c>
      <c r="V19" s="11">
        <v>5.700478095114996E11</v>
      </c>
      <c r="W19" s="11">
        <v>5.78</v>
      </c>
      <c r="X19" s="11">
        <v>3.99660913587384E10</v>
      </c>
      <c r="Y19" s="2"/>
      <c r="Z19" s="2"/>
    </row>
    <row r="20">
      <c r="A20" s="2" t="s">
        <v>34</v>
      </c>
      <c r="B20" s="4" t="s">
        <v>36</v>
      </c>
      <c r="C20" s="11">
        <v>2018.0</v>
      </c>
      <c r="D20" s="4" t="s">
        <v>91</v>
      </c>
      <c r="E20" s="11">
        <v>2.5889747702444785E12</v>
      </c>
      <c r="F20" s="11">
        <v>6.453851344952952</v>
      </c>
      <c r="G20" s="11">
        <v>1883.3577270505514</v>
      </c>
      <c r="H20" s="11">
        <v>7.858713808217848E11</v>
      </c>
      <c r="I20" s="11">
        <v>11.203068579504787</v>
      </c>
      <c r="J20" s="11">
        <v>5.24292869E8</v>
      </c>
      <c r="K20" s="11">
        <v>7.652</v>
      </c>
      <c r="L20" s="11">
        <v>14.881530667301684</v>
      </c>
      <c r="M20" s="11">
        <v>5.411556885037157</v>
      </c>
      <c r="N20" s="11">
        <v>4.0102462989902405E11</v>
      </c>
      <c r="O20" s="11">
        <v>41.2949989249141</v>
      </c>
      <c r="P20" s="11">
        <v>25.3658737784355</v>
      </c>
      <c r="Q20" s="11">
        <v>33.3391272966505</v>
      </c>
      <c r="R20" s="11">
        <v>43.61696933238889</v>
      </c>
      <c r="S20" s="11">
        <v>5.386351861354382E11</v>
      </c>
      <c r="T20" s="11">
        <v>5.1212764108662427E11</v>
      </c>
      <c r="U20" s="11">
        <v>6.403008067385419E11</v>
      </c>
      <c r="V20" s="11">
        <v>6.203413990862346E11</v>
      </c>
      <c r="W20" s="11">
        <v>4.88</v>
      </c>
      <c r="X20" s="11">
        <v>4.21174507372644E10</v>
      </c>
      <c r="Y20" s="2"/>
      <c r="Z20" s="2"/>
    </row>
    <row r="21">
      <c r="A21" s="2" t="s">
        <v>34</v>
      </c>
      <c r="B21" s="4" t="s">
        <v>36</v>
      </c>
      <c r="C21" s="11">
        <v>2019.0</v>
      </c>
      <c r="D21" s="4" t="s">
        <v>92</v>
      </c>
      <c r="E21" s="11">
        <v>2.6892052958852617E12</v>
      </c>
      <c r="F21" s="11">
        <v>3.8714369407052374</v>
      </c>
      <c r="G21" s="11">
        <v>1936.030677410632</v>
      </c>
      <c r="H21" s="11">
        <v>7.948836090435411E11</v>
      </c>
      <c r="I21" s="11">
        <v>1.1467815779641057</v>
      </c>
      <c r="J21" s="11">
        <v>5.31373378E8</v>
      </c>
      <c r="K21" s="11">
        <v>6.51</v>
      </c>
      <c r="L21" s="11">
        <v>13.455807563339416</v>
      </c>
      <c r="M21" s="11">
        <v>-2.974962942083849</v>
      </c>
      <c r="N21" s="11">
        <v>3.890942957708992E11</v>
      </c>
      <c r="O21" s="11">
        <v>40.6518149993227</v>
      </c>
      <c r="P21" s="11">
        <v>25.251113046721</v>
      </c>
      <c r="Q21" s="11">
        <v>34.0970739669082</v>
      </c>
      <c r="R21" s="11">
        <v>39.90540353064419</v>
      </c>
      <c r="S21" s="11">
        <v>5.292450631672154E11</v>
      </c>
      <c r="T21" s="11">
        <v>4.947922322723747E11</v>
      </c>
      <c r="U21" s="11">
        <v>6.023150560525262E11</v>
      </c>
      <c r="V21" s="11">
        <v>6.151370059535962E11</v>
      </c>
      <c r="W21" s="11">
        <v>6.59</v>
      </c>
      <c r="X21" s="11">
        <v>5.06106473535911E10</v>
      </c>
      <c r="Y21" s="2"/>
      <c r="Z21" s="2"/>
    </row>
    <row r="22">
      <c r="A22" s="2" t="s">
        <v>34</v>
      </c>
      <c r="B22" s="4" t="s">
        <v>36</v>
      </c>
      <c r="C22" s="11">
        <v>2020.0</v>
      </c>
      <c r="D22" s="4" t="s">
        <v>93</v>
      </c>
      <c r="E22" s="11">
        <v>2.533830417086361E12</v>
      </c>
      <c r="F22" s="11">
        <v>-5.77772470687303</v>
      </c>
      <c r="G22" s="11">
        <v>1806.5011058386517</v>
      </c>
      <c r="H22" s="11">
        <v>7.38477753555943E11</v>
      </c>
      <c r="I22" s="11">
        <v>-7.096115059595903</v>
      </c>
      <c r="J22" s="11">
        <v>5.32528354E8</v>
      </c>
      <c r="K22" s="11">
        <v>7.859</v>
      </c>
      <c r="L22" s="11">
        <v>14.120485357692278</v>
      </c>
      <c r="M22" s="11">
        <v>3.0736109935103286</v>
      </c>
      <c r="N22" s="11">
        <v>4.0105354082083514E11</v>
      </c>
      <c r="O22" s="11">
        <v>44.6754951957099</v>
      </c>
      <c r="P22" s="11">
        <v>23.7036475318516</v>
      </c>
      <c r="Q22" s="11">
        <v>31.6208572724385</v>
      </c>
      <c r="R22" s="11">
        <v>37.75810532927675</v>
      </c>
      <c r="S22" s="11">
        <v>4.997285290726291E11</v>
      </c>
      <c r="T22" s="11">
        <v>4.603733056113498E11</v>
      </c>
      <c r="U22" s="11">
        <v>5.102447473721738E11</v>
      </c>
      <c r="V22" s="11">
        <v>5.374904152967119E11</v>
      </c>
      <c r="W22" s="11">
        <v>6.19</v>
      </c>
      <c r="X22" s="11">
        <v>6.43623649943754E10</v>
      </c>
      <c r="Y22" s="2"/>
      <c r="Z22" s="2"/>
    </row>
    <row r="23">
      <c r="A23" s="2" t="s">
        <v>34</v>
      </c>
      <c r="B23" s="4" t="s">
        <v>36</v>
      </c>
      <c r="C23" s="11">
        <v>2021.0</v>
      </c>
      <c r="D23" s="4" t="s">
        <v>94</v>
      </c>
      <c r="E23" s="11">
        <v>2.7793482589382803E12</v>
      </c>
      <c r="F23" s="11">
        <v>9.68959249191741</v>
      </c>
      <c r="G23" s="11">
        <v>1965.3094343747164</v>
      </c>
      <c r="H23" s="11">
        <v>8.678687064721224E11</v>
      </c>
      <c r="I23" s="11">
        <v>17.521306808923057</v>
      </c>
      <c r="J23" s="11">
        <v>5.50352877E8</v>
      </c>
      <c r="K23" s="11">
        <v>6.38</v>
      </c>
      <c r="L23" s="11">
        <v>14.377028853128614</v>
      </c>
      <c r="M23" s="11">
        <v>9.955219671749589</v>
      </c>
      <c r="N23" s="11">
        <v>4.409793018108792E11</v>
      </c>
      <c r="O23" s="11">
        <v>44.0791868866382</v>
      </c>
      <c r="P23" s="11">
        <v>24.4704786231875</v>
      </c>
      <c r="Q23" s="11">
        <v>31.4503271149612</v>
      </c>
      <c r="R23" s="11">
        <v>45.423088784044594</v>
      </c>
      <c r="S23" s="11">
        <v>6.777692554285521E11</v>
      </c>
      <c r="T23" s="11">
        <v>5.966405561552743E11</v>
      </c>
      <c r="U23" s="11">
        <v>7.609028918060132E11</v>
      </c>
      <c r="V23" s="11">
        <v>6.562458183436956E11</v>
      </c>
      <c r="W23" s="11">
        <v>5.87</v>
      </c>
      <c r="X23" s="11">
        <v>4.4727277562881E10</v>
      </c>
      <c r="Y23" s="2"/>
      <c r="Z23" s="2"/>
    </row>
    <row r="24">
      <c r="A24" s="2" t="s">
        <v>34</v>
      </c>
      <c r="B24" s="4" t="s">
        <v>36</v>
      </c>
      <c r="C24" s="11">
        <v>2022.0</v>
      </c>
      <c r="D24" s="4" t="s">
        <v>95</v>
      </c>
      <c r="E24" s="11">
        <v>2.9908390119620557E12</v>
      </c>
      <c r="F24" s="11">
        <v>7.609364977693204</v>
      </c>
      <c r="G24" s="11">
        <v>2098.2112447612194</v>
      </c>
      <c r="H24" s="11">
        <v>9.411614530674916E11</v>
      </c>
      <c r="I24" s="11">
        <v>8.445142225867713</v>
      </c>
      <c r="J24" s="11">
        <v>5.69155867E8</v>
      </c>
      <c r="K24" s="11">
        <v>4.822</v>
      </c>
      <c r="L24" s="11">
        <v>13.33272026239736</v>
      </c>
      <c r="M24" s="11">
        <v>-1.744196563454409</v>
      </c>
      <c r="N24" s="11">
        <v>4.332877559831486E11</v>
      </c>
      <c r="O24" s="11">
        <v>42.8609991503088</v>
      </c>
      <c r="P24" s="11">
        <v>26.1203341573875</v>
      </c>
      <c r="Q24" s="11">
        <v>31.0186666923037</v>
      </c>
      <c r="R24" s="11">
        <v>50.69793827580423</v>
      </c>
      <c r="S24" s="11">
        <v>7.812907915638265E11</v>
      </c>
      <c r="T24" s="11">
        <v>6.582198774918701E11</v>
      </c>
      <c r="U24" s="11">
        <v>8.663610191187661E11</v>
      </c>
      <c r="V24" s="11">
        <v>7.147868687754751E11</v>
      </c>
      <c r="W24" s="11">
        <v>4.59</v>
      </c>
      <c r="X24" s="11">
        <v>4.99402584042659E10</v>
      </c>
      <c r="Y24" s="2"/>
      <c r="Z24" s="2"/>
    </row>
    <row r="25">
      <c r="A25" s="2" t="s">
        <v>34</v>
      </c>
      <c r="B25" s="4" t="s">
        <v>36</v>
      </c>
      <c r="C25" s="11">
        <v>2023.0</v>
      </c>
      <c r="D25" s="4" t="s">
        <v>96</v>
      </c>
      <c r="E25" s="11">
        <v>3.2064852230263037E12</v>
      </c>
      <c r="F25" s="11">
        <v>7.210224629335002</v>
      </c>
      <c r="G25" s="11">
        <v>2229.71491223037</v>
      </c>
      <c r="H25" s="11">
        <v>1.0094232538958359E12</v>
      </c>
      <c r="I25" s="11">
        <v>7.252932066635466</v>
      </c>
      <c r="J25" s="11">
        <v>5.89486854E8</v>
      </c>
      <c r="K25" s="11">
        <v>4.172</v>
      </c>
      <c r="L25" s="11">
        <v>13.312843875072023</v>
      </c>
      <c r="M25" s="11">
        <v>12.707025648704672</v>
      </c>
      <c r="N25" s="11">
        <v>4.883457422686242E11</v>
      </c>
      <c r="O25" s="11">
        <v>43.5135811245793</v>
      </c>
      <c r="P25" s="11">
        <v>25.0292115986201</v>
      </c>
      <c r="Q25" s="11">
        <v>31.4572072768006</v>
      </c>
      <c r="R25" s="11">
        <v>46.32295205823384</v>
      </c>
      <c r="S25" s="11">
        <v>7.826206101920507E11</v>
      </c>
      <c r="T25" s="11">
        <v>6.628869438368287E11</v>
      </c>
      <c r="U25" s="11">
        <v>8.391024119873408E11</v>
      </c>
      <c r="V25" s="11">
        <v>7.074068521916595E11</v>
      </c>
      <c r="W25" s="2" t="s">
        <v>87</v>
      </c>
      <c r="X25" s="11">
        <v>2.80861935303979E10</v>
      </c>
      <c r="Y25" s="2"/>
      <c r="Z25" s="2"/>
    </row>
    <row r="26">
      <c r="A26" s="2" t="s">
        <v>34</v>
      </c>
      <c r="B26" s="4" t="s">
        <v>36</v>
      </c>
      <c r="C26" s="11">
        <v>2024.0</v>
      </c>
      <c r="D26" s="4" t="s">
        <v>97</v>
      </c>
      <c r="E26" s="11">
        <v>3.434122552914774E12</v>
      </c>
      <c r="F26" s="11">
        <v>7.099278931765184</v>
      </c>
      <c r="G26" s="11">
        <v>2366.832891032305</v>
      </c>
      <c r="H26" s="11">
        <v>1.074125919425715E12</v>
      </c>
      <c r="I26" s="11">
        <v>6.4098647698238835</v>
      </c>
      <c r="J26" s="11">
        <v>6.08500805E8</v>
      </c>
      <c r="K26" s="11">
        <v>4.173</v>
      </c>
      <c r="L26" s="11">
        <v>13.139219949132599</v>
      </c>
      <c r="M26" s="11">
        <v>9.289033655985563</v>
      </c>
      <c r="N26" s="11">
        <v>5.3370834262552924E11</v>
      </c>
      <c r="O26" s="11">
        <v>42.3547738876441</v>
      </c>
      <c r="P26" s="11">
        <v>25.3709259711612</v>
      </c>
      <c r="Q26" s="11">
        <v>32.2743097449178</v>
      </c>
      <c r="R26" s="11">
        <v>45.91669076787482</v>
      </c>
      <c r="S26" s="11">
        <v>8.29785193474459E11</v>
      </c>
      <c r="T26" s="11">
        <v>7.063671214912843E11</v>
      </c>
      <c r="U26" s="11">
        <v>8.970558981320004E11</v>
      </c>
      <c r="V26" s="11">
        <v>7.44951456636972E11</v>
      </c>
      <c r="W26" s="2" t="s">
        <v>87</v>
      </c>
      <c r="X26" s="11">
        <v>2.71398533781402E10</v>
      </c>
      <c r="Y26" s="2"/>
      <c r="Z26" s="2"/>
    </row>
    <row r="27">
      <c r="A27" s="2" t="s">
        <v>34</v>
      </c>
      <c r="B27" s="4" t="s">
        <v>36</v>
      </c>
      <c r="C27" s="11">
        <v>2025.0</v>
      </c>
      <c r="D27" s="4" t="s">
        <v>98</v>
      </c>
      <c r="E27" s="11">
        <v>3.6939709920455615E12</v>
      </c>
      <c r="F27" s="11">
        <v>7.566661792842439</v>
      </c>
      <c r="G27" s="11">
        <v>2523.4360185137643</v>
      </c>
      <c r="H27" s="11">
        <v>1.1502040507933862E12</v>
      </c>
      <c r="I27" s="11">
        <v>7.082794483569188</v>
      </c>
      <c r="J27" s="11">
        <v>6.17625336E8</v>
      </c>
      <c r="K27" s="11">
        <v>4.219</v>
      </c>
      <c r="L27" s="11">
        <v>13.471055068464782</v>
      </c>
      <c r="M27" s="11">
        <v>11.531872924542057</v>
      </c>
      <c r="N27" s="11">
        <v>5.952549104847848E11</v>
      </c>
      <c r="O27" s="11">
        <v>41.6251280877573</v>
      </c>
      <c r="P27" s="11">
        <v>25.8173073806381</v>
      </c>
      <c r="Q27" s="11">
        <v>32.5575625031109</v>
      </c>
      <c r="R27" s="11">
        <v>46.268200685990735</v>
      </c>
      <c r="S27" s="11">
        <v>8.807408466215453E11</v>
      </c>
      <c r="T27" s="11">
        <v>7.519809939947324E11</v>
      </c>
      <c r="U27" s="11">
        <v>9.496602257761584E11</v>
      </c>
      <c r="V27" s="11">
        <v>7.925996283252151E11</v>
      </c>
      <c r="W27" s="2" t="s">
        <v>87</v>
      </c>
      <c r="X27" s="11">
        <v>3.90972330862133E10</v>
      </c>
      <c r="Y27" s="2"/>
      <c r="Z27" s="2"/>
    </row>
    <row r="28">
      <c r="A28" s="2"/>
      <c r="B28" s="4"/>
      <c r="C28" s="2"/>
      <c r="D28" s="4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2"/>
      <c r="B29" s="4"/>
      <c r="C29" s="2"/>
      <c r="D29" s="4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2"/>
      <c r="B30" s="4"/>
      <c r="C30" s="2"/>
      <c r="D30" s="4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2" t="s">
        <v>99</v>
      </c>
      <c r="B31" s="4"/>
      <c r="C31" s="2"/>
      <c r="D31" s="4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2" t="s">
        <v>100</v>
      </c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" width="9.0"/>
    <col customWidth="1" min="3" max="3" width="1.5"/>
    <col customWidth="1" min="4" max="4" width="18.13"/>
    <col customWidth="1" min="5" max="6" width="9.0"/>
    <col customWidth="1" min="7" max="7" width="16.88"/>
    <col customWidth="1" min="8" max="8" width="1.13"/>
    <col customWidth="1" min="9" max="10" width="9.0"/>
    <col customWidth="1" min="11" max="11" width="1.38"/>
    <col customWidth="1" min="12" max="12" width="11.38"/>
    <col customWidth="1" min="13" max="13" width="11.63"/>
    <col customWidth="1" min="14" max="14" width="14.0"/>
    <col customWidth="1" min="15" max="15" width="16.13"/>
    <col customWidth="1" min="16" max="16" width="11.63"/>
    <col customWidth="1" min="17" max="17" width="12.0"/>
    <col customWidth="1" min="18" max="18" width="9.0"/>
    <col customWidth="1" min="19" max="19" width="13.38"/>
    <col customWidth="1" min="20" max="20" width="1.5"/>
    <col customWidth="1" min="21" max="21" width="9.0"/>
    <col customWidth="1" min="22" max="22" width="12.5"/>
    <col customWidth="1" min="23" max="23" width="13.38"/>
    <col customWidth="1" min="24" max="26" width="9.0"/>
    <col customWidth="1" min="27" max="27" width="1.38"/>
    <col customWidth="1" min="28" max="31" width="9.0"/>
    <col customWidth="1" min="32" max="32" width="2.0"/>
    <col customWidth="1" min="33" max="37" width="9.0"/>
  </cols>
  <sheetData>
    <row r="1" ht="150.75" customHeight="1">
      <c r="A1" s="3" t="s">
        <v>1</v>
      </c>
      <c r="B1" s="3" t="s">
        <v>4</v>
      </c>
      <c r="C1" s="6"/>
      <c r="D1" s="9" t="s">
        <v>27</v>
      </c>
      <c r="E1" s="3" t="s">
        <v>32</v>
      </c>
      <c r="F1" s="3" t="s">
        <v>35</v>
      </c>
      <c r="G1" s="3" t="s">
        <v>37</v>
      </c>
      <c r="H1" s="12"/>
      <c r="I1" s="9" t="s">
        <v>39</v>
      </c>
      <c r="J1" s="3" t="s">
        <v>40</v>
      </c>
      <c r="K1" s="13"/>
      <c r="L1" s="3" t="s">
        <v>41</v>
      </c>
      <c r="M1" s="3" t="s">
        <v>42</v>
      </c>
      <c r="N1" s="15" t="s">
        <v>43</v>
      </c>
      <c r="O1" s="15" t="s">
        <v>45</v>
      </c>
      <c r="P1" s="16" t="s">
        <v>46</v>
      </c>
      <c r="Q1" s="15" t="s">
        <v>47</v>
      </c>
      <c r="R1" s="15" t="s">
        <v>48</v>
      </c>
      <c r="S1" s="15" t="s">
        <v>49</v>
      </c>
      <c r="T1" s="17"/>
      <c r="U1" s="3" t="s">
        <v>51</v>
      </c>
      <c r="V1" s="3" t="s">
        <v>52</v>
      </c>
      <c r="W1" s="3" t="s">
        <v>53</v>
      </c>
      <c r="X1" s="3" t="s">
        <v>54</v>
      </c>
      <c r="Y1" s="3" t="s">
        <v>55</v>
      </c>
      <c r="Z1" s="3" t="s">
        <v>56</v>
      </c>
      <c r="AA1" s="12"/>
      <c r="AB1" s="3" t="s">
        <v>57</v>
      </c>
      <c r="AC1" s="3" t="s">
        <v>59</v>
      </c>
      <c r="AD1" s="3" t="s">
        <v>60</v>
      </c>
      <c r="AE1" s="3" t="s">
        <v>61</v>
      </c>
      <c r="AF1" s="13"/>
      <c r="AG1" s="3" t="s">
        <v>62</v>
      </c>
      <c r="AH1" s="3" t="s">
        <v>63</v>
      </c>
      <c r="AI1" s="18" t="s">
        <v>64</v>
      </c>
      <c r="AJ1" s="18"/>
      <c r="AK1" s="18"/>
    </row>
    <row r="2">
      <c r="A2" s="19"/>
      <c r="B2" s="19"/>
      <c r="C2" s="20"/>
      <c r="D2" s="21" t="s">
        <v>66</v>
      </c>
      <c r="E2" s="21"/>
      <c r="F2" s="21"/>
      <c r="G2" s="22" t="s">
        <v>67</v>
      </c>
      <c r="H2" s="23"/>
      <c r="I2" s="21" t="s">
        <v>68</v>
      </c>
      <c r="J2" s="19"/>
      <c r="K2" s="24"/>
      <c r="L2" s="19"/>
      <c r="M2" s="19" t="s">
        <v>70</v>
      </c>
      <c r="N2" s="25" t="s">
        <v>71</v>
      </c>
      <c r="O2" s="26" t="s">
        <v>72</v>
      </c>
      <c r="P2" s="26" t="s">
        <v>73</v>
      </c>
      <c r="Q2" s="22" t="s">
        <v>67</v>
      </c>
      <c r="R2" s="25" t="s">
        <v>74</v>
      </c>
      <c r="S2" s="26" t="s">
        <v>75</v>
      </c>
      <c r="T2" s="27"/>
      <c r="U2" s="19"/>
      <c r="V2" s="19"/>
      <c r="W2" s="19"/>
      <c r="X2" s="19"/>
      <c r="Y2" s="19"/>
      <c r="Z2" s="19"/>
      <c r="AA2" s="23"/>
      <c r="AB2" s="19" t="s">
        <v>77</v>
      </c>
      <c r="AC2" s="19"/>
      <c r="AD2" s="19"/>
      <c r="AE2" s="19"/>
      <c r="AF2" s="24"/>
      <c r="AG2" s="19"/>
      <c r="AH2" s="26" t="s">
        <v>75</v>
      </c>
      <c r="AI2" s="28" t="s">
        <v>78</v>
      </c>
      <c r="AJ2" s="19"/>
      <c r="AK2" s="19"/>
    </row>
    <row r="3">
      <c r="A3" s="2" t="s">
        <v>34</v>
      </c>
      <c r="B3" s="11">
        <v>2000.0</v>
      </c>
      <c r="C3" s="29"/>
      <c r="D3" s="11">
        <v>8.005344796296804E11</v>
      </c>
      <c r="E3" s="11">
        <v>3.8409911568655417</v>
      </c>
      <c r="F3" s="11">
        <v>756.7041095331869</v>
      </c>
      <c r="G3" s="30"/>
      <c r="H3" s="31"/>
      <c r="I3" s="11">
        <v>1.7110592874279523E11</v>
      </c>
      <c r="J3" s="11">
        <v>-1.7939818453297676</v>
      </c>
      <c r="K3" s="32"/>
      <c r="L3" s="11">
        <v>4.09617771E8</v>
      </c>
      <c r="M3" s="11">
        <v>7.589</v>
      </c>
      <c r="N3" s="33">
        <f t="shared" ref="N3:N28" si="1">100-M3</f>
        <v>92.411</v>
      </c>
      <c r="O3" s="33">
        <f t="shared" ref="O3:O28" si="2">N3*L3</f>
        <v>37853187836</v>
      </c>
      <c r="P3" s="33">
        <f t="shared" ref="P3:P28" si="3">D3/O3</f>
        <v>21.14840322</v>
      </c>
      <c r="Q3" s="30"/>
      <c r="R3" s="34">
        <f t="shared" ref="R3:R28" si="4">I3/O3</f>
        <v>4.520251491</v>
      </c>
      <c r="S3" s="30"/>
      <c r="T3" s="35"/>
      <c r="U3" s="11">
        <v>15.927023018432255</v>
      </c>
      <c r="V3" s="11">
        <v>7.299097849011133</v>
      </c>
      <c r="W3" s="11">
        <v>1.0945443718262312E11</v>
      </c>
      <c r="X3" s="11">
        <v>59.607310099104</v>
      </c>
      <c r="Y3" s="11">
        <v>16.341359744203</v>
      </c>
      <c r="Z3" s="11">
        <v>24.0513301566929</v>
      </c>
      <c r="AA3" s="31"/>
      <c r="AB3" s="11">
        <v>26.900922910447356</v>
      </c>
      <c r="AC3" s="11">
        <v>6.08784728212004E10</v>
      </c>
      <c r="AD3" s="11">
        <v>6.5124245375053055E10</v>
      </c>
      <c r="AE3" s="11">
        <v>23.36</v>
      </c>
      <c r="AF3" s="32"/>
      <c r="AG3" s="11">
        <v>3.58421730718755E9</v>
      </c>
      <c r="AH3" s="30"/>
    </row>
    <row r="4">
      <c r="A4" s="2" t="s">
        <v>34</v>
      </c>
      <c r="B4" s="11">
        <v>2001.0</v>
      </c>
      <c r="C4" s="29"/>
      <c r="D4" s="11">
        <v>8.391519928584883E11</v>
      </c>
      <c r="E4" s="11">
        <v>4.823966263973034</v>
      </c>
      <c r="F4" s="11">
        <v>778.5073775224986</v>
      </c>
      <c r="G4" s="33">
        <f t="shared" ref="G4:G28" si="5">((F4-F3)/F3)*100</f>
        <v>2.881346581</v>
      </c>
      <c r="H4" s="31"/>
      <c r="I4" s="11">
        <v>2.0907472024912314E11</v>
      </c>
      <c r="J4" s="11">
        <v>22.190225543500745</v>
      </c>
      <c r="K4" s="32"/>
      <c r="L4" s="11">
        <v>4.18764922E8</v>
      </c>
      <c r="M4" s="11">
        <v>7.611</v>
      </c>
      <c r="N4" s="33">
        <f t="shared" si="1"/>
        <v>92.389</v>
      </c>
      <c r="O4" s="33">
        <f t="shared" si="2"/>
        <v>38689272379</v>
      </c>
      <c r="P4" s="33">
        <f t="shared" si="3"/>
        <v>21.68952635</v>
      </c>
      <c r="Q4" s="33">
        <f t="shared" ref="Q4:Q28" si="6">((P4-P3)/P3)*100</f>
        <v>2.558694975</v>
      </c>
      <c r="R4" s="34">
        <f t="shared" si="4"/>
        <v>5.403945523</v>
      </c>
      <c r="S4" s="33">
        <f t="shared" ref="S4:S28" si="7">((R4-R3)/R3)*100</f>
        <v>19.54966519</v>
      </c>
      <c r="T4" s="35"/>
      <c r="U4" s="11">
        <v>15.307021283153091</v>
      </c>
      <c r="V4" s="11">
        <v>2.2703251937848563</v>
      </c>
      <c r="W4" s="11">
        <v>1.1193940884569563E11</v>
      </c>
      <c r="X4" s="11">
        <v>58.8908092207151</v>
      </c>
      <c r="Y4" s="11">
        <v>16.7528345033409</v>
      </c>
      <c r="Z4" s="11">
        <v>24.356356017476</v>
      </c>
      <c r="AA4" s="31"/>
      <c r="AB4" s="11">
        <v>25.993254753436517</v>
      </c>
      <c r="AC4" s="11">
        <v>6.096341557664468E10</v>
      </c>
      <c r="AD4" s="11">
        <v>6.521827648213225E10</v>
      </c>
      <c r="AE4" s="11">
        <v>26.51</v>
      </c>
      <c r="AF4" s="32"/>
      <c r="AG4" s="11">
        <v>5.12809356162688E9</v>
      </c>
      <c r="AH4" s="33">
        <f t="shared" ref="AH4:AH28" si="8">((AG4-AG3)/AG3)*100</f>
        <v>43.07429271</v>
      </c>
    </row>
    <row r="5">
      <c r="A5" s="2" t="s">
        <v>34</v>
      </c>
      <c r="B5" s="11">
        <v>2002.0</v>
      </c>
      <c r="C5" s="29"/>
      <c r="D5" s="11">
        <v>8.710731275741864E11</v>
      </c>
      <c r="E5" s="11">
        <v>3.803975321200383</v>
      </c>
      <c r="F5" s="11">
        <v>793.6159129010017</v>
      </c>
      <c r="G5" s="33">
        <f t="shared" si="5"/>
        <v>1.940705485</v>
      </c>
      <c r="H5" s="31"/>
      <c r="I5" s="11">
        <v>2.075749136843497E11</v>
      </c>
      <c r="J5" s="11">
        <v>-0.7173543329324303</v>
      </c>
      <c r="K5" s="32"/>
      <c r="L5" s="11">
        <v>4.27829074E8</v>
      </c>
      <c r="M5" s="11">
        <v>7.681</v>
      </c>
      <c r="N5" s="33">
        <f t="shared" si="1"/>
        <v>92.319</v>
      </c>
      <c r="O5" s="33">
        <f t="shared" si="2"/>
        <v>39496752283</v>
      </c>
      <c r="P5" s="33">
        <f t="shared" si="3"/>
        <v>22.05429756</v>
      </c>
      <c r="Q5" s="33">
        <f t="shared" si="6"/>
        <v>1.681785035</v>
      </c>
      <c r="R5" s="34">
        <f t="shared" si="4"/>
        <v>5.255493216</v>
      </c>
      <c r="S5" s="33">
        <f t="shared" si="7"/>
        <v>-2.747109605</v>
      </c>
      <c r="T5" s="35"/>
      <c r="U5" s="11">
        <v>15.55870172629556</v>
      </c>
      <c r="V5" s="11">
        <v>6.866763607650242</v>
      </c>
      <c r="W5" s="11">
        <v>1.1962602343493068E11</v>
      </c>
      <c r="X5" s="11">
        <v>58.2078564520654</v>
      </c>
      <c r="Y5" s="11">
        <v>17.0567268841005</v>
      </c>
      <c r="Z5" s="11">
        <v>24.7354169170179</v>
      </c>
      <c r="AA5" s="31"/>
      <c r="AB5" s="11">
        <v>29.5086629350614</v>
      </c>
      <c r="AC5" s="11">
        <v>7.345289595163309E10</v>
      </c>
      <c r="AD5" s="11">
        <v>7.849875928573134E10</v>
      </c>
      <c r="AE5" s="11">
        <v>23.08</v>
      </c>
      <c r="AF5" s="32"/>
      <c r="AG5" s="11">
        <v>5.20896710627894E9</v>
      </c>
      <c r="AH5" s="33">
        <f t="shared" si="8"/>
        <v>1.577068431</v>
      </c>
    </row>
    <row r="6">
      <c r="A6" s="2" t="s">
        <v>34</v>
      </c>
      <c r="B6" s="11">
        <v>2003.0</v>
      </c>
      <c r="C6" s="29"/>
      <c r="D6" s="11">
        <v>9.395427983316547E11</v>
      </c>
      <c r="E6" s="11">
        <v>7.860381475450453</v>
      </c>
      <c r="F6" s="11">
        <v>841.2788945624084</v>
      </c>
      <c r="G6" s="33">
        <f t="shared" si="5"/>
        <v>6.005799643</v>
      </c>
      <c r="H6" s="31"/>
      <c r="I6" s="11">
        <v>2.1819445491432138E11</v>
      </c>
      <c r="J6" s="11">
        <v>5.116004165185558</v>
      </c>
      <c r="K6" s="32"/>
      <c r="L6" s="11">
        <v>4.36753652E8</v>
      </c>
      <c r="M6" s="11">
        <v>7.633</v>
      </c>
      <c r="N6" s="33">
        <f t="shared" si="1"/>
        <v>92.367</v>
      </c>
      <c r="O6" s="33">
        <f t="shared" si="2"/>
        <v>40341624574</v>
      </c>
      <c r="P6" s="33">
        <f t="shared" si="3"/>
        <v>23.28966194</v>
      </c>
      <c r="Q6" s="33">
        <f t="shared" si="6"/>
        <v>5.601467794</v>
      </c>
      <c r="R6" s="34">
        <f t="shared" si="4"/>
        <v>5.408668025</v>
      </c>
      <c r="S6" s="33">
        <f t="shared" si="7"/>
        <v>2.914565818</v>
      </c>
      <c r="T6" s="35"/>
      <c r="U6" s="11">
        <v>15.58738664864604</v>
      </c>
      <c r="V6" s="11">
        <v>6.336610322550911</v>
      </c>
      <c r="W6" s="11">
        <v>1.2720625838436566E11</v>
      </c>
      <c r="X6" s="11">
        <v>57.1646505429386</v>
      </c>
      <c r="Y6" s="11">
        <v>17.6938066486046</v>
      </c>
      <c r="Z6" s="11">
        <v>25.1415353719471</v>
      </c>
      <c r="AA6" s="31"/>
      <c r="AB6" s="11">
        <v>30.592436132907984</v>
      </c>
      <c r="AC6" s="11">
        <v>9.083857524376205E10</v>
      </c>
      <c r="AD6" s="11">
        <v>9.50718693785573E10</v>
      </c>
      <c r="AE6" s="11">
        <v>21.45</v>
      </c>
      <c r="AF6" s="32"/>
      <c r="AG6" s="11">
        <v>3.68198467143428E9</v>
      </c>
      <c r="AH6" s="33">
        <f t="shared" si="8"/>
        <v>-29.31449563</v>
      </c>
    </row>
    <row r="7">
      <c r="A7" s="2" t="s">
        <v>34</v>
      </c>
      <c r="B7" s="11">
        <v>2004.0</v>
      </c>
      <c r="C7" s="29"/>
      <c r="D7" s="11">
        <v>1.0139821786962278E12</v>
      </c>
      <c r="E7" s="11">
        <v>7.922936613079784</v>
      </c>
      <c r="F7" s="11">
        <v>892.5966145807181</v>
      </c>
      <c r="G7" s="33">
        <f t="shared" si="5"/>
        <v>6.099965226</v>
      </c>
      <c r="H7" s="31"/>
      <c r="I7" s="11">
        <v>2.431863863198393E11</v>
      </c>
      <c r="J7" s="11">
        <v>11.453971832295878</v>
      </c>
      <c r="K7" s="32"/>
      <c r="L7" s="11">
        <v>4.45825854E8</v>
      </c>
      <c r="M7" s="11">
        <v>7.598</v>
      </c>
      <c r="N7" s="33">
        <f t="shared" si="1"/>
        <v>92.402</v>
      </c>
      <c r="O7" s="33">
        <f t="shared" si="2"/>
        <v>41195200561</v>
      </c>
      <c r="P7" s="33">
        <f t="shared" si="3"/>
        <v>24.61408525</v>
      </c>
      <c r="Q7" s="33">
        <f t="shared" si="6"/>
        <v>5.686743419</v>
      </c>
      <c r="R7" s="34">
        <f t="shared" si="4"/>
        <v>5.903269871</v>
      </c>
      <c r="S7" s="33">
        <f t="shared" si="7"/>
        <v>9.144614608</v>
      </c>
      <c r="T7" s="35"/>
      <c r="U7" s="11">
        <v>15.827245740502713</v>
      </c>
      <c r="V7" s="11">
        <v>7.383253310659725</v>
      </c>
      <c r="W7" s="11">
        <v>1.365982186678957E11</v>
      </c>
      <c r="X7" s="11">
        <v>55.9994573237763</v>
      </c>
      <c r="Y7" s="11">
        <v>18.4184794843161</v>
      </c>
      <c r="Z7" s="11">
        <v>25.5820631919076</v>
      </c>
      <c r="AA7" s="31"/>
      <c r="AB7" s="11">
        <v>37.50381405944698</v>
      </c>
      <c r="AC7" s="11">
        <v>1.266484720207521E11</v>
      </c>
      <c r="AD7" s="11">
        <v>1.3931084879743585E11</v>
      </c>
      <c r="AE7" s="11">
        <v>22.96</v>
      </c>
      <c r="AF7" s="32"/>
      <c r="AG7" s="11">
        <v>5.42925098985717E9</v>
      </c>
      <c r="AH7" s="33">
        <f t="shared" si="8"/>
        <v>47.45447019</v>
      </c>
    </row>
    <row r="8">
      <c r="A8" s="2" t="s">
        <v>34</v>
      </c>
      <c r="B8" s="11">
        <v>2005.0</v>
      </c>
      <c r="C8" s="29"/>
      <c r="D8" s="11">
        <v>1.094324353137751E12</v>
      </c>
      <c r="E8" s="11">
        <v>7.923430621317891</v>
      </c>
      <c r="F8" s="11">
        <v>947.7325656442715</v>
      </c>
      <c r="G8" s="33">
        <f t="shared" si="5"/>
        <v>6.177028925</v>
      </c>
      <c r="H8" s="31"/>
      <c r="I8" s="11">
        <v>2.831692240391331E11</v>
      </c>
      <c r="J8" s="11">
        <v>16.441231898034076</v>
      </c>
      <c r="K8" s="32"/>
      <c r="L8" s="11">
        <v>4.54832471E8</v>
      </c>
      <c r="M8" s="11">
        <v>7.551</v>
      </c>
      <c r="N8" s="33">
        <f t="shared" si="1"/>
        <v>92.449</v>
      </c>
      <c r="O8" s="33">
        <f t="shared" si="2"/>
        <v>42048807111</v>
      </c>
      <c r="P8" s="33">
        <f t="shared" si="3"/>
        <v>26.02509865</v>
      </c>
      <c r="Q8" s="33">
        <f t="shared" si="6"/>
        <v>5.732544515</v>
      </c>
      <c r="R8" s="34">
        <f t="shared" si="4"/>
        <v>6.734298628</v>
      </c>
      <c r="S8" s="33">
        <f t="shared" si="7"/>
        <v>14.07743123</v>
      </c>
      <c r="T8" s="35"/>
      <c r="U8" s="11">
        <v>15.973017044613139</v>
      </c>
      <c r="V8" s="11">
        <v>9.349088691146918</v>
      </c>
      <c r="W8" s="11">
        <v>1.4936890728168408E11</v>
      </c>
      <c r="X8" s="11">
        <v>55.0204533123109</v>
      </c>
      <c r="Y8" s="11">
        <v>19.0012317655898</v>
      </c>
      <c r="Z8" s="11">
        <v>25.9783149220993</v>
      </c>
      <c r="AA8" s="31"/>
      <c r="AB8" s="11">
        <v>42.00166961486911</v>
      </c>
      <c r="AC8" s="11">
        <v>1.6083826068077817E11</v>
      </c>
      <c r="AD8" s="11">
        <v>1.8373661724332825E11</v>
      </c>
      <c r="AE8" s="11">
        <v>13.9</v>
      </c>
      <c r="AF8" s="32"/>
      <c r="AG8" s="11">
        <v>7.26940722561438E9</v>
      </c>
      <c r="AH8" s="33">
        <f t="shared" si="8"/>
        <v>33.89337202</v>
      </c>
    </row>
    <row r="9">
      <c r="A9" s="2" t="s">
        <v>34</v>
      </c>
      <c r="B9" s="11">
        <v>2006.0</v>
      </c>
      <c r="C9" s="29"/>
      <c r="D9" s="11">
        <v>1.1825349127259507E12</v>
      </c>
      <c r="E9" s="11">
        <v>8.060732573050572</v>
      </c>
      <c r="F9" s="11">
        <v>1008.2327534481848</v>
      </c>
      <c r="G9" s="33">
        <f t="shared" si="5"/>
        <v>6.38367721</v>
      </c>
      <c r="H9" s="31"/>
      <c r="I9" s="11">
        <v>3.224564371674222E11</v>
      </c>
      <c r="J9" s="11">
        <v>13.87411123564037</v>
      </c>
      <c r="K9" s="32"/>
      <c r="L9" s="11">
        <v>4.5761146E8</v>
      </c>
      <c r="M9" s="11">
        <v>7.553</v>
      </c>
      <c r="N9" s="33">
        <f t="shared" si="1"/>
        <v>92.447</v>
      </c>
      <c r="O9" s="33">
        <f t="shared" si="2"/>
        <v>42304806643</v>
      </c>
      <c r="P9" s="33">
        <f t="shared" si="3"/>
        <v>27.95273177</v>
      </c>
      <c r="Q9" s="33">
        <f t="shared" si="6"/>
        <v>7.406823501</v>
      </c>
      <c r="R9" s="34">
        <f t="shared" si="4"/>
        <v>7.622217492</v>
      </c>
      <c r="S9" s="33">
        <f t="shared" si="7"/>
        <v>13.1850236</v>
      </c>
      <c r="T9" s="35"/>
      <c r="U9" s="11">
        <v>17.303653331192518</v>
      </c>
      <c r="V9" s="11">
        <v>17.78779231797725</v>
      </c>
      <c r="W9" s="11">
        <v>1.7593833829658203E11</v>
      </c>
      <c r="X9" s="11">
        <v>54.2730178999296</v>
      </c>
      <c r="Y9" s="11">
        <v>19.5238914291204</v>
      </c>
      <c r="Z9" s="11">
        <v>26.20309067095</v>
      </c>
      <c r="AA9" s="31"/>
      <c r="AB9" s="11">
        <v>45.724480499265226</v>
      </c>
      <c r="AC9" s="11">
        <v>1.9997392236378305E11</v>
      </c>
      <c r="AD9" s="11">
        <v>2.2995502712737158E11</v>
      </c>
      <c r="AE9" s="11">
        <v>8.99</v>
      </c>
      <c r="AF9" s="32"/>
      <c r="AG9" s="11">
        <v>2.00291192671396E10</v>
      </c>
      <c r="AH9" s="33">
        <f t="shared" si="8"/>
        <v>175.5261694</v>
      </c>
    </row>
    <row r="10">
      <c r="A10" s="2" t="s">
        <v>34</v>
      </c>
      <c r="B10" s="11">
        <v>2007.0</v>
      </c>
      <c r="C10" s="29"/>
      <c r="D10" s="11">
        <v>1.273126725470218E12</v>
      </c>
      <c r="E10" s="11">
        <v>7.660815065107656</v>
      </c>
      <c r="F10" s="11">
        <v>1069.246968122337</v>
      </c>
      <c r="G10" s="33">
        <f t="shared" si="5"/>
        <v>6.051600136</v>
      </c>
      <c r="H10" s="31"/>
      <c r="I10" s="11">
        <v>3.751100219051532E11</v>
      </c>
      <c r="J10" s="11">
        <v>16.32889862589184</v>
      </c>
      <c r="K10" s="32"/>
      <c r="L10" s="11">
        <v>4.60225575E8</v>
      </c>
      <c r="M10" s="11">
        <v>7.562</v>
      </c>
      <c r="N10" s="33">
        <f t="shared" si="1"/>
        <v>92.438</v>
      </c>
      <c r="O10" s="33">
        <f t="shared" si="2"/>
        <v>42542331702</v>
      </c>
      <c r="P10" s="33">
        <f t="shared" si="3"/>
        <v>29.92611534</v>
      </c>
      <c r="Q10" s="33">
        <f t="shared" si="6"/>
        <v>7.059716337</v>
      </c>
      <c r="R10" s="34">
        <f t="shared" si="4"/>
        <v>8.817335743</v>
      </c>
      <c r="S10" s="33">
        <f t="shared" si="7"/>
        <v>15.6794037</v>
      </c>
      <c r="T10" s="35"/>
      <c r="U10" s="11">
        <v>16.864567775406833</v>
      </c>
      <c r="V10" s="11">
        <v>6.98058873129321</v>
      </c>
      <c r="W10" s="11">
        <v>1.8821987011373776E11</v>
      </c>
      <c r="X10" s="11">
        <v>53.3688684377217</v>
      </c>
      <c r="Y10" s="11">
        <v>20.3219145451672</v>
      </c>
      <c r="Z10" s="11">
        <v>26.309209260168</v>
      </c>
      <c r="AA10" s="31"/>
      <c r="AB10" s="11">
        <v>45.686268679347975</v>
      </c>
      <c r="AC10" s="11">
        <v>2.5307752601316815E11</v>
      </c>
      <c r="AD10" s="11">
        <v>3.0280395255249994E11</v>
      </c>
      <c r="AE10" s="11">
        <v>11.99</v>
      </c>
      <c r="AF10" s="32"/>
      <c r="AG10" s="11">
        <v>2.52277408866819E10</v>
      </c>
      <c r="AH10" s="33">
        <f t="shared" si="8"/>
        <v>25.95531811</v>
      </c>
    </row>
    <row r="11">
      <c r="A11" s="2" t="s">
        <v>34</v>
      </c>
      <c r="B11" s="11">
        <v>2008.0</v>
      </c>
      <c r="C11" s="29"/>
      <c r="D11" s="11">
        <v>1.3124243034002935E12</v>
      </c>
      <c r="E11" s="11">
        <v>3.0866980595008187</v>
      </c>
      <c r="F11" s="11">
        <v>1086.506052510045</v>
      </c>
      <c r="G11" s="33">
        <f t="shared" si="5"/>
        <v>1.614134517</v>
      </c>
      <c r="H11" s="31"/>
      <c r="I11" s="11">
        <v>3.871110671484847E11</v>
      </c>
      <c r="J11" s="11">
        <v>3.199340071581986</v>
      </c>
      <c r="K11" s="32"/>
      <c r="L11" s="11">
        <v>4.62536166E8</v>
      </c>
      <c r="M11" s="11">
        <v>7.629</v>
      </c>
      <c r="N11" s="33">
        <f t="shared" si="1"/>
        <v>92.371</v>
      </c>
      <c r="O11" s="33">
        <f t="shared" si="2"/>
        <v>42724928190</v>
      </c>
      <c r="P11" s="33">
        <f t="shared" si="3"/>
        <v>30.71799905</v>
      </c>
      <c r="Q11" s="33">
        <f t="shared" si="6"/>
        <v>2.646129291</v>
      </c>
      <c r="R11" s="34">
        <f t="shared" si="4"/>
        <v>9.060543424</v>
      </c>
      <c r="S11" s="33">
        <f t="shared" si="7"/>
        <v>2.758289897</v>
      </c>
      <c r="T11" s="35"/>
      <c r="U11" s="11">
        <v>17.09867414895781</v>
      </c>
      <c r="V11" s="11">
        <v>4.663615482395016</v>
      </c>
      <c r="W11" s="11">
        <v>1.9699772111730585E11</v>
      </c>
      <c r="X11" s="11">
        <v>52.8791883959001</v>
      </c>
      <c r="Y11" s="11">
        <v>20.751447752882</v>
      </c>
      <c r="Z11" s="11">
        <v>26.3693638512179</v>
      </c>
      <c r="AA11" s="31"/>
      <c r="AB11" s="11">
        <v>53.368220439222625</v>
      </c>
      <c r="AC11" s="11">
        <v>2.8890204482069763E11</v>
      </c>
      <c r="AD11" s="11">
        <v>3.509269557991058E11</v>
      </c>
      <c r="AE11" s="11">
        <v>5.98</v>
      </c>
      <c r="AF11" s="32"/>
      <c r="AG11" s="11">
        <v>4.34062770758108E10</v>
      </c>
      <c r="AH11" s="33">
        <f t="shared" si="8"/>
        <v>72.05772515</v>
      </c>
    </row>
    <row r="12">
      <c r="A12" s="2" t="s">
        <v>34</v>
      </c>
      <c r="B12" s="11">
        <v>2009.0</v>
      </c>
      <c r="C12" s="29"/>
      <c r="D12" s="11">
        <v>1.4156056431513428E12</v>
      </c>
      <c r="E12" s="11">
        <v>7.861888833033802</v>
      </c>
      <c r="F12" s="11">
        <v>1155.10163273817</v>
      </c>
      <c r="G12" s="33">
        <f t="shared" si="5"/>
        <v>6.313409858</v>
      </c>
      <c r="H12" s="31"/>
      <c r="I12" s="11">
        <v>4.168291182603156E11</v>
      </c>
      <c r="J12" s="11">
        <v>7.6768797468742775</v>
      </c>
      <c r="K12" s="32"/>
      <c r="L12" s="11">
        <v>4.64953334E8</v>
      </c>
      <c r="M12" s="11">
        <v>7.636</v>
      </c>
      <c r="N12" s="33">
        <f t="shared" si="1"/>
        <v>92.364</v>
      </c>
      <c r="O12" s="33">
        <f t="shared" si="2"/>
        <v>42944949742</v>
      </c>
      <c r="P12" s="33">
        <f t="shared" si="3"/>
        <v>32.96326231</v>
      </c>
      <c r="Q12" s="33">
        <f t="shared" si="6"/>
        <v>7.309275771</v>
      </c>
      <c r="R12" s="34">
        <f t="shared" si="4"/>
        <v>9.706126582</v>
      </c>
      <c r="S12" s="33">
        <f t="shared" si="7"/>
        <v>7.125214549</v>
      </c>
      <c r="T12" s="35"/>
      <c r="U12" s="11">
        <v>17.143577667284617</v>
      </c>
      <c r="V12" s="11">
        <v>10.967629778823465</v>
      </c>
      <c r="W12" s="11">
        <v>2.1860370184217108E11</v>
      </c>
      <c r="X12" s="11">
        <v>51.9444266180638</v>
      </c>
      <c r="Y12" s="11">
        <v>21.5635579497653</v>
      </c>
      <c r="Z12" s="11">
        <v>26.4920231164018</v>
      </c>
      <c r="AA12" s="31"/>
      <c r="AB12" s="11">
        <v>46.272869642883734</v>
      </c>
      <c r="AC12" s="11">
        <v>2.737521248892107E11</v>
      </c>
      <c r="AD12" s="11">
        <v>3.471779679683161E11</v>
      </c>
      <c r="AE12" s="11">
        <v>6.84</v>
      </c>
      <c r="AF12" s="32"/>
      <c r="AG12" s="11">
        <v>3.55813729296641E10</v>
      </c>
      <c r="AH12" s="33">
        <f t="shared" si="8"/>
        <v>-18.02712574</v>
      </c>
    </row>
    <row r="13">
      <c r="A13" s="2" t="s">
        <v>34</v>
      </c>
      <c r="B13" s="11">
        <v>2010.0</v>
      </c>
      <c r="C13" s="29"/>
      <c r="D13" s="11">
        <v>1.5358979317195537E12</v>
      </c>
      <c r="E13" s="11">
        <v>8.497584701656251</v>
      </c>
      <c r="F13" s="11">
        <v>1235.1593913293866</v>
      </c>
      <c r="G13" s="33">
        <f t="shared" si="5"/>
        <v>6.930797804</v>
      </c>
      <c r="H13" s="31"/>
      <c r="I13" s="11">
        <v>4.628726707344661E11</v>
      </c>
      <c r="J13" s="11">
        <v>11.046145880191531</v>
      </c>
      <c r="K13" s="32"/>
      <c r="L13" s="11">
        <v>4.67561989E8</v>
      </c>
      <c r="M13" s="11">
        <v>7.631</v>
      </c>
      <c r="N13" s="33">
        <f t="shared" si="1"/>
        <v>92.369</v>
      </c>
      <c r="O13" s="33">
        <f t="shared" si="2"/>
        <v>43188233362</v>
      </c>
      <c r="P13" s="33">
        <f t="shared" si="3"/>
        <v>35.56287933</v>
      </c>
      <c r="Q13" s="33">
        <f t="shared" si="6"/>
        <v>7.886407</v>
      </c>
      <c r="R13" s="34">
        <f t="shared" si="4"/>
        <v>10.71756436</v>
      </c>
      <c r="S13" s="33">
        <f t="shared" si="7"/>
        <v>10.42061188</v>
      </c>
      <c r="T13" s="35"/>
      <c r="U13" s="11">
        <v>17.029934249862396</v>
      </c>
      <c r="V13" s="11">
        <v>7.695106464358645</v>
      </c>
      <c r="W13" s="11">
        <v>2.354254894339553E11</v>
      </c>
      <c r="X13" s="11">
        <v>51.056070239905</v>
      </c>
      <c r="Y13" s="11">
        <v>22.3778888372942</v>
      </c>
      <c r="Z13" s="11">
        <v>26.5660351341417</v>
      </c>
      <c r="AA13" s="31"/>
      <c r="AB13" s="11">
        <v>49.25520649741613</v>
      </c>
      <c r="AC13" s="11">
        <v>3.753535140262667E11</v>
      </c>
      <c r="AD13" s="11">
        <v>4.499743701988019E11</v>
      </c>
      <c r="AE13" s="11">
        <v>6.1</v>
      </c>
      <c r="AF13" s="32"/>
      <c r="AG13" s="11">
        <v>2.73968850337838E10</v>
      </c>
      <c r="AH13" s="33">
        <f t="shared" si="8"/>
        <v>-23.00217002</v>
      </c>
    </row>
    <row r="14">
      <c r="A14" s="2" t="s">
        <v>34</v>
      </c>
      <c r="B14" s="11">
        <v>2011.0</v>
      </c>
      <c r="C14" s="29"/>
      <c r="D14" s="11">
        <v>1.6163991988339668E12</v>
      </c>
      <c r="E14" s="11">
        <v>5.2413162002429345</v>
      </c>
      <c r="F14" s="11">
        <v>1281.610543549368</v>
      </c>
      <c r="G14" s="33">
        <f t="shared" si="5"/>
        <v>3.760741532</v>
      </c>
      <c r="H14" s="31"/>
      <c r="I14" s="11">
        <v>5.188476321989339E11</v>
      </c>
      <c r="J14" s="11">
        <v>12.09295017907391</v>
      </c>
      <c r="K14" s="32"/>
      <c r="L14" s="11">
        <v>4.71891929E8</v>
      </c>
      <c r="M14" s="11">
        <v>7.609</v>
      </c>
      <c r="N14" s="33">
        <f t="shared" si="1"/>
        <v>92.391</v>
      </c>
      <c r="O14" s="33">
        <f t="shared" si="2"/>
        <v>43598567212</v>
      </c>
      <c r="P14" s="33">
        <f t="shared" si="3"/>
        <v>37.07459447</v>
      </c>
      <c r="Q14" s="33">
        <f t="shared" si="6"/>
        <v>4.250823227</v>
      </c>
      <c r="R14" s="34">
        <f t="shared" si="4"/>
        <v>11.90056613</v>
      </c>
      <c r="S14" s="33">
        <f t="shared" si="7"/>
        <v>11.03797212</v>
      </c>
      <c r="T14" s="35"/>
      <c r="U14" s="11">
        <v>16.139337444628858</v>
      </c>
      <c r="V14" s="11">
        <v>3.1250562390001875</v>
      </c>
      <c r="W14" s="11">
        <v>2.4278266837970786E11</v>
      </c>
      <c r="X14" s="11">
        <v>49.0753059155876</v>
      </c>
      <c r="Y14" s="11">
        <v>23.5473821255696</v>
      </c>
      <c r="Z14" s="11">
        <v>27.3773195279181</v>
      </c>
      <c r="AA14" s="31"/>
      <c r="AB14" s="11">
        <v>55.62388001352977</v>
      </c>
      <c r="AC14" s="11">
        <v>4.473844176250927E11</v>
      </c>
      <c r="AD14" s="11">
        <v>5.666677448199084E11</v>
      </c>
      <c r="AE14" s="11">
        <v>7.33</v>
      </c>
      <c r="AF14" s="32"/>
      <c r="AG14" s="11">
        <v>3.64986545978589E10</v>
      </c>
      <c r="AH14" s="33">
        <f t="shared" si="8"/>
        <v>33.22191393</v>
      </c>
    </row>
    <row r="15">
      <c r="A15" s="2" t="s">
        <v>34</v>
      </c>
      <c r="B15" s="11">
        <v>2012.0</v>
      </c>
      <c r="C15" s="29"/>
      <c r="D15" s="11">
        <v>1.7045962035040764E12</v>
      </c>
      <c r="E15" s="11">
        <v>5.4563875516477225</v>
      </c>
      <c r="F15" s="11">
        <v>1333.0962655764886</v>
      </c>
      <c r="G15" s="33">
        <f t="shared" si="5"/>
        <v>4.017267358</v>
      </c>
      <c r="H15" s="31"/>
      <c r="I15" s="11">
        <v>5.444739147577465E11</v>
      </c>
      <c r="J15" s="11">
        <v>4.939076709323231</v>
      </c>
      <c r="K15" s="32"/>
      <c r="L15" s="11">
        <v>4.76101422E8</v>
      </c>
      <c r="M15" s="11">
        <v>7.645</v>
      </c>
      <c r="N15" s="33">
        <f t="shared" si="1"/>
        <v>92.355</v>
      </c>
      <c r="O15" s="33">
        <f t="shared" si="2"/>
        <v>43970346829</v>
      </c>
      <c r="P15" s="33">
        <f t="shared" si="3"/>
        <v>38.76694924</v>
      </c>
      <c r="Q15" s="33">
        <f t="shared" si="6"/>
        <v>4.56472901</v>
      </c>
      <c r="R15" s="34">
        <f t="shared" si="4"/>
        <v>12.38275233</v>
      </c>
      <c r="S15" s="33">
        <f t="shared" si="7"/>
        <v>4.051792152</v>
      </c>
      <c r="T15" s="35"/>
      <c r="U15" s="11">
        <v>15.816923007106634</v>
      </c>
      <c r="V15" s="11">
        <v>5.453083306863533</v>
      </c>
      <c r="W15" s="11">
        <v>2.5602180954107962E11</v>
      </c>
      <c r="X15" s="11">
        <v>47.0881544623322</v>
      </c>
      <c r="Y15" s="11">
        <v>24.6920379635984</v>
      </c>
      <c r="Z15" s="11">
        <v>28.2198150791246</v>
      </c>
      <c r="AA15" s="31"/>
      <c r="AB15" s="11">
        <v>55.793721728751144</v>
      </c>
      <c r="AC15" s="11">
        <v>4.4840047736125354E11</v>
      </c>
      <c r="AD15" s="11">
        <v>5.713065540423856E11</v>
      </c>
      <c r="AE15" s="11">
        <v>6.32</v>
      </c>
      <c r="AF15" s="32"/>
      <c r="AG15" s="11">
        <v>2.39956850142141E10</v>
      </c>
      <c r="AH15" s="33">
        <f t="shared" si="8"/>
        <v>-34.25597387</v>
      </c>
    </row>
    <row r="16">
      <c r="A16" s="2" t="s">
        <v>34</v>
      </c>
      <c r="B16" s="11">
        <v>2013.0</v>
      </c>
      <c r="C16" s="29"/>
      <c r="D16" s="11">
        <v>1.8134535307658406E12</v>
      </c>
      <c r="E16" s="11">
        <v>6.386106400917129</v>
      </c>
      <c r="F16" s="11">
        <v>1399.4537980280961</v>
      </c>
      <c r="G16" s="33">
        <f t="shared" si="5"/>
        <v>4.977699973</v>
      </c>
      <c r="H16" s="31"/>
      <c r="I16" s="11">
        <v>5.529775286271702E11</v>
      </c>
      <c r="J16" s="11">
        <v>1.5618037226277721</v>
      </c>
      <c r="K16" s="32"/>
      <c r="L16" s="11">
        <v>4.8446683E8</v>
      </c>
      <c r="M16" s="11">
        <v>7.678</v>
      </c>
      <c r="N16" s="33">
        <f t="shared" si="1"/>
        <v>92.322</v>
      </c>
      <c r="O16" s="33">
        <f t="shared" si="2"/>
        <v>44726946679</v>
      </c>
      <c r="P16" s="33">
        <f t="shared" si="3"/>
        <v>40.54498832</v>
      </c>
      <c r="Q16" s="33">
        <f t="shared" si="6"/>
        <v>4.586481831</v>
      </c>
      <c r="R16" s="34">
        <f t="shared" si="4"/>
        <v>12.36340885</v>
      </c>
      <c r="S16" s="33">
        <f t="shared" si="7"/>
        <v>-0.1562130707</v>
      </c>
      <c r="T16" s="35"/>
      <c r="U16" s="11">
        <v>15.253022692585985</v>
      </c>
      <c r="V16" s="11">
        <v>4.965847439565962</v>
      </c>
      <c r="W16" s="11">
        <v>2.6873546201490576E11</v>
      </c>
      <c r="X16" s="11">
        <v>46.2418839816327</v>
      </c>
      <c r="Y16" s="11">
        <v>24.7546738405335</v>
      </c>
      <c r="Z16" s="11">
        <v>29.0034439664578</v>
      </c>
      <c r="AA16" s="31"/>
      <c r="AB16" s="11">
        <v>53.844131946677734</v>
      </c>
      <c r="AC16" s="11">
        <v>4.7218027134014923E11</v>
      </c>
      <c r="AD16" s="11">
        <v>5.275553071059563E11</v>
      </c>
      <c r="AE16" s="11">
        <v>6.34</v>
      </c>
      <c r="AF16" s="32"/>
      <c r="AG16" s="11">
        <v>2.81530312703202E10</v>
      </c>
      <c r="AH16" s="33">
        <f t="shared" si="8"/>
        <v>17.32539102</v>
      </c>
    </row>
    <row r="17">
      <c r="A17" s="2" t="s">
        <v>34</v>
      </c>
      <c r="B17" s="11">
        <v>2014.0</v>
      </c>
      <c r="C17" s="29"/>
      <c r="D17" s="11">
        <v>1.9478345649095762E12</v>
      </c>
      <c r="E17" s="11">
        <v>7.410227605169766</v>
      </c>
      <c r="F17" s="11">
        <v>1484.3164068296119</v>
      </c>
      <c r="G17" s="33">
        <f t="shared" si="5"/>
        <v>6.063980742</v>
      </c>
      <c r="H17" s="31"/>
      <c r="I17" s="11">
        <v>5.673729019894071E11</v>
      </c>
      <c r="J17" s="11">
        <v>2.6032474408092128</v>
      </c>
      <c r="K17" s="32"/>
      <c r="L17" s="11">
        <v>4.92680645E8</v>
      </c>
      <c r="M17" s="11">
        <v>7.656</v>
      </c>
      <c r="N17" s="33">
        <f t="shared" si="1"/>
        <v>92.344</v>
      </c>
      <c r="O17" s="33">
        <f t="shared" si="2"/>
        <v>45496101482</v>
      </c>
      <c r="P17" s="33">
        <f t="shared" si="3"/>
        <v>42.81321919</v>
      </c>
      <c r="Q17" s="33">
        <f t="shared" si="6"/>
        <v>5.594355701</v>
      </c>
      <c r="R17" s="34">
        <f t="shared" si="4"/>
        <v>12.47080263</v>
      </c>
      <c r="S17" s="33">
        <f t="shared" si="7"/>
        <v>0.8686421018</v>
      </c>
      <c r="T17" s="35"/>
      <c r="U17" s="11">
        <v>15.065570110758902</v>
      </c>
      <c r="V17" s="11">
        <v>7.895669766297743</v>
      </c>
      <c r="W17" s="11">
        <v>2.8995392664053723E11</v>
      </c>
      <c r="X17" s="11">
        <v>45.2547111152237</v>
      </c>
      <c r="Y17" s="11">
        <v>24.8960152022282</v>
      </c>
      <c r="Z17" s="11">
        <v>29.8492736825481</v>
      </c>
      <c r="AA17" s="31"/>
      <c r="AB17" s="11">
        <v>48.922185747066905</v>
      </c>
      <c r="AC17" s="11">
        <v>4.683458154209329E11</v>
      </c>
      <c r="AD17" s="11">
        <v>5.292394283286653E11</v>
      </c>
      <c r="AE17" s="2" t="s">
        <v>87</v>
      </c>
      <c r="AF17" s="32"/>
      <c r="AG17" s="11">
        <v>3.45766436941382E10</v>
      </c>
      <c r="AH17" s="33">
        <f t="shared" si="8"/>
        <v>22.81677011</v>
      </c>
    </row>
    <row r="18">
      <c r="A18" s="2" t="s">
        <v>34</v>
      </c>
      <c r="B18" s="11">
        <v>2015.0</v>
      </c>
      <c r="C18" s="29"/>
      <c r="D18" s="11">
        <v>2.1035883600449392E12</v>
      </c>
      <c r="E18" s="11">
        <v>7.996253785679869</v>
      </c>
      <c r="F18" s="11">
        <v>1583.998159079848</v>
      </c>
      <c r="G18" s="33">
        <f t="shared" si="5"/>
        <v>6.715667346</v>
      </c>
      <c r="H18" s="31"/>
      <c r="I18" s="11">
        <v>6.044270753669364E11</v>
      </c>
      <c r="J18" s="11">
        <v>6.530832411559388</v>
      </c>
      <c r="K18" s="32"/>
      <c r="L18" s="11">
        <v>5.00640619E8</v>
      </c>
      <c r="M18" s="11">
        <v>7.629</v>
      </c>
      <c r="N18" s="33">
        <f t="shared" si="1"/>
        <v>92.371</v>
      </c>
      <c r="O18" s="33">
        <f t="shared" si="2"/>
        <v>46244674618</v>
      </c>
      <c r="P18" s="33">
        <f t="shared" si="3"/>
        <v>45.48822924</v>
      </c>
      <c r="Q18" s="33">
        <f t="shared" si="6"/>
        <v>6.2480937</v>
      </c>
      <c r="R18" s="34">
        <f t="shared" si="4"/>
        <v>13.07019847</v>
      </c>
      <c r="S18" s="33">
        <f t="shared" si="7"/>
        <v>4.806393437</v>
      </c>
      <c r="T18" s="35"/>
      <c r="U18" s="11">
        <v>15.583854586371334</v>
      </c>
      <c r="V18" s="11">
        <v>13.059393581395867</v>
      </c>
      <c r="W18" s="11">
        <v>3.278201511252368E11</v>
      </c>
      <c r="X18" s="11">
        <v>44.2796936892031</v>
      </c>
      <c r="Y18" s="11">
        <v>24.9480704919335</v>
      </c>
      <c r="Z18" s="11">
        <v>30.7722358188634</v>
      </c>
      <c r="AA18" s="31"/>
      <c r="AB18" s="11">
        <v>41.92291386586472</v>
      </c>
      <c r="AC18" s="11">
        <v>4.167879408478122E11</v>
      </c>
      <c r="AD18" s="11">
        <v>4.650975954261839E11</v>
      </c>
      <c r="AE18" s="11">
        <v>7.32</v>
      </c>
      <c r="AF18" s="32"/>
      <c r="AG18" s="11">
        <v>4.40094921295319E10</v>
      </c>
      <c r="AH18" s="33">
        <f t="shared" si="8"/>
        <v>27.28098343</v>
      </c>
    </row>
    <row r="19">
      <c r="A19" s="2" t="s">
        <v>34</v>
      </c>
      <c r="B19" s="11">
        <v>2016.0</v>
      </c>
      <c r="C19" s="29"/>
      <c r="D19" s="11">
        <v>2.2772670415498516E12</v>
      </c>
      <c r="E19" s="11">
        <v>8.256305501766619</v>
      </c>
      <c r="F19" s="11">
        <v>1694.465349737867</v>
      </c>
      <c r="G19" s="33">
        <f t="shared" si="5"/>
        <v>6.973946909</v>
      </c>
      <c r="H19" s="31"/>
      <c r="I19" s="11">
        <v>6.555522380644639E11</v>
      </c>
      <c r="J19" s="11">
        <v>8.458450122620718</v>
      </c>
      <c r="K19" s="32"/>
      <c r="L19" s="11">
        <v>5.08681288E8</v>
      </c>
      <c r="M19" s="11">
        <v>7.611</v>
      </c>
      <c r="N19" s="33">
        <f t="shared" si="1"/>
        <v>92.389</v>
      </c>
      <c r="O19" s="33">
        <f t="shared" si="2"/>
        <v>46996555517</v>
      </c>
      <c r="P19" s="33">
        <f t="shared" si="3"/>
        <v>48.45604144</v>
      </c>
      <c r="Q19" s="33">
        <f t="shared" si="6"/>
        <v>6.524352012</v>
      </c>
      <c r="R19" s="34">
        <f t="shared" si="4"/>
        <v>13.94894223</v>
      </c>
      <c r="S19" s="33">
        <f t="shared" si="7"/>
        <v>6.723262594</v>
      </c>
      <c r="T19" s="35"/>
      <c r="U19" s="11">
        <v>15.162237133252901</v>
      </c>
      <c r="V19" s="11">
        <v>7.9268214208403975</v>
      </c>
      <c r="W19" s="11">
        <v>3.5380586908646344E11</v>
      </c>
      <c r="X19" s="11">
        <v>43.2048505926307</v>
      </c>
      <c r="Y19" s="11">
        <v>25.1894783758453</v>
      </c>
      <c r="Z19" s="11">
        <v>31.6056633714195</v>
      </c>
      <c r="AA19" s="31"/>
      <c r="AB19" s="11">
        <v>40.08248571327602</v>
      </c>
      <c r="AC19" s="11">
        <v>4.3964257807635834E11</v>
      </c>
      <c r="AD19" s="11">
        <v>4.801690557682821E11</v>
      </c>
      <c r="AE19" s="11">
        <v>6.35</v>
      </c>
      <c r="AF19" s="32"/>
      <c r="AG19" s="11">
        <v>4.4458571545798E10</v>
      </c>
      <c r="AH19" s="33">
        <f t="shared" si="8"/>
        <v>1.020414903</v>
      </c>
    </row>
    <row r="20">
      <c r="A20" s="2" t="s">
        <v>34</v>
      </c>
      <c r="B20" s="11">
        <v>2017.0</v>
      </c>
      <c r="C20" s="29"/>
      <c r="D20" s="11">
        <v>2.4320160684982334E12</v>
      </c>
      <c r="E20" s="11">
        <v>6.795383419024219</v>
      </c>
      <c r="F20" s="11">
        <v>1788.697703184812</v>
      </c>
      <c r="G20" s="33">
        <f t="shared" si="5"/>
        <v>5.561185035</v>
      </c>
      <c r="H20" s="31"/>
      <c r="I20" s="11">
        <v>7.06699366177944E11</v>
      </c>
      <c r="J20" s="11">
        <v>7.80214377186681</v>
      </c>
      <c r="K20" s="32"/>
      <c r="L20" s="11">
        <v>5.16713963E8</v>
      </c>
      <c r="M20" s="11">
        <v>7.626</v>
      </c>
      <c r="N20" s="33">
        <f t="shared" si="1"/>
        <v>92.374</v>
      </c>
      <c r="O20" s="33">
        <f t="shared" si="2"/>
        <v>47730935618</v>
      </c>
      <c r="P20" s="33">
        <f t="shared" si="3"/>
        <v>50.95261673</v>
      </c>
      <c r="Q20" s="33">
        <f t="shared" si="6"/>
        <v>5.152247716</v>
      </c>
      <c r="R20" s="34">
        <f t="shared" si="4"/>
        <v>14.80589804</v>
      </c>
      <c r="S20" s="33">
        <f t="shared" si="7"/>
        <v>6.143518224</v>
      </c>
      <c r="T20" s="35"/>
      <c r="U20" s="11">
        <v>15.018238750171792</v>
      </c>
      <c r="V20" s="11">
        <v>7.527063602912193</v>
      </c>
      <c r="W20" s="11">
        <v>3.804370618834378E11</v>
      </c>
      <c r="X20" s="11">
        <v>42.2671064682124</v>
      </c>
      <c r="Y20" s="11">
        <v>25.2657227336051</v>
      </c>
      <c r="Z20" s="11">
        <v>32.4671651415297</v>
      </c>
      <c r="AA20" s="31"/>
      <c r="AB20" s="11">
        <v>40.74249695452253</v>
      </c>
      <c r="AC20" s="11">
        <v>4.98258808231521E11</v>
      </c>
      <c r="AD20" s="11">
        <v>5.820180125215677E11</v>
      </c>
      <c r="AE20" s="11">
        <v>5.78</v>
      </c>
      <c r="AF20" s="32"/>
      <c r="AG20" s="11">
        <v>3.99660913587384E10</v>
      </c>
      <c r="AH20" s="33">
        <f t="shared" si="8"/>
        <v>-10.10486849</v>
      </c>
    </row>
    <row r="21" ht="15.75" customHeight="1">
      <c r="A21" s="2" t="s">
        <v>34</v>
      </c>
      <c r="B21" s="11">
        <v>2018.0</v>
      </c>
      <c r="C21" s="29"/>
      <c r="D21" s="11">
        <v>2.5889747702444785E12</v>
      </c>
      <c r="E21" s="11">
        <v>6.453851344952952</v>
      </c>
      <c r="F21" s="11">
        <v>1883.3577270505514</v>
      </c>
      <c r="G21" s="33">
        <f t="shared" si="5"/>
        <v>5.292119719</v>
      </c>
      <c r="H21" s="31"/>
      <c r="I21" s="11">
        <v>7.858713808217848E11</v>
      </c>
      <c r="J21" s="11">
        <v>11.203068579504787</v>
      </c>
      <c r="K21" s="32"/>
      <c r="L21" s="11">
        <v>5.24292869E8</v>
      </c>
      <c r="M21" s="11">
        <v>7.652</v>
      </c>
      <c r="N21" s="33">
        <f t="shared" si="1"/>
        <v>92.348</v>
      </c>
      <c r="O21" s="33">
        <f t="shared" si="2"/>
        <v>48417397866</v>
      </c>
      <c r="P21" s="33">
        <f t="shared" si="3"/>
        <v>53.47199322</v>
      </c>
      <c r="Q21" s="33">
        <f t="shared" si="6"/>
        <v>4.944547802</v>
      </c>
      <c r="R21" s="34">
        <f t="shared" si="4"/>
        <v>16.23117754</v>
      </c>
      <c r="S21" s="33">
        <f t="shared" si="7"/>
        <v>9.626430597</v>
      </c>
      <c r="T21" s="35"/>
      <c r="U21" s="11">
        <v>14.881530667301684</v>
      </c>
      <c r="V21" s="11">
        <v>5.411556885037157</v>
      </c>
      <c r="W21" s="11">
        <v>4.0102462989902405E11</v>
      </c>
      <c r="X21" s="11">
        <v>41.2949989249141</v>
      </c>
      <c r="Y21" s="11">
        <v>25.3658737784355</v>
      </c>
      <c r="Z21" s="11">
        <v>33.3391272966505</v>
      </c>
      <c r="AA21" s="31"/>
      <c r="AB21" s="11">
        <v>43.61696933238889</v>
      </c>
      <c r="AC21" s="11">
        <v>5.386351861354382E11</v>
      </c>
      <c r="AD21" s="11">
        <v>6.403008067385419E11</v>
      </c>
      <c r="AE21" s="11">
        <v>4.88</v>
      </c>
      <c r="AF21" s="32"/>
      <c r="AG21" s="11">
        <v>4.21174507372644E10</v>
      </c>
      <c r="AH21" s="33">
        <f t="shared" si="8"/>
        <v>5.382961669</v>
      </c>
    </row>
    <row r="22" ht="15.75" customHeight="1">
      <c r="A22" s="2" t="s">
        <v>34</v>
      </c>
      <c r="B22" s="11">
        <v>2019.0</v>
      </c>
      <c r="C22" s="29"/>
      <c r="D22" s="11">
        <v>2.6892052958852617E12</v>
      </c>
      <c r="E22" s="11">
        <v>3.8714369407052374</v>
      </c>
      <c r="F22" s="11">
        <v>1936.030677410632</v>
      </c>
      <c r="G22" s="33">
        <f t="shared" si="5"/>
        <v>2.7967576</v>
      </c>
      <c r="H22" s="31"/>
      <c r="I22" s="11">
        <v>7.948836090435411E11</v>
      </c>
      <c r="J22" s="11">
        <v>1.1467815779641057</v>
      </c>
      <c r="K22" s="32"/>
      <c r="L22" s="11">
        <v>5.31373378E8</v>
      </c>
      <c r="M22" s="11">
        <v>6.51</v>
      </c>
      <c r="N22" s="33">
        <f t="shared" si="1"/>
        <v>93.49</v>
      </c>
      <c r="O22" s="33">
        <f t="shared" si="2"/>
        <v>49678097109</v>
      </c>
      <c r="P22" s="33">
        <f t="shared" si="3"/>
        <v>54.13261482</v>
      </c>
      <c r="Q22" s="33">
        <f t="shared" si="6"/>
        <v>1.235453489</v>
      </c>
      <c r="R22" s="34">
        <f t="shared" si="4"/>
        <v>16.00068552</v>
      </c>
      <c r="S22" s="33">
        <f t="shared" si="7"/>
        <v>-1.420057298</v>
      </c>
      <c r="T22" s="35"/>
      <c r="U22" s="11">
        <v>13.455807563339416</v>
      </c>
      <c r="V22" s="11">
        <v>-2.974962942083849</v>
      </c>
      <c r="W22" s="11">
        <v>3.890942957708992E11</v>
      </c>
      <c r="X22" s="11">
        <v>40.6518149993227</v>
      </c>
      <c r="Y22" s="11">
        <v>25.251113046721</v>
      </c>
      <c r="Z22" s="11">
        <v>34.0970739669082</v>
      </c>
      <c r="AA22" s="31"/>
      <c r="AB22" s="11">
        <v>39.90540353064419</v>
      </c>
      <c r="AC22" s="11">
        <v>5.292450631672154E11</v>
      </c>
      <c r="AD22" s="11">
        <v>6.023150560525262E11</v>
      </c>
      <c r="AE22" s="11">
        <v>6.59</v>
      </c>
      <c r="AF22" s="32"/>
      <c r="AG22" s="11">
        <v>5.06106473535911E10</v>
      </c>
      <c r="AH22" s="33">
        <f t="shared" si="8"/>
        <v>20.16550496</v>
      </c>
    </row>
    <row r="23" ht="15.75" customHeight="1">
      <c r="A23" s="2" t="s">
        <v>34</v>
      </c>
      <c r="B23" s="11">
        <v>2020.0</v>
      </c>
      <c r="C23" s="29"/>
      <c r="D23" s="11">
        <v>2.533830417086361E12</v>
      </c>
      <c r="E23" s="11">
        <v>-5.77772470687303</v>
      </c>
      <c r="F23" s="11">
        <v>1806.5011058386517</v>
      </c>
      <c r="G23" s="33">
        <f t="shared" si="5"/>
        <v>-6.690471028</v>
      </c>
      <c r="H23" s="31"/>
      <c r="I23" s="11">
        <v>7.38477753555943E11</v>
      </c>
      <c r="J23" s="11">
        <v>-7.096115059595903</v>
      </c>
      <c r="K23" s="32"/>
      <c r="L23" s="11">
        <v>5.32528354E8</v>
      </c>
      <c r="M23" s="11">
        <v>7.859</v>
      </c>
      <c r="N23" s="33">
        <f t="shared" si="1"/>
        <v>92.141</v>
      </c>
      <c r="O23" s="33">
        <f t="shared" si="2"/>
        <v>49067695066</v>
      </c>
      <c r="P23" s="33">
        <f t="shared" si="3"/>
        <v>51.63948324</v>
      </c>
      <c r="Q23" s="33">
        <f t="shared" si="6"/>
        <v>-4.605599762</v>
      </c>
      <c r="R23" s="34">
        <f t="shared" si="4"/>
        <v>15.05018225</v>
      </c>
      <c r="S23" s="33">
        <f t="shared" si="7"/>
        <v>-5.940390889</v>
      </c>
      <c r="T23" s="35"/>
      <c r="U23" s="11">
        <v>14.120485357692278</v>
      </c>
      <c r="V23" s="11">
        <v>3.0736109935103286</v>
      </c>
      <c r="W23" s="11">
        <v>4.0105354082083514E11</v>
      </c>
      <c r="X23" s="11">
        <v>44.6754951957099</v>
      </c>
      <c r="Y23" s="11">
        <v>23.7036475318516</v>
      </c>
      <c r="Z23" s="11">
        <v>31.6208572724385</v>
      </c>
      <c r="AA23" s="31"/>
      <c r="AB23" s="11">
        <v>37.75810532927675</v>
      </c>
      <c r="AC23" s="11">
        <v>4.997285290726291E11</v>
      </c>
      <c r="AD23" s="11">
        <v>5.102447473721738E11</v>
      </c>
      <c r="AE23" s="11">
        <v>6.19</v>
      </c>
      <c r="AF23" s="32"/>
      <c r="AG23" s="11">
        <v>6.43623649943754E10</v>
      </c>
      <c r="AH23" s="33">
        <f t="shared" si="8"/>
        <v>27.17159009</v>
      </c>
    </row>
    <row r="24" ht="15.75" customHeight="1">
      <c r="A24" s="2" t="s">
        <v>34</v>
      </c>
      <c r="B24" s="11">
        <v>2021.0</v>
      </c>
      <c r="C24" s="29"/>
      <c r="D24" s="11">
        <v>2.7793482589382803E12</v>
      </c>
      <c r="E24" s="11">
        <v>9.68959249191741</v>
      </c>
      <c r="F24" s="11">
        <v>1965.3094343747164</v>
      </c>
      <c r="G24" s="33">
        <f t="shared" si="5"/>
        <v>8.790934477</v>
      </c>
      <c r="H24" s="31"/>
      <c r="I24" s="11">
        <v>8.678687064721224E11</v>
      </c>
      <c r="J24" s="11">
        <v>17.521306808923057</v>
      </c>
      <c r="K24" s="32"/>
      <c r="L24" s="11">
        <v>5.50352877E8</v>
      </c>
      <c r="M24" s="11">
        <v>6.38</v>
      </c>
      <c r="N24" s="33">
        <f t="shared" si="1"/>
        <v>93.62</v>
      </c>
      <c r="O24" s="33">
        <f t="shared" si="2"/>
        <v>51524036345</v>
      </c>
      <c r="P24" s="33">
        <f t="shared" si="3"/>
        <v>53.94275092</v>
      </c>
      <c r="Q24" s="33">
        <f t="shared" si="6"/>
        <v>4.460284134</v>
      </c>
      <c r="R24" s="34">
        <f t="shared" si="4"/>
        <v>16.84395804</v>
      </c>
      <c r="S24" s="33">
        <f t="shared" si="7"/>
        <v>11.91863168</v>
      </c>
      <c r="T24" s="35"/>
      <c r="U24" s="11">
        <v>14.377028853128614</v>
      </c>
      <c r="V24" s="11">
        <v>9.955219671749589</v>
      </c>
      <c r="W24" s="11">
        <v>4.409793018108792E11</v>
      </c>
      <c r="X24" s="11">
        <v>44.0791868866382</v>
      </c>
      <c r="Y24" s="11">
        <v>24.4704786231875</v>
      </c>
      <c r="Z24" s="11">
        <v>31.4503271149612</v>
      </c>
      <c r="AA24" s="31"/>
      <c r="AB24" s="11">
        <v>45.423088784044594</v>
      </c>
      <c r="AC24" s="11">
        <v>6.777692554285521E11</v>
      </c>
      <c r="AD24" s="11">
        <v>7.609028918060132E11</v>
      </c>
      <c r="AE24" s="11">
        <v>5.87</v>
      </c>
      <c r="AF24" s="32"/>
      <c r="AG24" s="11">
        <v>4.4727277562881E10</v>
      </c>
      <c r="AH24" s="33">
        <f t="shared" si="8"/>
        <v>-30.50709438</v>
      </c>
    </row>
    <row r="25" ht="15.75" customHeight="1">
      <c r="A25" s="2" t="s">
        <v>34</v>
      </c>
      <c r="B25" s="11">
        <v>2022.0</v>
      </c>
      <c r="C25" s="29"/>
      <c r="D25" s="11">
        <v>2.9908390119620557E12</v>
      </c>
      <c r="E25" s="11">
        <v>7.609364977693204</v>
      </c>
      <c r="F25" s="11">
        <v>2098.2112447612194</v>
      </c>
      <c r="G25" s="33">
        <f t="shared" si="5"/>
        <v>6.762386017</v>
      </c>
      <c r="H25" s="31"/>
      <c r="I25" s="11">
        <v>9.411614530674916E11</v>
      </c>
      <c r="J25" s="11">
        <v>8.445142225867713</v>
      </c>
      <c r="K25" s="32"/>
      <c r="L25" s="11">
        <v>5.69155867E8</v>
      </c>
      <c r="M25" s="11">
        <v>4.822</v>
      </c>
      <c r="N25" s="33">
        <f t="shared" si="1"/>
        <v>95.178</v>
      </c>
      <c r="O25" s="33">
        <f t="shared" si="2"/>
        <v>54171117109</v>
      </c>
      <c r="P25" s="33">
        <f t="shared" si="3"/>
        <v>55.21095321</v>
      </c>
      <c r="Q25" s="33">
        <f t="shared" si="6"/>
        <v>2.351015227</v>
      </c>
      <c r="R25" s="34">
        <f t="shared" si="4"/>
        <v>17.37386089</v>
      </c>
      <c r="S25" s="33">
        <f t="shared" si="7"/>
        <v>3.14595208</v>
      </c>
      <c r="T25" s="35"/>
      <c r="U25" s="11">
        <v>13.33272026239736</v>
      </c>
      <c r="V25" s="11">
        <v>-1.744196563454409</v>
      </c>
      <c r="W25" s="11">
        <v>4.332877559831486E11</v>
      </c>
      <c r="X25" s="11">
        <v>42.8609991503088</v>
      </c>
      <c r="Y25" s="11">
        <v>26.1203341573875</v>
      </c>
      <c r="Z25" s="11">
        <v>31.0186666923037</v>
      </c>
      <c r="AA25" s="31"/>
      <c r="AB25" s="11">
        <v>50.69793827580423</v>
      </c>
      <c r="AC25" s="11">
        <v>7.812907915638265E11</v>
      </c>
      <c r="AD25" s="11">
        <v>8.663610191187661E11</v>
      </c>
      <c r="AE25" s="11">
        <v>4.59</v>
      </c>
      <c r="AF25" s="32"/>
      <c r="AG25" s="11">
        <v>4.99402584042659E10</v>
      </c>
      <c r="AH25" s="33">
        <f t="shared" si="8"/>
        <v>11.65503721</v>
      </c>
    </row>
    <row r="26" ht="15.75" customHeight="1">
      <c r="A26" s="2" t="s">
        <v>34</v>
      </c>
      <c r="B26" s="11">
        <v>2023.0</v>
      </c>
      <c r="C26" s="29"/>
      <c r="D26" s="11">
        <v>3.2064852230263037E12</v>
      </c>
      <c r="E26" s="11">
        <v>7.210224629335002</v>
      </c>
      <c r="F26" s="11">
        <v>2229.71491223037</v>
      </c>
      <c r="G26" s="33">
        <f t="shared" si="5"/>
        <v>6.267417916</v>
      </c>
      <c r="H26" s="31"/>
      <c r="I26" s="11">
        <v>1.0094232538958359E12</v>
      </c>
      <c r="J26" s="11">
        <v>7.252932066635466</v>
      </c>
      <c r="K26" s="32"/>
      <c r="L26" s="11">
        <v>5.89486854E8</v>
      </c>
      <c r="M26" s="11">
        <v>4.172</v>
      </c>
      <c r="N26" s="33">
        <f t="shared" si="1"/>
        <v>95.828</v>
      </c>
      <c r="O26" s="33">
        <f t="shared" si="2"/>
        <v>56489346245</v>
      </c>
      <c r="P26" s="33">
        <f t="shared" si="3"/>
        <v>56.76265413</v>
      </c>
      <c r="Q26" s="33">
        <f t="shared" si="6"/>
        <v>2.810494717</v>
      </c>
      <c r="R26" s="34">
        <f t="shared" si="4"/>
        <v>17.86926776</v>
      </c>
      <c r="S26" s="33">
        <f t="shared" si="7"/>
        <v>2.851449512</v>
      </c>
      <c r="T26" s="35"/>
      <c r="U26" s="11">
        <v>13.312843875072023</v>
      </c>
      <c r="V26" s="11">
        <v>12.707025648704672</v>
      </c>
      <c r="W26" s="11">
        <v>4.883457422686242E11</v>
      </c>
      <c r="X26" s="11">
        <v>43.5135811245793</v>
      </c>
      <c r="Y26" s="11">
        <v>25.0292115986201</v>
      </c>
      <c r="Z26" s="11">
        <v>31.4572072768006</v>
      </c>
      <c r="AA26" s="31"/>
      <c r="AB26" s="11">
        <v>46.32295205823384</v>
      </c>
      <c r="AC26" s="11">
        <v>7.826206101920507E11</v>
      </c>
      <c r="AD26" s="11">
        <v>8.391024119873408E11</v>
      </c>
      <c r="AE26" s="2" t="s">
        <v>87</v>
      </c>
      <c r="AF26" s="32"/>
      <c r="AG26" s="11">
        <v>2.80861935303979E10</v>
      </c>
      <c r="AH26" s="33">
        <f t="shared" si="8"/>
        <v>-43.76041609</v>
      </c>
    </row>
    <row r="27" ht="15.75" customHeight="1">
      <c r="A27" s="2" t="s">
        <v>34</v>
      </c>
      <c r="B27" s="11">
        <v>2024.0</v>
      </c>
      <c r="C27" s="29"/>
      <c r="D27" s="11">
        <v>3.434122552914774E12</v>
      </c>
      <c r="E27" s="11">
        <v>7.099278931765184</v>
      </c>
      <c r="F27" s="11">
        <v>2366.832891032305</v>
      </c>
      <c r="G27" s="33">
        <f t="shared" si="5"/>
        <v>6.149574461</v>
      </c>
      <c r="H27" s="31"/>
      <c r="I27" s="11">
        <v>1.074125919425715E12</v>
      </c>
      <c r="J27" s="11">
        <v>6.4098647698238835</v>
      </c>
      <c r="K27" s="32"/>
      <c r="L27" s="11">
        <v>6.08500805E8</v>
      </c>
      <c r="M27" s="11">
        <v>4.173</v>
      </c>
      <c r="N27" s="33">
        <f t="shared" si="1"/>
        <v>95.827</v>
      </c>
      <c r="O27" s="33">
        <f t="shared" si="2"/>
        <v>58310806641</v>
      </c>
      <c r="P27" s="33">
        <f t="shared" si="3"/>
        <v>58.89341532</v>
      </c>
      <c r="Q27" s="33">
        <f t="shared" si="6"/>
        <v>3.753808234</v>
      </c>
      <c r="R27" s="34">
        <f t="shared" si="4"/>
        <v>18.42070075</v>
      </c>
      <c r="S27" s="33">
        <f t="shared" si="7"/>
        <v>3.08592937</v>
      </c>
      <c r="T27" s="35"/>
      <c r="U27" s="11">
        <v>13.139219949132599</v>
      </c>
      <c r="V27" s="11">
        <v>9.289033655985563</v>
      </c>
      <c r="W27" s="11">
        <v>5.3370834262552924E11</v>
      </c>
      <c r="X27" s="11">
        <v>42.3547738876441</v>
      </c>
      <c r="Y27" s="11">
        <v>25.3709259711612</v>
      </c>
      <c r="Z27" s="11">
        <v>32.2743097449178</v>
      </c>
      <c r="AA27" s="31"/>
      <c r="AB27" s="11">
        <v>45.91669076787482</v>
      </c>
      <c r="AC27" s="11">
        <v>8.29785193474459E11</v>
      </c>
      <c r="AD27" s="11">
        <v>8.970558981320004E11</v>
      </c>
      <c r="AE27" s="2" t="s">
        <v>87</v>
      </c>
      <c r="AF27" s="32"/>
      <c r="AG27" s="11">
        <v>2.71398533781402E10</v>
      </c>
      <c r="AH27" s="33">
        <f t="shared" si="8"/>
        <v>-3.369414055</v>
      </c>
    </row>
    <row r="28" ht="15.75" customHeight="1">
      <c r="A28" s="2" t="s">
        <v>34</v>
      </c>
      <c r="B28" s="11">
        <v>2025.0</v>
      </c>
      <c r="C28" s="29"/>
      <c r="D28" s="11">
        <v>3.6939709920455615E12</v>
      </c>
      <c r="E28" s="11">
        <v>7.566661792842439</v>
      </c>
      <c r="F28" s="11">
        <v>2523.4360185137643</v>
      </c>
      <c r="G28" s="33">
        <f t="shared" si="5"/>
        <v>6.616568837</v>
      </c>
      <c r="H28" s="31"/>
      <c r="I28" s="11">
        <v>1.1502040507933862E12</v>
      </c>
      <c r="J28" s="11">
        <v>7.082794483569188</v>
      </c>
      <c r="K28" s="32"/>
      <c r="L28" s="11">
        <v>6.17625336E8</v>
      </c>
      <c r="M28" s="11">
        <v>4.219</v>
      </c>
      <c r="N28" s="33">
        <f t="shared" si="1"/>
        <v>95.781</v>
      </c>
      <c r="O28" s="33">
        <f t="shared" si="2"/>
        <v>59156772307</v>
      </c>
      <c r="P28" s="33">
        <f t="shared" si="3"/>
        <v>62.44375492</v>
      </c>
      <c r="Q28" s="33">
        <f t="shared" si="6"/>
        <v>6.028415212</v>
      </c>
      <c r="R28" s="34">
        <f t="shared" si="4"/>
        <v>19.44331994</v>
      </c>
      <c r="S28" s="33">
        <f t="shared" si="7"/>
        <v>5.5514674</v>
      </c>
      <c r="T28" s="35"/>
      <c r="U28" s="11">
        <v>13.471055068464782</v>
      </c>
      <c r="V28" s="11">
        <v>11.531872924542057</v>
      </c>
      <c r="W28" s="11">
        <v>5.952549104847848E11</v>
      </c>
      <c r="X28" s="11">
        <v>41.6251280877573</v>
      </c>
      <c r="Y28" s="11">
        <v>25.8173073806381</v>
      </c>
      <c r="Z28" s="11">
        <v>32.5575625031109</v>
      </c>
      <c r="AA28" s="31"/>
      <c r="AB28" s="11">
        <v>46.268200685990735</v>
      </c>
      <c r="AC28" s="11">
        <v>8.807408466215453E11</v>
      </c>
      <c r="AD28" s="11">
        <v>9.496602257761584E11</v>
      </c>
      <c r="AE28" s="2" t="s">
        <v>87</v>
      </c>
      <c r="AF28" s="32"/>
      <c r="AG28" s="11">
        <v>3.90972330862133E10</v>
      </c>
      <c r="AH28" s="33">
        <f t="shared" si="8"/>
        <v>44.05837991</v>
      </c>
    </row>
    <row r="29" ht="15.75" customHeight="1">
      <c r="C29" s="29"/>
      <c r="H29" s="31"/>
      <c r="K29" s="32"/>
      <c r="T29" s="35"/>
      <c r="AA29" s="31"/>
      <c r="AF29" s="32"/>
    </row>
    <row r="30" ht="15.75" customHeight="1">
      <c r="C30" s="29"/>
      <c r="H30" s="31"/>
      <c r="K30" s="32"/>
      <c r="T30" s="35"/>
      <c r="AA30" s="31"/>
      <c r="AF30" s="32"/>
    </row>
    <row r="31" ht="15.75" customHeight="1">
      <c r="C31" s="29"/>
      <c r="H31" s="31"/>
      <c r="K31" s="32"/>
      <c r="T31" s="35"/>
      <c r="AA31" s="31"/>
      <c r="AF31" s="32"/>
    </row>
    <row r="32" ht="15.75" customHeight="1">
      <c r="C32" s="29"/>
      <c r="H32" s="31"/>
      <c r="K32" s="32"/>
      <c r="T32" s="35"/>
      <c r="AA32" s="31"/>
      <c r="AF32" s="32"/>
    </row>
    <row r="33" ht="15.75" customHeight="1">
      <c r="C33" s="29"/>
      <c r="H33" s="31"/>
      <c r="K33" s="32"/>
      <c r="T33" s="35"/>
      <c r="AA33" s="31"/>
      <c r="AF33" s="32"/>
    </row>
    <row r="34" ht="15.75" customHeight="1">
      <c r="C34" s="29"/>
      <c r="H34" s="31"/>
      <c r="K34" s="32"/>
      <c r="T34" s="35"/>
      <c r="AA34" s="31"/>
      <c r="AF34" s="32"/>
    </row>
    <row r="35" ht="15.75" customHeight="1">
      <c r="C35" s="29"/>
      <c r="H35" s="31"/>
      <c r="K35" s="32"/>
      <c r="T35" s="35"/>
      <c r="AA35" s="31"/>
      <c r="AF35" s="32"/>
    </row>
    <row r="36" ht="15.75" customHeight="1">
      <c r="C36" s="29"/>
      <c r="H36" s="31"/>
      <c r="K36" s="32"/>
      <c r="T36" s="35"/>
      <c r="AA36" s="31"/>
      <c r="AF36" s="32"/>
    </row>
    <row r="37" ht="15.75" customHeight="1">
      <c r="C37" s="29"/>
      <c r="H37" s="31"/>
      <c r="K37" s="32"/>
      <c r="T37" s="35"/>
      <c r="AA37" s="31"/>
      <c r="AF37" s="32"/>
    </row>
    <row r="38" ht="15.75" customHeight="1">
      <c r="C38" s="29"/>
      <c r="H38" s="31"/>
      <c r="K38" s="32"/>
      <c r="T38" s="35"/>
      <c r="AA38" s="31"/>
      <c r="AF38" s="32"/>
    </row>
    <row r="39" ht="15.75" customHeight="1">
      <c r="C39" s="29"/>
      <c r="H39" s="31"/>
      <c r="K39" s="32"/>
      <c r="T39" s="35"/>
      <c r="AA39" s="31"/>
      <c r="AF39" s="32"/>
    </row>
    <row r="40" ht="15.75" customHeight="1">
      <c r="C40" s="29"/>
      <c r="H40" s="31"/>
      <c r="K40" s="32"/>
      <c r="T40" s="35"/>
      <c r="AA40" s="31"/>
      <c r="AF40" s="32"/>
    </row>
    <row r="41" ht="15.75" customHeight="1">
      <c r="C41" s="29"/>
      <c r="H41" s="31"/>
      <c r="K41" s="32"/>
      <c r="T41" s="35"/>
      <c r="AA41" s="31"/>
      <c r="AF41" s="32"/>
    </row>
    <row r="42" ht="15.75" customHeight="1">
      <c r="C42" s="29"/>
      <c r="H42" s="31"/>
      <c r="K42" s="32"/>
      <c r="T42" s="35"/>
      <c r="AA42" s="31"/>
      <c r="AF42" s="32"/>
    </row>
    <row r="43" ht="15.75" customHeight="1">
      <c r="C43" s="29"/>
      <c r="H43" s="31"/>
      <c r="K43" s="32"/>
      <c r="T43" s="35"/>
      <c r="AA43" s="31"/>
      <c r="AF43" s="32"/>
    </row>
    <row r="44" ht="15.75" customHeight="1">
      <c r="C44" s="29"/>
      <c r="H44" s="31"/>
      <c r="K44" s="32"/>
      <c r="T44" s="35"/>
      <c r="AA44" s="31"/>
      <c r="AF44" s="32"/>
    </row>
    <row r="45" ht="15.75" customHeight="1">
      <c r="C45" s="29"/>
      <c r="H45" s="31"/>
      <c r="K45" s="32"/>
      <c r="T45" s="35"/>
      <c r="AA45" s="31"/>
      <c r="AF45" s="32"/>
    </row>
    <row r="46" ht="15.75" customHeight="1">
      <c r="C46" s="29"/>
      <c r="H46" s="31"/>
      <c r="K46" s="32"/>
      <c r="T46" s="35"/>
      <c r="AA46" s="31"/>
      <c r="AF46" s="32"/>
    </row>
    <row r="47" ht="15.75" customHeight="1">
      <c r="C47" s="29"/>
      <c r="H47" s="31"/>
      <c r="K47" s="32"/>
      <c r="T47" s="35"/>
      <c r="AA47" s="31"/>
      <c r="AF47" s="32"/>
    </row>
    <row r="48" ht="15.75" customHeight="1">
      <c r="C48" s="29"/>
      <c r="H48" s="31"/>
      <c r="K48" s="32"/>
      <c r="T48" s="35"/>
      <c r="AA48" s="31"/>
      <c r="AF48" s="32"/>
    </row>
    <row r="49" ht="15.75" customHeight="1">
      <c r="C49" s="29"/>
      <c r="H49" s="31"/>
      <c r="K49" s="32"/>
      <c r="T49" s="35"/>
      <c r="AA49" s="31"/>
      <c r="AF49" s="32"/>
    </row>
    <row r="50" ht="15.75" customHeight="1">
      <c r="C50" s="29"/>
      <c r="H50" s="31"/>
      <c r="K50" s="32"/>
      <c r="T50" s="35"/>
      <c r="AA50" s="31"/>
      <c r="AF50" s="32"/>
    </row>
    <row r="51" ht="15.75" customHeight="1">
      <c r="C51" s="29"/>
      <c r="H51" s="31"/>
      <c r="K51" s="32"/>
      <c r="T51" s="35"/>
      <c r="AA51" s="31"/>
      <c r="AF51" s="32"/>
    </row>
    <row r="52" ht="15.75" customHeight="1">
      <c r="C52" s="29"/>
      <c r="H52" s="31"/>
      <c r="K52" s="32"/>
      <c r="T52" s="35"/>
      <c r="AA52" s="31"/>
      <c r="AF52" s="32"/>
    </row>
    <row r="53" ht="15.75" customHeight="1">
      <c r="C53" s="29"/>
      <c r="H53" s="31"/>
      <c r="K53" s="32"/>
      <c r="T53" s="35"/>
      <c r="AA53" s="31"/>
      <c r="AF53" s="32"/>
    </row>
    <row r="54" ht="15.75" customHeight="1">
      <c r="C54" s="29"/>
      <c r="H54" s="31"/>
      <c r="K54" s="32"/>
      <c r="T54" s="35"/>
      <c r="AA54" s="31"/>
      <c r="AF54" s="32"/>
    </row>
    <row r="55" ht="15.75" customHeight="1">
      <c r="C55" s="29"/>
      <c r="H55" s="31"/>
      <c r="K55" s="32"/>
      <c r="T55" s="35"/>
      <c r="AA55" s="31"/>
      <c r="AF55" s="32"/>
    </row>
    <row r="56" ht="15.75" customHeight="1">
      <c r="C56" s="29"/>
      <c r="H56" s="31"/>
      <c r="K56" s="32"/>
      <c r="T56" s="35"/>
      <c r="AA56" s="31"/>
      <c r="AF56" s="32"/>
    </row>
    <row r="57" ht="15.75" customHeight="1">
      <c r="C57" s="29"/>
      <c r="H57" s="31"/>
      <c r="K57" s="32"/>
      <c r="T57" s="35"/>
      <c r="AA57" s="31"/>
      <c r="AF57" s="32"/>
    </row>
    <row r="58" ht="15.75" customHeight="1">
      <c r="C58" s="29"/>
      <c r="H58" s="31"/>
      <c r="K58" s="32"/>
      <c r="T58" s="35"/>
      <c r="AA58" s="31"/>
      <c r="AF58" s="32"/>
    </row>
    <row r="59" ht="15.75" customHeight="1">
      <c r="C59" s="29"/>
      <c r="H59" s="31"/>
      <c r="K59" s="32"/>
      <c r="T59" s="35"/>
      <c r="AA59" s="31"/>
      <c r="AF59" s="32"/>
    </row>
    <row r="60" ht="15.75" customHeight="1">
      <c r="C60" s="29"/>
      <c r="H60" s="31"/>
      <c r="K60" s="32"/>
      <c r="T60" s="35"/>
      <c r="AA60" s="31"/>
      <c r="AF60" s="32"/>
    </row>
    <row r="61" ht="15.75" customHeight="1">
      <c r="C61" s="29"/>
      <c r="H61" s="31"/>
      <c r="K61" s="32"/>
      <c r="T61" s="35"/>
      <c r="AA61" s="31"/>
      <c r="AF61" s="32"/>
    </row>
    <row r="62" ht="15.75" customHeight="1">
      <c r="C62" s="29"/>
      <c r="H62" s="31"/>
      <c r="K62" s="32"/>
      <c r="T62" s="35"/>
      <c r="AA62" s="31"/>
      <c r="AF62" s="32"/>
    </row>
    <row r="63" ht="15.75" customHeight="1">
      <c r="C63" s="29"/>
      <c r="H63" s="31"/>
      <c r="K63" s="32"/>
      <c r="T63" s="35"/>
      <c r="AA63" s="31"/>
      <c r="AF63" s="32"/>
    </row>
    <row r="64" ht="15.75" customHeight="1">
      <c r="C64" s="29"/>
      <c r="H64" s="31"/>
      <c r="K64" s="32"/>
      <c r="T64" s="35"/>
      <c r="AA64" s="31"/>
      <c r="AF64" s="32"/>
    </row>
    <row r="65" ht="15.75" customHeight="1">
      <c r="C65" s="29"/>
      <c r="H65" s="31"/>
      <c r="K65" s="32"/>
      <c r="T65" s="35"/>
      <c r="AA65" s="31"/>
      <c r="AF65" s="32"/>
    </row>
    <row r="66" ht="15.75" customHeight="1">
      <c r="C66" s="29"/>
      <c r="H66" s="31"/>
      <c r="K66" s="32"/>
      <c r="T66" s="35"/>
      <c r="AA66" s="31"/>
      <c r="AF66" s="32"/>
    </row>
    <row r="67" ht="15.75" customHeight="1">
      <c r="C67" s="29"/>
      <c r="H67" s="31"/>
      <c r="K67" s="32"/>
      <c r="T67" s="35"/>
      <c r="AA67" s="31"/>
      <c r="AF67" s="32"/>
    </row>
    <row r="68" ht="15.75" customHeight="1">
      <c r="C68" s="29"/>
      <c r="H68" s="31"/>
      <c r="K68" s="32"/>
      <c r="T68" s="35"/>
      <c r="AA68" s="31"/>
      <c r="AF68" s="32"/>
    </row>
    <row r="69" ht="15.75" customHeight="1">
      <c r="C69" s="29"/>
      <c r="H69" s="31"/>
      <c r="K69" s="32"/>
      <c r="T69" s="35"/>
      <c r="AA69" s="31"/>
      <c r="AF69" s="32"/>
    </row>
    <row r="70" ht="15.75" customHeight="1">
      <c r="C70" s="29"/>
      <c r="H70" s="31"/>
      <c r="K70" s="32"/>
      <c r="T70" s="35"/>
      <c r="AA70" s="31"/>
      <c r="AF70" s="32"/>
    </row>
    <row r="71" ht="15.75" customHeight="1">
      <c r="C71" s="29"/>
      <c r="H71" s="31"/>
      <c r="K71" s="32"/>
      <c r="T71" s="35"/>
      <c r="AA71" s="31"/>
      <c r="AF71" s="32"/>
    </row>
    <row r="72" ht="15.75" customHeight="1">
      <c r="C72" s="29"/>
      <c r="H72" s="31"/>
      <c r="K72" s="32"/>
      <c r="T72" s="35"/>
      <c r="AA72" s="31"/>
      <c r="AF72" s="32"/>
    </row>
    <row r="73" ht="15.75" customHeight="1">
      <c r="C73" s="29"/>
      <c r="H73" s="31"/>
      <c r="K73" s="32"/>
      <c r="T73" s="35"/>
      <c r="AA73" s="31"/>
      <c r="AF73" s="32"/>
    </row>
    <row r="74" ht="15.75" customHeight="1">
      <c r="C74" s="29"/>
      <c r="H74" s="31"/>
      <c r="K74" s="32"/>
      <c r="T74" s="35"/>
      <c r="AA74" s="31"/>
      <c r="AF74" s="32"/>
    </row>
    <row r="75" ht="15.75" customHeight="1">
      <c r="C75" s="29"/>
      <c r="H75" s="31"/>
      <c r="K75" s="32"/>
      <c r="T75" s="35"/>
      <c r="AA75" s="31"/>
      <c r="AF75" s="32"/>
    </row>
    <row r="76" ht="15.75" customHeight="1">
      <c r="C76" s="29"/>
      <c r="H76" s="31"/>
      <c r="K76" s="32"/>
      <c r="T76" s="35"/>
      <c r="AA76" s="31"/>
      <c r="AF76" s="32"/>
    </row>
    <row r="77" ht="15.75" customHeight="1">
      <c r="C77" s="29"/>
      <c r="H77" s="31"/>
      <c r="K77" s="32"/>
      <c r="T77" s="35"/>
      <c r="AA77" s="31"/>
      <c r="AF77" s="32"/>
    </row>
    <row r="78" ht="15.75" customHeight="1">
      <c r="C78" s="29"/>
      <c r="H78" s="31"/>
      <c r="K78" s="32"/>
      <c r="T78" s="35"/>
      <c r="AA78" s="31"/>
      <c r="AF78" s="32"/>
    </row>
    <row r="79" ht="15.75" customHeight="1">
      <c r="C79" s="29"/>
      <c r="H79" s="31"/>
      <c r="K79" s="32"/>
      <c r="T79" s="35"/>
      <c r="AA79" s="31"/>
      <c r="AF79" s="32"/>
    </row>
    <row r="80" ht="15.75" customHeight="1">
      <c r="C80" s="29"/>
      <c r="H80" s="31"/>
      <c r="K80" s="32"/>
      <c r="T80" s="35"/>
      <c r="AA80" s="31"/>
      <c r="AF80" s="32"/>
    </row>
    <row r="81" ht="15.75" customHeight="1">
      <c r="C81" s="29"/>
      <c r="H81" s="31"/>
      <c r="K81" s="32"/>
      <c r="T81" s="35"/>
      <c r="AA81" s="31"/>
      <c r="AF81" s="32"/>
    </row>
    <row r="82" ht="15.75" customHeight="1">
      <c r="C82" s="29"/>
      <c r="H82" s="31"/>
      <c r="K82" s="32"/>
      <c r="T82" s="35"/>
      <c r="AA82" s="31"/>
      <c r="AF82" s="32"/>
    </row>
    <row r="83" ht="15.75" customHeight="1">
      <c r="C83" s="29"/>
      <c r="H83" s="31"/>
      <c r="K83" s="32"/>
      <c r="T83" s="35"/>
      <c r="AA83" s="31"/>
      <c r="AF83" s="32"/>
    </row>
    <row r="84" ht="15.75" customHeight="1">
      <c r="C84" s="29"/>
      <c r="H84" s="31"/>
      <c r="K84" s="32"/>
      <c r="T84" s="35"/>
      <c r="AA84" s="31"/>
      <c r="AF84" s="32"/>
    </row>
    <row r="85" ht="15.75" customHeight="1">
      <c r="C85" s="29"/>
      <c r="H85" s="31"/>
      <c r="K85" s="32"/>
      <c r="T85" s="35"/>
      <c r="AA85" s="31"/>
      <c r="AF85" s="32"/>
    </row>
    <row r="86" ht="15.75" customHeight="1">
      <c r="C86" s="29"/>
      <c r="H86" s="31"/>
      <c r="K86" s="32"/>
      <c r="T86" s="35"/>
      <c r="AA86" s="31"/>
      <c r="AF86" s="32"/>
    </row>
    <row r="87" ht="15.75" customHeight="1">
      <c r="C87" s="29"/>
      <c r="H87" s="31"/>
      <c r="K87" s="32"/>
      <c r="T87" s="35"/>
      <c r="AA87" s="31"/>
      <c r="AF87" s="32"/>
    </row>
    <row r="88" ht="15.75" customHeight="1">
      <c r="C88" s="29"/>
      <c r="H88" s="31"/>
      <c r="K88" s="32"/>
      <c r="T88" s="35"/>
      <c r="AA88" s="31"/>
      <c r="AF88" s="32"/>
    </row>
    <row r="89" ht="15.75" customHeight="1">
      <c r="C89" s="29"/>
      <c r="H89" s="31"/>
      <c r="K89" s="32"/>
      <c r="T89" s="35"/>
      <c r="AA89" s="31"/>
      <c r="AF89" s="32"/>
    </row>
    <row r="90" ht="15.75" customHeight="1">
      <c r="C90" s="29"/>
      <c r="H90" s="31"/>
      <c r="K90" s="32"/>
      <c r="T90" s="35"/>
      <c r="AA90" s="31"/>
      <c r="AF90" s="32"/>
    </row>
    <row r="91" ht="15.75" customHeight="1">
      <c r="C91" s="29"/>
      <c r="H91" s="31"/>
      <c r="K91" s="32"/>
      <c r="T91" s="35"/>
      <c r="AA91" s="31"/>
      <c r="AF91" s="32"/>
    </row>
    <row r="92" ht="15.75" customHeight="1">
      <c r="C92" s="29"/>
      <c r="H92" s="31"/>
      <c r="K92" s="32"/>
      <c r="T92" s="35"/>
      <c r="AA92" s="31"/>
      <c r="AF92" s="32"/>
    </row>
    <row r="93" ht="15.75" customHeight="1">
      <c r="C93" s="29"/>
      <c r="H93" s="31"/>
      <c r="K93" s="32"/>
      <c r="T93" s="35"/>
      <c r="AA93" s="31"/>
      <c r="AF93" s="32"/>
    </row>
    <row r="94" ht="15.75" customHeight="1">
      <c r="C94" s="29"/>
      <c r="H94" s="31"/>
      <c r="K94" s="32"/>
      <c r="T94" s="35"/>
      <c r="AA94" s="31"/>
      <c r="AF94" s="32"/>
    </row>
    <row r="95" ht="15.75" customHeight="1">
      <c r="C95" s="29"/>
      <c r="H95" s="31"/>
      <c r="K95" s="32"/>
      <c r="T95" s="35"/>
      <c r="AA95" s="31"/>
      <c r="AF95" s="32"/>
    </row>
    <row r="96" ht="15.75" customHeight="1">
      <c r="C96" s="29"/>
      <c r="H96" s="31"/>
      <c r="K96" s="32"/>
      <c r="T96" s="35"/>
      <c r="AA96" s="31"/>
      <c r="AF96" s="32"/>
    </row>
    <row r="97" ht="15.75" customHeight="1">
      <c r="C97" s="29"/>
      <c r="H97" s="31"/>
      <c r="K97" s="32"/>
      <c r="T97" s="35"/>
      <c r="AA97" s="31"/>
      <c r="AF97" s="32"/>
    </row>
    <row r="98" ht="15.75" customHeight="1">
      <c r="C98" s="29"/>
      <c r="H98" s="31"/>
      <c r="K98" s="32"/>
      <c r="T98" s="35"/>
      <c r="AA98" s="31"/>
      <c r="AF98" s="32"/>
    </row>
    <row r="99" ht="15.75" customHeight="1">
      <c r="C99" s="29"/>
      <c r="H99" s="31"/>
      <c r="K99" s="32"/>
      <c r="T99" s="35"/>
      <c r="AA99" s="31"/>
      <c r="AF99" s="32"/>
    </row>
    <row r="100" ht="15.75" customHeight="1">
      <c r="C100" s="29"/>
      <c r="H100" s="31"/>
      <c r="K100" s="32"/>
      <c r="T100" s="35"/>
      <c r="AA100" s="31"/>
      <c r="AF100" s="32"/>
    </row>
    <row r="101" ht="15.75" customHeight="1">
      <c r="C101" s="29"/>
      <c r="H101" s="31"/>
      <c r="K101" s="32"/>
      <c r="T101" s="35"/>
      <c r="AA101" s="31"/>
      <c r="AF101" s="32"/>
    </row>
    <row r="102" ht="15.75" customHeight="1">
      <c r="C102" s="29"/>
      <c r="H102" s="31"/>
      <c r="K102" s="32"/>
      <c r="T102" s="35"/>
      <c r="AA102" s="31"/>
      <c r="AF102" s="32"/>
    </row>
    <row r="103" ht="15.75" customHeight="1">
      <c r="C103" s="29"/>
      <c r="H103" s="31"/>
      <c r="K103" s="32"/>
      <c r="T103" s="35"/>
      <c r="AA103" s="31"/>
      <c r="AF103" s="32"/>
    </row>
    <row r="104" ht="15.75" customHeight="1">
      <c r="C104" s="29"/>
      <c r="H104" s="31"/>
      <c r="K104" s="32"/>
      <c r="T104" s="35"/>
      <c r="AA104" s="31"/>
      <c r="AF104" s="32"/>
    </row>
    <row r="105" ht="15.75" customHeight="1">
      <c r="C105" s="29"/>
      <c r="H105" s="31"/>
      <c r="K105" s="32"/>
      <c r="T105" s="35"/>
      <c r="AA105" s="31"/>
      <c r="AF105" s="32"/>
    </row>
    <row r="106" ht="15.75" customHeight="1">
      <c r="C106" s="29"/>
      <c r="H106" s="31"/>
      <c r="K106" s="32"/>
      <c r="T106" s="35"/>
      <c r="AA106" s="31"/>
      <c r="AF106" s="32"/>
    </row>
    <row r="107" ht="15.75" customHeight="1">
      <c r="C107" s="29"/>
      <c r="H107" s="31"/>
      <c r="K107" s="32"/>
      <c r="T107" s="35"/>
      <c r="AA107" s="31"/>
      <c r="AF107" s="32"/>
    </row>
    <row r="108" ht="15.75" customHeight="1">
      <c r="C108" s="29"/>
      <c r="H108" s="31"/>
      <c r="K108" s="32"/>
      <c r="T108" s="35"/>
      <c r="AA108" s="31"/>
      <c r="AF108" s="32"/>
    </row>
    <row r="109" ht="15.75" customHeight="1">
      <c r="C109" s="29"/>
      <c r="H109" s="31"/>
      <c r="K109" s="32"/>
      <c r="T109" s="35"/>
      <c r="AA109" s="31"/>
      <c r="AF109" s="32"/>
    </row>
    <row r="110" ht="15.75" customHeight="1">
      <c r="C110" s="29"/>
      <c r="H110" s="31"/>
      <c r="K110" s="32"/>
      <c r="T110" s="35"/>
      <c r="AA110" s="31"/>
      <c r="AF110" s="32"/>
    </row>
    <row r="111" ht="15.75" customHeight="1">
      <c r="C111" s="29"/>
      <c r="H111" s="31"/>
      <c r="K111" s="32"/>
      <c r="T111" s="35"/>
      <c r="AA111" s="31"/>
      <c r="AF111" s="32"/>
    </row>
    <row r="112" ht="15.75" customHeight="1">
      <c r="C112" s="29"/>
      <c r="H112" s="31"/>
      <c r="K112" s="32"/>
      <c r="T112" s="35"/>
      <c r="AA112" s="31"/>
      <c r="AF112" s="32"/>
    </row>
    <row r="113" ht="15.75" customHeight="1">
      <c r="C113" s="29"/>
      <c r="H113" s="31"/>
      <c r="K113" s="32"/>
      <c r="T113" s="35"/>
      <c r="AA113" s="31"/>
      <c r="AF113" s="32"/>
    </row>
    <row r="114" ht="15.75" customHeight="1">
      <c r="C114" s="29"/>
      <c r="H114" s="31"/>
      <c r="K114" s="32"/>
      <c r="T114" s="35"/>
      <c r="AA114" s="31"/>
      <c r="AF114" s="32"/>
    </row>
    <row r="115" ht="15.75" customHeight="1">
      <c r="C115" s="29"/>
      <c r="H115" s="31"/>
      <c r="K115" s="32"/>
      <c r="T115" s="35"/>
      <c r="AA115" s="31"/>
      <c r="AF115" s="32"/>
    </row>
    <row r="116" ht="15.75" customHeight="1">
      <c r="C116" s="29"/>
      <c r="H116" s="31"/>
      <c r="K116" s="32"/>
      <c r="T116" s="35"/>
      <c r="AA116" s="31"/>
      <c r="AF116" s="32"/>
    </row>
    <row r="117" ht="15.75" customHeight="1">
      <c r="C117" s="29"/>
      <c r="H117" s="31"/>
      <c r="K117" s="32"/>
      <c r="T117" s="35"/>
      <c r="AA117" s="31"/>
      <c r="AF117" s="32"/>
    </row>
    <row r="118" ht="15.75" customHeight="1">
      <c r="C118" s="29"/>
      <c r="H118" s="31"/>
      <c r="K118" s="32"/>
      <c r="T118" s="35"/>
      <c r="AA118" s="31"/>
      <c r="AF118" s="32"/>
    </row>
    <row r="119" ht="15.75" customHeight="1">
      <c r="C119" s="29"/>
      <c r="H119" s="31"/>
      <c r="K119" s="32"/>
      <c r="T119" s="35"/>
      <c r="AA119" s="31"/>
      <c r="AF119" s="32"/>
    </row>
    <row r="120" ht="15.75" customHeight="1">
      <c r="C120" s="29"/>
      <c r="H120" s="31"/>
      <c r="K120" s="32"/>
      <c r="T120" s="35"/>
      <c r="AA120" s="31"/>
      <c r="AF120" s="32"/>
    </row>
    <row r="121" ht="15.75" customHeight="1">
      <c r="C121" s="29"/>
      <c r="H121" s="31"/>
      <c r="K121" s="32"/>
      <c r="T121" s="35"/>
      <c r="AA121" s="31"/>
      <c r="AF121" s="32"/>
    </row>
    <row r="122" ht="15.75" customHeight="1">
      <c r="C122" s="29"/>
      <c r="H122" s="31"/>
      <c r="K122" s="32"/>
      <c r="T122" s="35"/>
      <c r="AA122" s="31"/>
      <c r="AF122" s="32"/>
    </row>
    <row r="123" ht="15.75" customHeight="1">
      <c r="C123" s="29"/>
      <c r="H123" s="31"/>
      <c r="K123" s="32"/>
      <c r="T123" s="35"/>
      <c r="AA123" s="31"/>
      <c r="AF123" s="32"/>
    </row>
    <row r="124" ht="15.75" customHeight="1">
      <c r="C124" s="29"/>
      <c r="H124" s="31"/>
      <c r="K124" s="32"/>
      <c r="T124" s="35"/>
      <c r="AA124" s="31"/>
      <c r="AF124" s="32"/>
    </row>
    <row r="125" ht="15.75" customHeight="1">
      <c r="C125" s="29"/>
      <c r="H125" s="31"/>
      <c r="K125" s="32"/>
      <c r="T125" s="35"/>
      <c r="AA125" s="31"/>
      <c r="AF125" s="32"/>
    </row>
    <row r="126" ht="15.75" customHeight="1">
      <c r="C126" s="29"/>
      <c r="H126" s="31"/>
      <c r="K126" s="32"/>
      <c r="T126" s="35"/>
      <c r="AA126" s="31"/>
      <c r="AF126" s="32"/>
    </row>
    <row r="127" ht="15.75" customHeight="1">
      <c r="C127" s="29"/>
      <c r="H127" s="31"/>
      <c r="K127" s="32"/>
      <c r="T127" s="35"/>
      <c r="AA127" s="31"/>
      <c r="AF127" s="32"/>
    </row>
    <row r="128" ht="15.75" customHeight="1">
      <c r="C128" s="29"/>
      <c r="H128" s="31"/>
      <c r="K128" s="32"/>
      <c r="T128" s="35"/>
      <c r="AA128" s="31"/>
      <c r="AF128" s="32"/>
    </row>
    <row r="129" ht="15.75" customHeight="1">
      <c r="C129" s="29"/>
      <c r="H129" s="31"/>
      <c r="K129" s="32"/>
      <c r="T129" s="35"/>
      <c r="AA129" s="31"/>
      <c r="AF129" s="32"/>
    </row>
    <row r="130" ht="15.75" customHeight="1">
      <c r="C130" s="29"/>
      <c r="H130" s="31"/>
      <c r="K130" s="32"/>
      <c r="T130" s="35"/>
      <c r="AA130" s="31"/>
      <c r="AF130" s="32"/>
    </row>
    <row r="131" ht="15.75" customHeight="1">
      <c r="C131" s="29"/>
      <c r="H131" s="31"/>
      <c r="K131" s="32"/>
      <c r="T131" s="35"/>
      <c r="AA131" s="31"/>
      <c r="AF131" s="32"/>
    </row>
    <row r="132" ht="15.75" customHeight="1">
      <c r="C132" s="29"/>
      <c r="H132" s="31"/>
      <c r="K132" s="32"/>
      <c r="T132" s="35"/>
      <c r="AA132" s="31"/>
      <c r="AF132" s="32"/>
    </row>
    <row r="133" ht="15.75" customHeight="1">
      <c r="C133" s="29"/>
      <c r="H133" s="31"/>
      <c r="K133" s="32"/>
      <c r="T133" s="35"/>
      <c r="AA133" s="31"/>
      <c r="AF133" s="32"/>
    </row>
    <row r="134" ht="15.75" customHeight="1">
      <c r="C134" s="29"/>
      <c r="H134" s="31"/>
      <c r="K134" s="32"/>
      <c r="T134" s="35"/>
      <c r="AA134" s="31"/>
      <c r="AF134" s="32"/>
    </row>
    <row r="135" ht="15.75" customHeight="1">
      <c r="C135" s="29"/>
      <c r="H135" s="31"/>
      <c r="K135" s="32"/>
      <c r="T135" s="35"/>
      <c r="AA135" s="31"/>
      <c r="AF135" s="32"/>
    </row>
    <row r="136" ht="15.75" customHeight="1">
      <c r="C136" s="29"/>
      <c r="H136" s="31"/>
      <c r="K136" s="32"/>
      <c r="T136" s="35"/>
      <c r="AA136" s="31"/>
      <c r="AF136" s="32"/>
    </row>
    <row r="137" ht="15.75" customHeight="1">
      <c r="C137" s="29"/>
      <c r="H137" s="31"/>
      <c r="K137" s="32"/>
      <c r="T137" s="35"/>
      <c r="AA137" s="31"/>
      <c r="AF137" s="32"/>
    </row>
    <row r="138" ht="15.75" customHeight="1">
      <c r="C138" s="29"/>
      <c r="H138" s="31"/>
      <c r="K138" s="32"/>
      <c r="T138" s="35"/>
      <c r="AA138" s="31"/>
      <c r="AF138" s="32"/>
    </row>
    <row r="139" ht="15.75" customHeight="1">
      <c r="C139" s="29"/>
      <c r="H139" s="31"/>
      <c r="K139" s="32"/>
      <c r="T139" s="35"/>
      <c r="AA139" s="31"/>
      <c r="AF139" s="32"/>
    </row>
    <row r="140" ht="15.75" customHeight="1">
      <c r="C140" s="29"/>
      <c r="H140" s="31"/>
      <c r="K140" s="32"/>
      <c r="T140" s="35"/>
      <c r="AA140" s="31"/>
      <c r="AF140" s="32"/>
    </row>
    <row r="141" ht="15.75" customHeight="1">
      <c r="C141" s="29"/>
      <c r="H141" s="31"/>
      <c r="K141" s="32"/>
      <c r="T141" s="35"/>
      <c r="AA141" s="31"/>
      <c r="AF141" s="32"/>
    </row>
    <row r="142" ht="15.75" customHeight="1">
      <c r="C142" s="29"/>
      <c r="H142" s="31"/>
      <c r="K142" s="32"/>
      <c r="T142" s="35"/>
      <c r="AA142" s="31"/>
      <c r="AF142" s="32"/>
    </row>
    <row r="143" ht="15.75" customHeight="1">
      <c r="C143" s="29"/>
      <c r="H143" s="31"/>
      <c r="K143" s="32"/>
      <c r="T143" s="35"/>
      <c r="AA143" s="31"/>
      <c r="AF143" s="32"/>
    </row>
    <row r="144" ht="15.75" customHeight="1">
      <c r="C144" s="29"/>
      <c r="H144" s="31"/>
      <c r="K144" s="32"/>
      <c r="T144" s="35"/>
      <c r="AA144" s="31"/>
      <c r="AF144" s="32"/>
    </row>
    <row r="145" ht="15.75" customHeight="1">
      <c r="C145" s="29"/>
      <c r="H145" s="31"/>
      <c r="K145" s="32"/>
      <c r="T145" s="35"/>
      <c r="AA145" s="31"/>
      <c r="AF145" s="32"/>
    </row>
    <row r="146" ht="15.75" customHeight="1">
      <c r="C146" s="29"/>
      <c r="H146" s="31"/>
      <c r="K146" s="32"/>
      <c r="T146" s="35"/>
      <c r="AA146" s="31"/>
      <c r="AF146" s="32"/>
    </row>
    <row r="147" ht="15.75" customHeight="1">
      <c r="C147" s="29"/>
      <c r="H147" s="31"/>
      <c r="K147" s="32"/>
      <c r="T147" s="35"/>
      <c r="AA147" s="31"/>
      <c r="AF147" s="32"/>
    </row>
    <row r="148" ht="15.75" customHeight="1">
      <c r="C148" s="29"/>
      <c r="H148" s="31"/>
      <c r="K148" s="32"/>
      <c r="T148" s="35"/>
      <c r="AA148" s="31"/>
      <c r="AF148" s="32"/>
    </row>
    <row r="149" ht="15.75" customHeight="1">
      <c r="C149" s="29"/>
      <c r="H149" s="31"/>
      <c r="K149" s="32"/>
      <c r="T149" s="35"/>
      <c r="AA149" s="31"/>
      <c r="AF149" s="32"/>
    </row>
    <row r="150" ht="15.75" customHeight="1">
      <c r="C150" s="29"/>
      <c r="H150" s="31"/>
      <c r="K150" s="32"/>
      <c r="T150" s="35"/>
      <c r="AA150" s="31"/>
      <c r="AF150" s="32"/>
    </row>
    <row r="151" ht="15.75" customHeight="1">
      <c r="C151" s="29"/>
      <c r="H151" s="31"/>
      <c r="K151" s="32"/>
      <c r="T151" s="35"/>
      <c r="AA151" s="31"/>
      <c r="AF151" s="32"/>
    </row>
    <row r="152" ht="15.75" customHeight="1">
      <c r="C152" s="29"/>
      <c r="H152" s="31"/>
      <c r="K152" s="32"/>
      <c r="T152" s="35"/>
      <c r="AA152" s="31"/>
      <c r="AF152" s="32"/>
    </row>
    <row r="153" ht="15.75" customHeight="1">
      <c r="C153" s="29"/>
      <c r="H153" s="31"/>
      <c r="K153" s="32"/>
      <c r="T153" s="35"/>
      <c r="AA153" s="31"/>
      <c r="AF153" s="32"/>
    </row>
    <row r="154" ht="15.75" customHeight="1">
      <c r="C154" s="29"/>
      <c r="H154" s="31"/>
      <c r="K154" s="32"/>
      <c r="T154" s="35"/>
      <c r="AA154" s="31"/>
      <c r="AF154" s="32"/>
    </row>
    <row r="155" ht="15.75" customHeight="1">
      <c r="C155" s="29"/>
      <c r="H155" s="31"/>
      <c r="K155" s="32"/>
      <c r="T155" s="35"/>
      <c r="AA155" s="31"/>
      <c r="AF155" s="32"/>
    </row>
    <row r="156" ht="15.75" customHeight="1">
      <c r="C156" s="29"/>
      <c r="H156" s="31"/>
      <c r="K156" s="32"/>
      <c r="T156" s="35"/>
      <c r="AA156" s="31"/>
      <c r="AF156" s="32"/>
    </row>
    <row r="157" ht="15.75" customHeight="1">
      <c r="C157" s="29"/>
      <c r="H157" s="31"/>
      <c r="K157" s="32"/>
      <c r="T157" s="35"/>
      <c r="AA157" s="31"/>
      <c r="AF157" s="32"/>
    </row>
    <row r="158" ht="15.75" customHeight="1">
      <c r="C158" s="29"/>
      <c r="H158" s="31"/>
      <c r="K158" s="32"/>
      <c r="T158" s="35"/>
      <c r="AA158" s="31"/>
      <c r="AF158" s="32"/>
    </row>
    <row r="159" ht="15.75" customHeight="1">
      <c r="C159" s="29"/>
      <c r="H159" s="31"/>
      <c r="K159" s="32"/>
      <c r="T159" s="35"/>
      <c r="AA159" s="31"/>
      <c r="AF159" s="32"/>
    </row>
    <row r="160" ht="15.75" customHeight="1">
      <c r="C160" s="29"/>
      <c r="H160" s="31"/>
      <c r="K160" s="32"/>
      <c r="T160" s="35"/>
      <c r="AA160" s="31"/>
      <c r="AF160" s="32"/>
    </row>
    <row r="161" ht="15.75" customHeight="1">
      <c r="C161" s="29"/>
      <c r="H161" s="31"/>
      <c r="K161" s="32"/>
      <c r="T161" s="35"/>
      <c r="AA161" s="31"/>
      <c r="AF161" s="32"/>
    </row>
    <row r="162" ht="15.75" customHeight="1">
      <c r="C162" s="29"/>
      <c r="H162" s="31"/>
      <c r="K162" s="32"/>
      <c r="T162" s="35"/>
      <c r="AA162" s="31"/>
      <c r="AF162" s="32"/>
    </row>
    <row r="163" ht="15.75" customHeight="1">
      <c r="C163" s="29"/>
      <c r="H163" s="31"/>
      <c r="K163" s="32"/>
      <c r="T163" s="35"/>
      <c r="AA163" s="31"/>
      <c r="AF163" s="32"/>
    </row>
    <row r="164" ht="15.75" customHeight="1">
      <c r="C164" s="29"/>
      <c r="H164" s="31"/>
      <c r="K164" s="32"/>
      <c r="T164" s="35"/>
      <c r="AA164" s="31"/>
      <c r="AF164" s="32"/>
    </row>
    <row r="165" ht="15.75" customHeight="1">
      <c r="C165" s="29"/>
      <c r="H165" s="31"/>
      <c r="K165" s="32"/>
      <c r="T165" s="35"/>
      <c r="AA165" s="31"/>
      <c r="AF165" s="32"/>
    </row>
    <row r="166" ht="15.75" customHeight="1">
      <c r="C166" s="29"/>
      <c r="H166" s="31"/>
      <c r="K166" s="32"/>
      <c r="T166" s="35"/>
      <c r="AA166" s="31"/>
      <c r="AF166" s="32"/>
    </row>
    <row r="167" ht="15.75" customHeight="1">
      <c r="C167" s="29"/>
      <c r="H167" s="31"/>
      <c r="K167" s="32"/>
      <c r="T167" s="35"/>
      <c r="AA167" s="31"/>
      <c r="AF167" s="32"/>
    </row>
    <row r="168" ht="15.75" customHeight="1">
      <c r="C168" s="29"/>
      <c r="H168" s="31"/>
      <c r="K168" s="32"/>
      <c r="T168" s="35"/>
      <c r="AA168" s="31"/>
      <c r="AF168" s="32"/>
    </row>
    <row r="169" ht="15.75" customHeight="1">
      <c r="C169" s="29"/>
      <c r="H169" s="31"/>
      <c r="K169" s="32"/>
      <c r="T169" s="35"/>
      <c r="AA169" s="31"/>
      <c r="AF169" s="32"/>
    </row>
    <row r="170" ht="15.75" customHeight="1">
      <c r="C170" s="29"/>
      <c r="H170" s="31"/>
      <c r="K170" s="32"/>
      <c r="T170" s="35"/>
      <c r="AA170" s="31"/>
      <c r="AF170" s="32"/>
    </row>
    <row r="171" ht="15.75" customHeight="1">
      <c r="C171" s="29"/>
      <c r="H171" s="31"/>
      <c r="K171" s="32"/>
      <c r="T171" s="35"/>
      <c r="AA171" s="31"/>
      <c r="AF171" s="32"/>
    </row>
    <row r="172" ht="15.75" customHeight="1">
      <c r="C172" s="29"/>
      <c r="H172" s="31"/>
      <c r="K172" s="32"/>
      <c r="T172" s="35"/>
      <c r="AA172" s="31"/>
      <c r="AF172" s="32"/>
    </row>
    <row r="173" ht="15.75" customHeight="1">
      <c r="C173" s="29"/>
      <c r="H173" s="31"/>
      <c r="K173" s="32"/>
      <c r="T173" s="35"/>
      <c r="AA173" s="31"/>
      <c r="AF173" s="32"/>
    </row>
    <row r="174" ht="15.75" customHeight="1">
      <c r="C174" s="29"/>
      <c r="H174" s="31"/>
      <c r="K174" s="32"/>
      <c r="T174" s="35"/>
      <c r="AA174" s="31"/>
      <c r="AF174" s="32"/>
    </row>
    <row r="175" ht="15.75" customHeight="1">
      <c r="C175" s="29"/>
      <c r="H175" s="31"/>
      <c r="K175" s="32"/>
      <c r="T175" s="35"/>
      <c r="AA175" s="31"/>
      <c r="AF175" s="32"/>
    </row>
    <row r="176" ht="15.75" customHeight="1">
      <c r="C176" s="29"/>
      <c r="H176" s="31"/>
      <c r="K176" s="32"/>
      <c r="T176" s="35"/>
      <c r="AA176" s="31"/>
      <c r="AF176" s="32"/>
    </row>
    <row r="177" ht="15.75" customHeight="1">
      <c r="C177" s="29"/>
      <c r="H177" s="31"/>
      <c r="K177" s="32"/>
      <c r="T177" s="35"/>
      <c r="AA177" s="31"/>
      <c r="AF177" s="32"/>
    </row>
    <row r="178" ht="15.75" customHeight="1">
      <c r="C178" s="29"/>
      <c r="H178" s="31"/>
      <c r="K178" s="32"/>
      <c r="T178" s="35"/>
      <c r="AA178" s="31"/>
      <c r="AF178" s="32"/>
    </row>
    <row r="179" ht="15.75" customHeight="1">
      <c r="C179" s="29"/>
      <c r="H179" s="31"/>
      <c r="K179" s="32"/>
      <c r="T179" s="35"/>
      <c r="AA179" s="31"/>
      <c r="AF179" s="32"/>
    </row>
    <row r="180" ht="15.75" customHeight="1">
      <c r="C180" s="29"/>
      <c r="H180" s="31"/>
      <c r="K180" s="32"/>
      <c r="T180" s="35"/>
      <c r="AA180" s="31"/>
      <c r="AF180" s="32"/>
    </row>
    <row r="181" ht="15.75" customHeight="1">
      <c r="C181" s="29"/>
      <c r="H181" s="31"/>
      <c r="K181" s="32"/>
      <c r="T181" s="35"/>
      <c r="AA181" s="31"/>
      <c r="AF181" s="32"/>
    </row>
    <row r="182" ht="15.75" customHeight="1">
      <c r="C182" s="29"/>
      <c r="H182" s="31"/>
      <c r="K182" s="32"/>
      <c r="T182" s="35"/>
      <c r="AA182" s="31"/>
      <c r="AF182" s="32"/>
    </row>
    <row r="183" ht="15.75" customHeight="1">
      <c r="C183" s="29"/>
      <c r="H183" s="31"/>
      <c r="K183" s="32"/>
      <c r="T183" s="35"/>
      <c r="AA183" s="31"/>
      <c r="AF183" s="32"/>
    </row>
    <row r="184" ht="15.75" customHeight="1">
      <c r="C184" s="29"/>
      <c r="H184" s="31"/>
      <c r="K184" s="32"/>
      <c r="T184" s="35"/>
      <c r="AA184" s="31"/>
      <c r="AF184" s="32"/>
    </row>
    <row r="185" ht="15.75" customHeight="1">
      <c r="C185" s="29"/>
      <c r="H185" s="31"/>
      <c r="K185" s="32"/>
      <c r="T185" s="35"/>
      <c r="AA185" s="31"/>
      <c r="AF185" s="32"/>
    </row>
    <row r="186" ht="15.75" customHeight="1">
      <c r="C186" s="29"/>
      <c r="H186" s="31"/>
      <c r="K186" s="32"/>
      <c r="T186" s="35"/>
      <c r="AA186" s="31"/>
      <c r="AF186" s="32"/>
    </row>
    <row r="187" ht="15.75" customHeight="1">
      <c r="C187" s="29"/>
      <c r="H187" s="31"/>
      <c r="K187" s="32"/>
      <c r="T187" s="35"/>
      <c r="AA187" s="31"/>
      <c r="AF187" s="32"/>
    </row>
    <row r="188" ht="15.75" customHeight="1">
      <c r="C188" s="29"/>
      <c r="H188" s="31"/>
      <c r="K188" s="32"/>
      <c r="T188" s="35"/>
      <c r="AA188" s="31"/>
      <c r="AF188" s="32"/>
    </row>
    <row r="189" ht="15.75" customHeight="1">
      <c r="C189" s="29"/>
      <c r="H189" s="31"/>
      <c r="K189" s="32"/>
      <c r="T189" s="35"/>
      <c r="AA189" s="31"/>
      <c r="AF189" s="32"/>
    </row>
    <row r="190" ht="15.75" customHeight="1">
      <c r="C190" s="29"/>
      <c r="H190" s="31"/>
      <c r="K190" s="32"/>
      <c r="T190" s="35"/>
      <c r="AA190" s="31"/>
      <c r="AF190" s="32"/>
    </row>
    <row r="191" ht="15.75" customHeight="1">
      <c r="C191" s="29"/>
      <c r="H191" s="31"/>
      <c r="K191" s="32"/>
      <c r="T191" s="35"/>
      <c r="AA191" s="31"/>
      <c r="AF191" s="32"/>
    </row>
    <row r="192" ht="15.75" customHeight="1">
      <c r="C192" s="29"/>
      <c r="H192" s="31"/>
      <c r="K192" s="32"/>
      <c r="T192" s="35"/>
      <c r="AA192" s="31"/>
      <c r="AF192" s="32"/>
    </row>
    <row r="193" ht="15.75" customHeight="1">
      <c r="C193" s="29"/>
      <c r="H193" s="31"/>
      <c r="K193" s="32"/>
      <c r="T193" s="35"/>
      <c r="AA193" s="31"/>
      <c r="AF193" s="32"/>
    </row>
    <row r="194" ht="15.75" customHeight="1">
      <c r="C194" s="29"/>
      <c r="H194" s="31"/>
      <c r="K194" s="32"/>
      <c r="T194" s="35"/>
      <c r="AA194" s="31"/>
      <c r="AF194" s="32"/>
    </row>
    <row r="195" ht="15.75" customHeight="1">
      <c r="C195" s="29"/>
      <c r="H195" s="31"/>
      <c r="K195" s="32"/>
      <c r="T195" s="35"/>
      <c r="AA195" s="31"/>
      <c r="AF195" s="32"/>
    </row>
    <row r="196" ht="15.75" customHeight="1">
      <c r="C196" s="29"/>
      <c r="H196" s="31"/>
      <c r="K196" s="32"/>
      <c r="T196" s="35"/>
      <c r="AA196" s="31"/>
      <c r="AF196" s="32"/>
    </row>
    <row r="197" ht="15.75" customHeight="1">
      <c r="C197" s="29"/>
      <c r="H197" s="31"/>
      <c r="K197" s="32"/>
      <c r="T197" s="35"/>
      <c r="AA197" s="31"/>
      <c r="AF197" s="32"/>
    </row>
    <row r="198" ht="15.75" customHeight="1">
      <c r="C198" s="29"/>
      <c r="H198" s="31"/>
      <c r="K198" s="32"/>
      <c r="T198" s="35"/>
      <c r="AA198" s="31"/>
      <c r="AF198" s="32"/>
    </row>
    <row r="199" ht="15.75" customHeight="1">
      <c r="C199" s="29"/>
      <c r="H199" s="31"/>
      <c r="K199" s="32"/>
      <c r="T199" s="35"/>
      <c r="AA199" s="31"/>
      <c r="AF199" s="32"/>
    </row>
    <row r="200" ht="15.75" customHeight="1">
      <c r="C200" s="29"/>
      <c r="H200" s="31"/>
      <c r="K200" s="32"/>
      <c r="T200" s="35"/>
      <c r="AA200" s="31"/>
      <c r="AF200" s="32"/>
    </row>
    <row r="201" ht="15.75" customHeight="1">
      <c r="C201" s="29"/>
      <c r="H201" s="31"/>
      <c r="K201" s="32"/>
      <c r="T201" s="35"/>
      <c r="AA201" s="31"/>
      <c r="AF201" s="32"/>
    </row>
    <row r="202" ht="15.75" customHeight="1">
      <c r="C202" s="29"/>
      <c r="H202" s="31"/>
      <c r="K202" s="32"/>
      <c r="T202" s="35"/>
      <c r="AA202" s="31"/>
      <c r="AF202" s="32"/>
    </row>
    <row r="203" ht="15.75" customHeight="1">
      <c r="C203" s="29"/>
      <c r="H203" s="31"/>
      <c r="K203" s="32"/>
      <c r="T203" s="35"/>
      <c r="AA203" s="31"/>
      <c r="AF203" s="32"/>
    </row>
    <row r="204" ht="15.75" customHeight="1">
      <c r="C204" s="29"/>
      <c r="H204" s="31"/>
      <c r="K204" s="32"/>
      <c r="T204" s="35"/>
      <c r="AA204" s="31"/>
      <c r="AF204" s="32"/>
    </row>
    <row r="205" ht="15.75" customHeight="1">
      <c r="C205" s="29"/>
      <c r="H205" s="31"/>
      <c r="K205" s="32"/>
      <c r="T205" s="35"/>
      <c r="AA205" s="31"/>
      <c r="AF205" s="32"/>
    </row>
    <row r="206" ht="15.75" customHeight="1">
      <c r="C206" s="29"/>
      <c r="H206" s="31"/>
      <c r="K206" s="32"/>
      <c r="T206" s="35"/>
      <c r="AA206" s="31"/>
      <c r="AF206" s="32"/>
    </row>
    <row r="207" ht="15.75" customHeight="1">
      <c r="C207" s="29"/>
      <c r="H207" s="31"/>
      <c r="K207" s="32"/>
      <c r="T207" s="35"/>
      <c r="AA207" s="31"/>
      <c r="AF207" s="32"/>
    </row>
    <row r="208" ht="15.75" customHeight="1">
      <c r="C208" s="29"/>
      <c r="H208" s="31"/>
      <c r="K208" s="32"/>
      <c r="T208" s="35"/>
      <c r="AA208" s="31"/>
      <c r="AF208" s="32"/>
    </row>
    <row r="209" ht="15.75" customHeight="1">
      <c r="C209" s="29"/>
      <c r="H209" s="31"/>
      <c r="K209" s="32"/>
      <c r="T209" s="35"/>
      <c r="AA209" s="31"/>
      <c r="AF209" s="32"/>
    </row>
    <row r="210" ht="15.75" customHeight="1">
      <c r="C210" s="29"/>
      <c r="H210" s="31"/>
      <c r="K210" s="32"/>
      <c r="T210" s="35"/>
      <c r="AA210" s="31"/>
      <c r="AF210" s="32"/>
    </row>
    <row r="211" ht="15.75" customHeight="1">
      <c r="C211" s="29"/>
      <c r="H211" s="31"/>
      <c r="K211" s="32"/>
      <c r="T211" s="35"/>
      <c r="AA211" s="31"/>
      <c r="AF211" s="32"/>
    </row>
    <row r="212" ht="15.75" customHeight="1">
      <c r="C212" s="29"/>
      <c r="H212" s="31"/>
      <c r="K212" s="32"/>
      <c r="T212" s="35"/>
      <c r="AA212" s="31"/>
      <c r="AF212" s="32"/>
    </row>
    <row r="213" ht="15.75" customHeight="1">
      <c r="C213" s="29"/>
      <c r="H213" s="31"/>
      <c r="K213" s="32"/>
      <c r="T213" s="35"/>
      <c r="AA213" s="31"/>
      <c r="AF213" s="32"/>
    </row>
    <row r="214" ht="15.75" customHeight="1">
      <c r="C214" s="29"/>
      <c r="H214" s="31"/>
      <c r="K214" s="32"/>
      <c r="T214" s="35"/>
      <c r="AA214" s="31"/>
      <c r="AF214" s="32"/>
    </row>
    <row r="215" ht="15.75" customHeight="1">
      <c r="C215" s="29"/>
      <c r="H215" s="31"/>
      <c r="K215" s="32"/>
      <c r="T215" s="35"/>
      <c r="AA215" s="31"/>
      <c r="AF215" s="32"/>
    </row>
    <row r="216" ht="15.75" customHeight="1">
      <c r="C216" s="29"/>
      <c r="H216" s="31"/>
      <c r="K216" s="32"/>
      <c r="T216" s="35"/>
      <c r="AA216" s="31"/>
      <c r="AF216" s="32"/>
    </row>
    <row r="217" ht="15.75" customHeight="1">
      <c r="C217" s="29"/>
      <c r="H217" s="31"/>
      <c r="K217" s="32"/>
      <c r="T217" s="35"/>
      <c r="AA217" s="31"/>
      <c r="AF217" s="32"/>
    </row>
    <row r="218" ht="15.75" customHeight="1">
      <c r="C218" s="29"/>
      <c r="H218" s="31"/>
      <c r="K218" s="32"/>
      <c r="T218" s="35"/>
      <c r="AA218" s="31"/>
      <c r="AF218" s="32"/>
    </row>
    <row r="219" ht="15.75" customHeight="1">
      <c r="C219" s="29"/>
      <c r="H219" s="31"/>
      <c r="K219" s="32"/>
      <c r="T219" s="35"/>
      <c r="AA219" s="31"/>
      <c r="AF219" s="32"/>
    </row>
    <row r="220" ht="15.75" customHeight="1">
      <c r="C220" s="29"/>
      <c r="H220" s="31"/>
      <c r="K220" s="32"/>
      <c r="T220" s="35"/>
      <c r="AA220" s="31"/>
      <c r="AF220" s="32"/>
    </row>
    <row r="221" ht="15.75" customHeight="1">
      <c r="C221" s="29"/>
      <c r="H221" s="31"/>
      <c r="K221" s="32"/>
      <c r="T221" s="35"/>
      <c r="AA221" s="31"/>
      <c r="AF221" s="32"/>
    </row>
    <row r="222" ht="15.75" customHeight="1">
      <c r="C222" s="29"/>
      <c r="H222" s="31"/>
      <c r="K222" s="32"/>
      <c r="T222" s="35"/>
      <c r="AA222" s="31"/>
      <c r="AF222" s="32"/>
    </row>
    <row r="223" ht="15.75" customHeight="1">
      <c r="C223" s="29"/>
      <c r="H223" s="31"/>
      <c r="K223" s="32"/>
      <c r="T223" s="35"/>
      <c r="AA223" s="31"/>
      <c r="AF223" s="32"/>
    </row>
    <row r="224" ht="15.75" customHeight="1">
      <c r="C224" s="29"/>
      <c r="H224" s="31"/>
      <c r="K224" s="32"/>
      <c r="T224" s="35"/>
      <c r="AA224" s="31"/>
      <c r="AF224" s="32"/>
    </row>
    <row r="225" ht="15.75" customHeight="1">
      <c r="C225" s="29"/>
      <c r="H225" s="31"/>
      <c r="K225" s="32"/>
      <c r="T225" s="35"/>
      <c r="AA225" s="31"/>
      <c r="AF225" s="32"/>
    </row>
    <row r="226" ht="15.75" customHeight="1">
      <c r="C226" s="29"/>
      <c r="H226" s="31"/>
      <c r="K226" s="32"/>
      <c r="T226" s="35"/>
      <c r="AA226" s="31"/>
      <c r="AF226" s="32"/>
    </row>
    <row r="227" ht="15.75" customHeight="1">
      <c r="C227" s="29"/>
      <c r="H227" s="31"/>
      <c r="K227" s="32"/>
      <c r="T227" s="35"/>
      <c r="AA227" s="31"/>
      <c r="AF227" s="32"/>
    </row>
    <row r="228" ht="15.75" customHeight="1">
      <c r="C228" s="29"/>
      <c r="H228" s="31"/>
      <c r="K228" s="32"/>
      <c r="T228" s="35"/>
      <c r="AA228" s="31"/>
      <c r="AF228" s="32"/>
    </row>
    <row r="229" ht="15.75" customHeight="1">
      <c r="C229" s="29"/>
      <c r="H229" s="31"/>
      <c r="K229" s="32"/>
      <c r="T229" s="35"/>
      <c r="AA229" s="31"/>
      <c r="AF229" s="32"/>
    </row>
    <row r="230" ht="15.75" customHeight="1">
      <c r="C230" s="29"/>
      <c r="H230" s="31"/>
      <c r="K230" s="32"/>
      <c r="T230" s="35"/>
      <c r="AA230" s="31"/>
      <c r="AF230" s="32"/>
    </row>
    <row r="231" ht="15.75" customHeight="1">
      <c r="C231" s="29"/>
      <c r="H231" s="31"/>
      <c r="K231" s="32"/>
      <c r="T231" s="35"/>
      <c r="AA231" s="31"/>
      <c r="AF231" s="32"/>
    </row>
    <row r="232" ht="15.75" customHeight="1">
      <c r="C232" s="29"/>
      <c r="H232" s="31"/>
      <c r="K232" s="32"/>
      <c r="T232" s="35"/>
      <c r="AA232" s="31"/>
      <c r="AF232" s="32"/>
    </row>
    <row r="233" ht="15.75" customHeight="1">
      <c r="C233" s="29"/>
      <c r="H233" s="31"/>
      <c r="K233" s="32"/>
      <c r="T233" s="35"/>
      <c r="AA233" s="31"/>
      <c r="AF233" s="32"/>
    </row>
    <row r="234" ht="15.75" customHeight="1">
      <c r="C234" s="29"/>
      <c r="H234" s="31"/>
      <c r="K234" s="32"/>
      <c r="T234" s="35"/>
      <c r="AA234" s="31"/>
      <c r="AF234" s="32"/>
    </row>
    <row r="235" ht="15.75" customHeight="1">
      <c r="C235" s="29"/>
      <c r="H235" s="31"/>
      <c r="K235" s="32"/>
      <c r="T235" s="35"/>
      <c r="AA235" s="31"/>
      <c r="AF235" s="32"/>
    </row>
    <row r="236" ht="15.75" customHeight="1">
      <c r="C236" s="29"/>
      <c r="H236" s="31"/>
      <c r="K236" s="32"/>
      <c r="T236" s="35"/>
      <c r="AA236" s="31"/>
      <c r="AF236" s="32"/>
    </row>
    <row r="237" ht="15.75" customHeight="1">
      <c r="C237" s="29"/>
      <c r="H237" s="31"/>
      <c r="K237" s="32"/>
      <c r="T237" s="35"/>
      <c r="AA237" s="31"/>
      <c r="AF237" s="32"/>
    </row>
    <row r="238" ht="15.75" customHeight="1">
      <c r="C238" s="29"/>
      <c r="H238" s="31"/>
      <c r="K238" s="32"/>
      <c r="T238" s="35"/>
      <c r="AA238" s="31"/>
      <c r="AF238" s="32"/>
    </row>
    <row r="239" ht="15.75" customHeight="1">
      <c r="C239" s="29"/>
      <c r="H239" s="31"/>
      <c r="K239" s="32"/>
      <c r="T239" s="35"/>
      <c r="AA239" s="31"/>
      <c r="AF239" s="32"/>
    </row>
    <row r="240" ht="15.75" customHeight="1">
      <c r="C240" s="29"/>
      <c r="H240" s="31"/>
      <c r="K240" s="32"/>
      <c r="T240" s="35"/>
      <c r="AA240" s="31"/>
      <c r="AF240" s="32"/>
    </row>
    <row r="241" ht="15.75" customHeight="1">
      <c r="C241" s="29"/>
      <c r="H241" s="31"/>
      <c r="K241" s="32"/>
      <c r="T241" s="35"/>
      <c r="AA241" s="31"/>
      <c r="AF241" s="32"/>
    </row>
    <row r="242" ht="15.75" customHeight="1">
      <c r="C242" s="29"/>
      <c r="H242" s="31"/>
      <c r="K242" s="32"/>
      <c r="T242" s="35"/>
      <c r="AA242" s="31"/>
      <c r="AF242" s="32"/>
    </row>
    <row r="243" ht="15.75" customHeight="1">
      <c r="C243" s="29"/>
      <c r="H243" s="31"/>
      <c r="K243" s="32"/>
      <c r="T243" s="35"/>
      <c r="AA243" s="31"/>
      <c r="AF243" s="32"/>
    </row>
    <row r="244" ht="15.75" customHeight="1">
      <c r="C244" s="29"/>
      <c r="H244" s="31"/>
      <c r="K244" s="32"/>
      <c r="T244" s="35"/>
      <c r="AA244" s="31"/>
      <c r="AF244" s="32"/>
    </row>
    <row r="245" ht="15.75" customHeight="1">
      <c r="C245" s="29"/>
      <c r="H245" s="31"/>
      <c r="K245" s="32"/>
      <c r="T245" s="35"/>
      <c r="AA245" s="31"/>
      <c r="AF245" s="32"/>
    </row>
    <row r="246" ht="15.75" customHeight="1">
      <c r="C246" s="29"/>
      <c r="H246" s="31"/>
      <c r="K246" s="32"/>
      <c r="T246" s="35"/>
      <c r="AA246" s="31"/>
      <c r="AF246" s="32"/>
    </row>
    <row r="247" ht="15.75" customHeight="1">
      <c r="C247" s="29"/>
      <c r="H247" s="31"/>
      <c r="K247" s="32"/>
      <c r="T247" s="35"/>
      <c r="AA247" s="31"/>
      <c r="AF247" s="32"/>
    </row>
    <row r="248" ht="15.75" customHeight="1">
      <c r="C248" s="29"/>
      <c r="H248" s="31"/>
      <c r="K248" s="32"/>
      <c r="T248" s="35"/>
      <c r="AA248" s="31"/>
      <c r="AF248" s="32"/>
    </row>
    <row r="249" ht="15.75" customHeight="1">
      <c r="C249" s="29"/>
      <c r="H249" s="31"/>
      <c r="K249" s="32"/>
      <c r="T249" s="35"/>
      <c r="AA249" s="31"/>
      <c r="AF249" s="32"/>
    </row>
    <row r="250" ht="15.75" customHeight="1">
      <c r="C250" s="29"/>
      <c r="H250" s="31"/>
      <c r="K250" s="32"/>
      <c r="T250" s="35"/>
      <c r="AA250" s="31"/>
      <c r="AF250" s="32"/>
    </row>
    <row r="251" ht="15.75" customHeight="1">
      <c r="C251" s="29"/>
      <c r="H251" s="31"/>
      <c r="K251" s="32"/>
      <c r="T251" s="35"/>
      <c r="AA251" s="31"/>
      <c r="AF251" s="32"/>
    </row>
    <row r="252" ht="15.75" customHeight="1">
      <c r="C252" s="29"/>
      <c r="H252" s="31"/>
      <c r="K252" s="32"/>
      <c r="T252" s="35"/>
      <c r="AA252" s="31"/>
      <c r="AF252" s="32"/>
    </row>
    <row r="253" ht="15.75" customHeight="1">
      <c r="C253" s="29"/>
      <c r="H253" s="31"/>
      <c r="K253" s="32"/>
      <c r="T253" s="35"/>
      <c r="AA253" s="31"/>
      <c r="AF253" s="32"/>
    </row>
    <row r="254" ht="15.75" customHeight="1">
      <c r="C254" s="29"/>
      <c r="H254" s="31"/>
      <c r="K254" s="32"/>
      <c r="T254" s="35"/>
      <c r="AA254" s="31"/>
      <c r="AF254" s="32"/>
    </row>
    <row r="255" ht="15.75" customHeight="1">
      <c r="C255" s="29"/>
      <c r="H255" s="31"/>
      <c r="K255" s="32"/>
      <c r="T255" s="35"/>
      <c r="AA255" s="31"/>
      <c r="AF255" s="32"/>
    </row>
    <row r="256" ht="15.75" customHeight="1">
      <c r="C256" s="29"/>
      <c r="H256" s="31"/>
      <c r="K256" s="32"/>
      <c r="T256" s="35"/>
      <c r="AA256" s="31"/>
      <c r="AF256" s="32"/>
    </row>
    <row r="257" ht="15.75" customHeight="1">
      <c r="C257" s="29"/>
      <c r="H257" s="31"/>
      <c r="K257" s="32"/>
      <c r="T257" s="35"/>
      <c r="AA257" s="31"/>
      <c r="AF257" s="32"/>
    </row>
    <row r="258" ht="15.75" customHeight="1">
      <c r="C258" s="29"/>
      <c r="H258" s="31"/>
      <c r="K258" s="32"/>
      <c r="T258" s="35"/>
      <c r="AA258" s="31"/>
      <c r="AF258" s="32"/>
    </row>
    <row r="259" ht="15.75" customHeight="1">
      <c r="C259" s="29"/>
      <c r="H259" s="31"/>
      <c r="K259" s="32"/>
      <c r="T259" s="35"/>
      <c r="AA259" s="31"/>
      <c r="AF259" s="32"/>
    </row>
    <row r="260" ht="15.75" customHeight="1">
      <c r="C260" s="29"/>
      <c r="H260" s="31"/>
      <c r="K260" s="32"/>
      <c r="T260" s="35"/>
      <c r="AA260" s="31"/>
      <c r="AF260" s="32"/>
    </row>
    <row r="261" ht="15.75" customHeight="1">
      <c r="C261" s="29"/>
      <c r="H261" s="31"/>
      <c r="K261" s="32"/>
      <c r="T261" s="35"/>
      <c r="AA261" s="31"/>
      <c r="AF261" s="32"/>
    </row>
    <row r="262" ht="15.75" customHeight="1">
      <c r="C262" s="29"/>
      <c r="H262" s="31"/>
      <c r="K262" s="32"/>
      <c r="T262" s="35"/>
      <c r="AA262" s="31"/>
      <c r="AF262" s="32"/>
    </row>
    <row r="263" ht="15.75" customHeight="1">
      <c r="C263" s="29"/>
      <c r="H263" s="31"/>
      <c r="K263" s="32"/>
      <c r="T263" s="35"/>
      <c r="AA263" s="31"/>
      <c r="AF263" s="32"/>
    </row>
    <row r="264" ht="15.75" customHeight="1">
      <c r="C264" s="29"/>
      <c r="H264" s="31"/>
      <c r="K264" s="32"/>
      <c r="T264" s="35"/>
      <c r="AA264" s="31"/>
      <c r="AF264" s="32"/>
    </row>
    <row r="265" ht="15.75" customHeight="1">
      <c r="C265" s="29"/>
      <c r="H265" s="31"/>
      <c r="K265" s="32"/>
      <c r="T265" s="35"/>
      <c r="AA265" s="31"/>
      <c r="AF265" s="32"/>
    </row>
    <row r="266" ht="15.75" customHeight="1">
      <c r="C266" s="29"/>
      <c r="H266" s="31"/>
      <c r="K266" s="32"/>
      <c r="T266" s="35"/>
      <c r="AA266" s="31"/>
      <c r="AF266" s="32"/>
    </row>
    <row r="267" ht="15.75" customHeight="1">
      <c r="C267" s="29"/>
      <c r="H267" s="31"/>
      <c r="K267" s="32"/>
      <c r="T267" s="35"/>
      <c r="AA267" s="31"/>
      <c r="AF267" s="32"/>
    </row>
    <row r="268" ht="15.75" customHeight="1">
      <c r="C268" s="29"/>
      <c r="H268" s="31"/>
      <c r="K268" s="32"/>
      <c r="T268" s="35"/>
      <c r="AA268" s="31"/>
      <c r="AF268" s="32"/>
    </row>
    <row r="269" ht="15.75" customHeight="1">
      <c r="C269" s="29"/>
      <c r="H269" s="31"/>
      <c r="K269" s="32"/>
      <c r="T269" s="35"/>
      <c r="AA269" s="31"/>
      <c r="AF269" s="32"/>
    </row>
    <row r="270" ht="15.75" customHeight="1">
      <c r="C270" s="29"/>
      <c r="H270" s="31"/>
      <c r="K270" s="32"/>
      <c r="T270" s="35"/>
      <c r="AA270" s="31"/>
      <c r="AF270" s="32"/>
    </row>
    <row r="271" ht="15.75" customHeight="1">
      <c r="C271" s="29"/>
      <c r="H271" s="31"/>
      <c r="K271" s="32"/>
      <c r="T271" s="35"/>
      <c r="AA271" s="31"/>
      <c r="AF271" s="32"/>
    </row>
    <row r="272" ht="15.75" customHeight="1">
      <c r="C272" s="29"/>
      <c r="H272" s="31"/>
      <c r="K272" s="32"/>
      <c r="T272" s="35"/>
      <c r="AA272" s="31"/>
      <c r="AF272" s="32"/>
    </row>
    <row r="273" ht="15.75" customHeight="1">
      <c r="C273" s="29"/>
      <c r="H273" s="31"/>
      <c r="K273" s="32"/>
      <c r="T273" s="35"/>
      <c r="AA273" s="31"/>
      <c r="AF273" s="32"/>
    </row>
    <row r="274" ht="15.75" customHeight="1">
      <c r="C274" s="29"/>
      <c r="H274" s="31"/>
      <c r="K274" s="32"/>
      <c r="T274" s="35"/>
      <c r="AA274" s="31"/>
      <c r="AF274" s="32"/>
    </row>
    <row r="275" ht="15.75" customHeight="1">
      <c r="C275" s="29"/>
      <c r="H275" s="31"/>
      <c r="K275" s="32"/>
      <c r="T275" s="35"/>
      <c r="AA275" s="31"/>
      <c r="AF275" s="32"/>
    </row>
    <row r="276" ht="15.75" customHeight="1">
      <c r="C276" s="29"/>
      <c r="H276" s="31"/>
      <c r="K276" s="32"/>
      <c r="T276" s="35"/>
      <c r="AA276" s="31"/>
      <c r="AF276" s="32"/>
    </row>
    <row r="277" ht="15.75" customHeight="1">
      <c r="C277" s="29"/>
      <c r="H277" s="31"/>
      <c r="K277" s="32"/>
      <c r="T277" s="35"/>
      <c r="AA277" s="31"/>
      <c r="AF277" s="32"/>
    </row>
    <row r="278" ht="15.75" customHeight="1">
      <c r="C278" s="29"/>
      <c r="H278" s="31"/>
      <c r="K278" s="32"/>
      <c r="T278" s="35"/>
      <c r="AA278" s="31"/>
      <c r="AF278" s="32"/>
    </row>
    <row r="279" ht="15.75" customHeight="1">
      <c r="C279" s="29"/>
      <c r="H279" s="31"/>
      <c r="K279" s="32"/>
      <c r="T279" s="35"/>
      <c r="AA279" s="31"/>
      <c r="AF279" s="32"/>
    </row>
    <row r="280" ht="15.75" customHeight="1">
      <c r="C280" s="29"/>
      <c r="H280" s="31"/>
      <c r="K280" s="32"/>
      <c r="T280" s="35"/>
      <c r="AA280" s="31"/>
      <c r="AF280" s="32"/>
    </row>
    <row r="281" ht="15.75" customHeight="1">
      <c r="C281" s="29"/>
      <c r="H281" s="31"/>
      <c r="K281" s="32"/>
      <c r="T281" s="35"/>
      <c r="AA281" s="31"/>
      <c r="AF281" s="32"/>
    </row>
    <row r="282" ht="15.75" customHeight="1">
      <c r="C282" s="29"/>
      <c r="H282" s="31"/>
      <c r="K282" s="32"/>
      <c r="T282" s="35"/>
      <c r="AA282" s="31"/>
      <c r="AF282" s="32"/>
    </row>
    <row r="283" ht="15.75" customHeight="1">
      <c r="C283" s="29"/>
      <c r="H283" s="31"/>
      <c r="K283" s="32"/>
      <c r="T283" s="35"/>
      <c r="AA283" s="31"/>
      <c r="AF283" s="32"/>
    </row>
    <row r="284" ht="15.75" customHeight="1">
      <c r="C284" s="29"/>
      <c r="H284" s="31"/>
      <c r="K284" s="32"/>
      <c r="T284" s="35"/>
      <c r="AA284" s="31"/>
      <c r="AF284" s="32"/>
    </row>
    <row r="285" ht="15.75" customHeight="1">
      <c r="C285" s="29"/>
      <c r="H285" s="31"/>
      <c r="K285" s="32"/>
      <c r="T285" s="35"/>
      <c r="AA285" s="31"/>
      <c r="AF285" s="32"/>
    </row>
    <row r="286" ht="15.75" customHeight="1">
      <c r="C286" s="29"/>
      <c r="H286" s="31"/>
      <c r="K286" s="32"/>
      <c r="T286" s="35"/>
      <c r="AA286" s="31"/>
      <c r="AF286" s="32"/>
    </row>
    <row r="287" ht="15.75" customHeight="1">
      <c r="C287" s="29"/>
      <c r="H287" s="31"/>
      <c r="K287" s="32"/>
      <c r="T287" s="35"/>
      <c r="AA287" s="31"/>
      <c r="AF287" s="32"/>
    </row>
    <row r="288" ht="15.75" customHeight="1">
      <c r="C288" s="29"/>
      <c r="H288" s="31"/>
      <c r="K288" s="32"/>
      <c r="T288" s="35"/>
      <c r="AA288" s="31"/>
      <c r="AF288" s="32"/>
    </row>
    <row r="289" ht="15.75" customHeight="1">
      <c r="C289" s="29"/>
      <c r="H289" s="31"/>
      <c r="K289" s="32"/>
      <c r="T289" s="35"/>
      <c r="AA289" s="31"/>
      <c r="AF289" s="32"/>
    </row>
    <row r="290" ht="15.75" customHeight="1">
      <c r="C290" s="29"/>
      <c r="H290" s="31"/>
      <c r="K290" s="32"/>
      <c r="T290" s="35"/>
      <c r="AA290" s="31"/>
      <c r="AF290" s="32"/>
    </row>
    <row r="291" ht="15.75" customHeight="1">
      <c r="C291" s="29"/>
      <c r="H291" s="31"/>
      <c r="K291" s="32"/>
      <c r="T291" s="35"/>
      <c r="AA291" s="31"/>
      <c r="AF291" s="32"/>
    </row>
    <row r="292" ht="15.75" customHeight="1">
      <c r="C292" s="29"/>
      <c r="H292" s="31"/>
      <c r="K292" s="32"/>
      <c r="T292" s="35"/>
      <c r="AA292" s="31"/>
      <c r="AF292" s="32"/>
    </row>
    <row r="293" ht="15.75" customHeight="1">
      <c r="C293" s="29"/>
      <c r="H293" s="31"/>
      <c r="K293" s="32"/>
      <c r="T293" s="35"/>
      <c r="AA293" s="31"/>
      <c r="AF293" s="32"/>
    </row>
    <row r="294" ht="15.75" customHeight="1">
      <c r="C294" s="29"/>
      <c r="H294" s="31"/>
      <c r="K294" s="32"/>
      <c r="T294" s="35"/>
      <c r="AA294" s="31"/>
      <c r="AF294" s="32"/>
    </row>
    <row r="295" ht="15.75" customHeight="1">
      <c r="C295" s="29"/>
      <c r="H295" s="31"/>
      <c r="K295" s="32"/>
      <c r="T295" s="35"/>
      <c r="AA295" s="31"/>
      <c r="AF295" s="32"/>
    </row>
    <row r="296" ht="15.75" customHeight="1">
      <c r="C296" s="29"/>
      <c r="H296" s="31"/>
      <c r="K296" s="32"/>
      <c r="T296" s="35"/>
      <c r="AA296" s="31"/>
      <c r="AF296" s="32"/>
    </row>
    <row r="297" ht="15.75" customHeight="1">
      <c r="C297" s="29"/>
      <c r="H297" s="31"/>
      <c r="K297" s="32"/>
      <c r="T297" s="35"/>
      <c r="AA297" s="31"/>
      <c r="AF297" s="32"/>
    </row>
    <row r="298" ht="15.75" customHeight="1">
      <c r="C298" s="29"/>
      <c r="H298" s="31"/>
      <c r="K298" s="32"/>
      <c r="T298" s="35"/>
      <c r="AA298" s="31"/>
      <c r="AF298" s="32"/>
    </row>
    <row r="299" ht="15.75" customHeight="1">
      <c r="C299" s="29"/>
      <c r="H299" s="31"/>
      <c r="K299" s="32"/>
      <c r="T299" s="35"/>
      <c r="AA299" s="31"/>
      <c r="AF299" s="32"/>
    </row>
    <row r="300" ht="15.75" customHeight="1">
      <c r="C300" s="29"/>
      <c r="H300" s="31"/>
      <c r="K300" s="32"/>
      <c r="T300" s="35"/>
      <c r="AA300" s="31"/>
      <c r="AF300" s="32"/>
    </row>
    <row r="301" ht="15.75" customHeight="1">
      <c r="C301" s="29"/>
      <c r="H301" s="31"/>
      <c r="K301" s="32"/>
      <c r="T301" s="35"/>
      <c r="AA301" s="31"/>
      <c r="AF301" s="32"/>
    </row>
    <row r="302" ht="15.75" customHeight="1">
      <c r="C302" s="29"/>
      <c r="H302" s="31"/>
      <c r="K302" s="32"/>
      <c r="T302" s="35"/>
      <c r="AA302" s="31"/>
      <c r="AF302" s="32"/>
    </row>
    <row r="303" ht="15.75" customHeight="1">
      <c r="C303" s="29"/>
      <c r="H303" s="31"/>
      <c r="K303" s="32"/>
      <c r="T303" s="35"/>
      <c r="AA303" s="31"/>
      <c r="AF303" s="32"/>
    </row>
    <row r="304" ht="15.75" customHeight="1">
      <c r="C304" s="29"/>
      <c r="H304" s="31"/>
      <c r="K304" s="32"/>
      <c r="T304" s="35"/>
      <c r="AA304" s="31"/>
      <c r="AF304" s="32"/>
    </row>
    <row r="305" ht="15.75" customHeight="1">
      <c r="C305" s="29"/>
      <c r="H305" s="31"/>
      <c r="K305" s="32"/>
      <c r="T305" s="35"/>
      <c r="AA305" s="31"/>
      <c r="AF305" s="32"/>
    </row>
    <row r="306" ht="15.75" customHeight="1">
      <c r="C306" s="29"/>
      <c r="H306" s="31"/>
      <c r="K306" s="32"/>
      <c r="T306" s="35"/>
      <c r="AA306" s="31"/>
      <c r="AF306" s="32"/>
    </row>
    <row r="307" ht="15.75" customHeight="1">
      <c r="C307" s="29"/>
      <c r="H307" s="31"/>
      <c r="K307" s="32"/>
      <c r="T307" s="35"/>
      <c r="AA307" s="31"/>
      <c r="AF307" s="32"/>
    </row>
    <row r="308" ht="15.75" customHeight="1">
      <c r="C308" s="29"/>
      <c r="H308" s="31"/>
      <c r="K308" s="32"/>
      <c r="T308" s="35"/>
      <c r="AA308" s="31"/>
      <c r="AF308" s="32"/>
    </row>
    <row r="309" ht="15.75" customHeight="1">
      <c r="C309" s="29"/>
      <c r="H309" s="31"/>
      <c r="K309" s="32"/>
      <c r="T309" s="35"/>
      <c r="AA309" s="31"/>
      <c r="AF309" s="32"/>
    </row>
    <row r="310" ht="15.75" customHeight="1">
      <c r="C310" s="29"/>
      <c r="H310" s="31"/>
      <c r="K310" s="32"/>
      <c r="T310" s="35"/>
      <c r="AA310" s="31"/>
      <c r="AF310" s="32"/>
    </row>
    <row r="311" ht="15.75" customHeight="1">
      <c r="C311" s="29"/>
      <c r="H311" s="31"/>
      <c r="K311" s="32"/>
      <c r="T311" s="35"/>
      <c r="AA311" s="31"/>
      <c r="AF311" s="32"/>
    </row>
    <row r="312" ht="15.75" customHeight="1">
      <c r="C312" s="29"/>
      <c r="H312" s="31"/>
      <c r="K312" s="32"/>
      <c r="T312" s="35"/>
      <c r="AA312" s="31"/>
      <c r="AF312" s="32"/>
    </row>
    <row r="313" ht="15.75" customHeight="1">
      <c r="C313" s="29"/>
      <c r="H313" s="31"/>
      <c r="K313" s="32"/>
      <c r="T313" s="35"/>
      <c r="AA313" s="31"/>
      <c r="AF313" s="32"/>
    </row>
    <row r="314" ht="15.75" customHeight="1">
      <c r="C314" s="29"/>
      <c r="H314" s="31"/>
      <c r="K314" s="32"/>
      <c r="T314" s="35"/>
      <c r="AA314" s="31"/>
      <c r="AF314" s="32"/>
    </row>
    <row r="315" ht="15.75" customHeight="1">
      <c r="C315" s="29"/>
      <c r="H315" s="31"/>
      <c r="K315" s="32"/>
      <c r="T315" s="35"/>
      <c r="AA315" s="31"/>
      <c r="AF315" s="32"/>
    </row>
    <row r="316" ht="15.75" customHeight="1">
      <c r="C316" s="29"/>
      <c r="H316" s="31"/>
      <c r="K316" s="32"/>
      <c r="T316" s="35"/>
      <c r="AA316" s="31"/>
      <c r="AF316" s="32"/>
    </row>
    <row r="317" ht="15.75" customHeight="1">
      <c r="C317" s="29"/>
      <c r="H317" s="31"/>
      <c r="K317" s="32"/>
      <c r="T317" s="35"/>
      <c r="AA317" s="31"/>
      <c r="AF317" s="32"/>
    </row>
    <row r="318" ht="15.75" customHeight="1">
      <c r="C318" s="29"/>
      <c r="H318" s="31"/>
      <c r="K318" s="32"/>
      <c r="T318" s="35"/>
      <c r="AA318" s="31"/>
      <c r="AF318" s="32"/>
    </row>
    <row r="319" ht="15.75" customHeight="1">
      <c r="C319" s="29"/>
      <c r="H319" s="31"/>
      <c r="K319" s="32"/>
      <c r="T319" s="35"/>
      <c r="AA319" s="31"/>
      <c r="AF319" s="32"/>
    </row>
    <row r="320" ht="15.75" customHeight="1">
      <c r="C320" s="29"/>
      <c r="H320" s="31"/>
      <c r="K320" s="32"/>
      <c r="T320" s="35"/>
      <c r="AA320" s="31"/>
      <c r="AF320" s="32"/>
    </row>
    <row r="321" ht="15.75" customHeight="1">
      <c r="C321" s="29"/>
      <c r="H321" s="31"/>
      <c r="K321" s="32"/>
      <c r="T321" s="35"/>
      <c r="AA321" s="31"/>
      <c r="AF321" s="32"/>
    </row>
    <row r="322" ht="15.75" customHeight="1">
      <c r="C322" s="29"/>
      <c r="H322" s="31"/>
      <c r="K322" s="32"/>
      <c r="T322" s="35"/>
      <c r="AA322" s="31"/>
      <c r="AF322" s="32"/>
    </row>
    <row r="323" ht="15.75" customHeight="1">
      <c r="C323" s="29"/>
      <c r="H323" s="31"/>
      <c r="K323" s="32"/>
      <c r="T323" s="35"/>
      <c r="AA323" s="31"/>
      <c r="AF323" s="32"/>
    </row>
    <row r="324" ht="15.75" customHeight="1">
      <c r="C324" s="29"/>
      <c r="H324" s="31"/>
      <c r="K324" s="32"/>
      <c r="T324" s="35"/>
      <c r="AA324" s="31"/>
      <c r="AF324" s="32"/>
    </row>
    <row r="325" ht="15.75" customHeight="1">
      <c r="C325" s="29"/>
      <c r="H325" s="31"/>
      <c r="K325" s="32"/>
      <c r="T325" s="35"/>
      <c r="AA325" s="31"/>
      <c r="AF325" s="32"/>
    </row>
    <row r="326" ht="15.75" customHeight="1">
      <c r="C326" s="29"/>
      <c r="H326" s="31"/>
      <c r="K326" s="32"/>
      <c r="T326" s="35"/>
      <c r="AA326" s="31"/>
      <c r="AF326" s="32"/>
    </row>
    <row r="327" ht="15.75" customHeight="1">
      <c r="C327" s="29"/>
      <c r="H327" s="31"/>
      <c r="K327" s="32"/>
      <c r="T327" s="35"/>
      <c r="AA327" s="31"/>
      <c r="AF327" s="32"/>
    </row>
    <row r="328" ht="15.75" customHeight="1">
      <c r="C328" s="29"/>
      <c r="H328" s="31"/>
      <c r="K328" s="32"/>
      <c r="T328" s="35"/>
      <c r="AA328" s="31"/>
      <c r="AF328" s="32"/>
    </row>
    <row r="329" ht="15.75" customHeight="1">
      <c r="C329" s="29"/>
      <c r="H329" s="31"/>
      <c r="K329" s="32"/>
      <c r="T329" s="35"/>
      <c r="AA329" s="31"/>
      <c r="AF329" s="32"/>
    </row>
    <row r="330" ht="15.75" customHeight="1">
      <c r="C330" s="29"/>
      <c r="H330" s="31"/>
      <c r="K330" s="32"/>
      <c r="T330" s="35"/>
      <c r="AA330" s="31"/>
      <c r="AF330" s="32"/>
    </row>
    <row r="331" ht="15.75" customHeight="1">
      <c r="C331" s="29"/>
      <c r="H331" s="31"/>
      <c r="K331" s="32"/>
      <c r="T331" s="35"/>
      <c r="AA331" s="31"/>
      <c r="AF331" s="32"/>
    </row>
    <row r="332" ht="15.75" customHeight="1">
      <c r="C332" s="29"/>
      <c r="H332" s="31"/>
      <c r="K332" s="32"/>
      <c r="T332" s="35"/>
      <c r="AA332" s="31"/>
      <c r="AF332" s="32"/>
    </row>
    <row r="333" ht="15.75" customHeight="1">
      <c r="C333" s="29"/>
      <c r="H333" s="31"/>
      <c r="K333" s="32"/>
      <c r="T333" s="35"/>
      <c r="AA333" s="31"/>
      <c r="AF333" s="32"/>
    </row>
    <row r="334" ht="15.75" customHeight="1">
      <c r="C334" s="29"/>
      <c r="H334" s="31"/>
      <c r="K334" s="32"/>
      <c r="T334" s="35"/>
      <c r="AA334" s="31"/>
      <c r="AF334" s="32"/>
    </row>
    <row r="335" ht="15.75" customHeight="1">
      <c r="C335" s="29"/>
      <c r="H335" s="31"/>
      <c r="K335" s="32"/>
      <c r="T335" s="35"/>
      <c r="AA335" s="31"/>
      <c r="AF335" s="32"/>
    </row>
    <row r="336" ht="15.75" customHeight="1">
      <c r="C336" s="29"/>
      <c r="H336" s="31"/>
      <c r="K336" s="32"/>
      <c r="T336" s="35"/>
      <c r="AA336" s="31"/>
      <c r="AF336" s="32"/>
    </row>
    <row r="337" ht="15.75" customHeight="1">
      <c r="C337" s="29"/>
      <c r="H337" s="31"/>
      <c r="K337" s="32"/>
      <c r="T337" s="35"/>
      <c r="AA337" s="31"/>
      <c r="AF337" s="32"/>
    </row>
    <row r="338" ht="15.75" customHeight="1">
      <c r="C338" s="29"/>
      <c r="H338" s="31"/>
      <c r="K338" s="32"/>
      <c r="T338" s="35"/>
      <c r="AA338" s="31"/>
      <c r="AF338" s="32"/>
    </row>
    <row r="339" ht="15.75" customHeight="1">
      <c r="C339" s="29"/>
      <c r="H339" s="31"/>
      <c r="K339" s="32"/>
      <c r="T339" s="35"/>
      <c r="AA339" s="31"/>
      <c r="AF339" s="32"/>
    </row>
    <row r="340" ht="15.75" customHeight="1">
      <c r="C340" s="29"/>
      <c r="H340" s="31"/>
      <c r="K340" s="32"/>
      <c r="T340" s="35"/>
      <c r="AA340" s="31"/>
      <c r="AF340" s="32"/>
    </row>
    <row r="341" ht="15.75" customHeight="1">
      <c r="C341" s="29"/>
      <c r="H341" s="31"/>
      <c r="K341" s="32"/>
      <c r="T341" s="35"/>
      <c r="AA341" s="31"/>
      <c r="AF341" s="32"/>
    </row>
    <row r="342" ht="15.75" customHeight="1">
      <c r="C342" s="29"/>
      <c r="H342" s="31"/>
      <c r="K342" s="32"/>
      <c r="T342" s="35"/>
      <c r="AA342" s="31"/>
      <c r="AF342" s="32"/>
    </row>
    <row r="343" ht="15.75" customHeight="1">
      <c r="C343" s="29"/>
      <c r="H343" s="31"/>
      <c r="K343" s="32"/>
      <c r="T343" s="35"/>
      <c r="AA343" s="31"/>
      <c r="AF343" s="32"/>
    </row>
    <row r="344" ht="15.75" customHeight="1">
      <c r="C344" s="29"/>
      <c r="H344" s="31"/>
      <c r="K344" s="32"/>
      <c r="T344" s="35"/>
      <c r="AA344" s="31"/>
      <c r="AF344" s="32"/>
    </row>
    <row r="345" ht="15.75" customHeight="1">
      <c r="C345" s="29"/>
      <c r="H345" s="31"/>
      <c r="K345" s="32"/>
      <c r="T345" s="35"/>
      <c r="AA345" s="31"/>
      <c r="AF345" s="32"/>
    </row>
    <row r="346" ht="15.75" customHeight="1">
      <c r="C346" s="29"/>
      <c r="H346" s="31"/>
      <c r="K346" s="32"/>
      <c r="T346" s="35"/>
      <c r="AA346" s="31"/>
      <c r="AF346" s="32"/>
    </row>
    <row r="347" ht="15.75" customHeight="1">
      <c r="C347" s="29"/>
      <c r="H347" s="31"/>
      <c r="K347" s="32"/>
      <c r="T347" s="35"/>
      <c r="AA347" s="31"/>
      <c r="AF347" s="32"/>
    </row>
    <row r="348" ht="15.75" customHeight="1">
      <c r="C348" s="29"/>
      <c r="H348" s="31"/>
      <c r="K348" s="32"/>
      <c r="T348" s="35"/>
      <c r="AA348" s="31"/>
      <c r="AF348" s="32"/>
    </row>
    <row r="349" ht="15.75" customHeight="1">
      <c r="C349" s="29"/>
      <c r="H349" s="31"/>
      <c r="K349" s="32"/>
      <c r="T349" s="35"/>
      <c r="AA349" s="31"/>
      <c r="AF349" s="32"/>
    </row>
    <row r="350" ht="15.75" customHeight="1">
      <c r="C350" s="29"/>
      <c r="H350" s="31"/>
      <c r="K350" s="32"/>
      <c r="T350" s="35"/>
      <c r="AA350" s="31"/>
      <c r="AF350" s="32"/>
    </row>
    <row r="351" ht="15.75" customHeight="1">
      <c r="C351" s="29"/>
      <c r="H351" s="31"/>
      <c r="K351" s="32"/>
      <c r="T351" s="35"/>
      <c r="AA351" s="31"/>
      <c r="AF351" s="32"/>
    </row>
    <row r="352" ht="15.75" customHeight="1">
      <c r="C352" s="29"/>
      <c r="H352" s="31"/>
      <c r="K352" s="32"/>
      <c r="T352" s="35"/>
      <c r="AA352" s="31"/>
      <c r="AF352" s="32"/>
    </row>
    <row r="353" ht="15.75" customHeight="1">
      <c r="C353" s="29"/>
      <c r="H353" s="31"/>
      <c r="K353" s="32"/>
      <c r="T353" s="35"/>
      <c r="AA353" s="31"/>
      <c r="AF353" s="32"/>
    </row>
    <row r="354" ht="15.75" customHeight="1">
      <c r="C354" s="29"/>
      <c r="H354" s="31"/>
      <c r="K354" s="32"/>
      <c r="T354" s="35"/>
      <c r="AA354" s="31"/>
      <c r="AF354" s="32"/>
    </row>
    <row r="355" ht="15.75" customHeight="1">
      <c r="C355" s="29"/>
      <c r="H355" s="31"/>
      <c r="K355" s="32"/>
      <c r="T355" s="35"/>
      <c r="AA355" s="31"/>
      <c r="AF355" s="32"/>
    </row>
    <row r="356" ht="15.75" customHeight="1">
      <c r="C356" s="29"/>
      <c r="H356" s="31"/>
      <c r="K356" s="32"/>
      <c r="T356" s="35"/>
      <c r="AA356" s="31"/>
      <c r="AF356" s="32"/>
    </row>
    <row r="357" ht="15.75" customHeight="1">
      <c r="C357" s="29"/>
      <c r="H357" s="31"/>
      <c r="K357" s="32"/>
      <c r="T357" s="35"/>
      <c r="AA357" s="31"/>
      <c r="AF357" s="32"/>
    </row>
    <row r="358" ht="15.75" customHeight="1">
      <c r="C358" s="29"/>
      <c r="H358" s="31"/>
      <c r="K358" s="32"/>
      <c r="T358" s="35"/>
      <c r="AA358" s="31"/>
      <c r="AF358" s="32"/>
    </row>
    <row r="359" ht="15.75" customHeight="1">
      <c r="C359" s="29"/>
      <c r="H359" s="31"/>
      <c r="K359" s="32"/>
      <c r="T359" s="35"/>
      <c r="AA359" s="31"/>
      <c r="AF359" s="32"/>
    </row>
    <row r="360" ht="15.75" customHeight="1">
      <c r="C360" s="29"/>
      <c r="H360" s="31"/>
      <c r="K360" s="32"/>
      <c r="T360" s="35"/>
      <c r="AA360" s="31"/>
      <c r="AF360" s="32"/>
    </row>
    <row r="361" ht="15.75" customHeight="1">
      <c r="C361" s="29"/>
      <c r="H361" s="31"/>
      <c r="K361" s="32"/>
      <c r="T361" s="35"/>
      <c r="AA361" s="31"/>
      <c r="AF361" s="32"/>
    </row>
    <row r="362" ht="15.75" customHeight="1">
      <c r="C362" s="29"/>
      <c r="H362" s="31"/>
      <c r="K362" s="32"/>
      <c r="T362" s="35"/>
      <c r="AA362" s="31"/>
      <c r="AF362" s="32"/>
    </row>
    <row r="363" ht="15.75" customHeight="1">
      <c r="C363" s="29"/>
      <c r="H363" s="31"/>
      <c r="K363" s="32"/>
      <c r="T363" s="35"/>
      <c r="AA363" s="31"/>
      <c r="AF363" s="32"/>
    </row>
    <row r="364" ht="15.75" customHeight="1">
      <c r="C364" s="29"/>
      <c r="H364" s="31"/>
      <c r="K364" s="32"/>
      <c r="T364" s="35"/>
      <c r="AA364" s="31"/>
      <c r="AF364" s="32"/>
    </row>
    <row r="365" ht="15.75" customHeight="1">
      <c r="C365" s="29"/>
      <c r="H365" s="31"/>
      <c r="K365" s="32"/>
      <c r="T365" s="35"/>
      <c r="AA365" s="31"/>
      <c r="AF365" s="32"/>
    </row>
    <row r="366" ht="15.75" customHeight="1">
      <c r="C366" s="29"/>
      <c r="H366" s="31"/>
      <c r="K366" s="32"/>
      <c r="T366" s="35"/>
      <c r="AA366" s="31"/>
      <c r="AF366" s="32"/>
    </row>
    <row r="367" ht="15.75" customHeight="1">
      <c r="C367" s="29"/>
      <c r="H367" s="31"/>
      <c r="K367" s="32"/>
      <c r="T367" s="35"/>
      <c r="AA367" s="31"/>
      <c r="AF367" s="32"/>
    </row>
    <row r="368" ht="15.75" customHeight="1">
      <c r="C368" s="29"/>
      <c r="H368" s="31"/>
      <c r="K368" s="32"/>
      <c r="T368" s="35"/>
      <c r="AA368" s="31"/>
      <c r="AF368" s="32"/>
    </row>
    <row r="369" ht="15.75" customHeight="1">
      <c r="C369" s="29"/>
      <c r="H369" s="31"/>
      <c r="K369" s="32"/>
      <c r="T369" s="35"/>
      <c r="AA369" s="31"/>
      <c r="AF369" s="32"/>
    </row>
    <row r="370" ht="15.75" customHeight="1">
      <c r="C370" s="29"/>
      <c r="H370" s="31"/>
      <c r="K370" s="32"/>
      <c r="T370" s="35"/>
      <c r="AA370" s="31"/>
      <c r="AF370" s="32"/>
    </row>
    <row r="371" ht="15.75" customHeight="1">
      <c r="C371" s="29"/>
      <c r="H371" s="31"/>
      <c r="K371" s="32"/>
      <c r="T371" s="35"/>
      <c r="AA371" s="31"/>
      <c r="AF371" s="32"/>
    </row>
    <row r="372" ht="15.75" customHeight="1">
      <c r="C372" s="29"/>
      <c r="H372" s="31"/>
      <c r="K372" s="32"/>
      <c r="T372" s="35"/>
      <c r="AA372" s="31"/>
      <c r="AF372" s="32"/>
    </row>
    <row r="373" ht="15.75" customHeight="1">
      <c r="C373" s="29"/>
      <c r="H373" s="31"/>
      <c r="K373" s="32"/>
      <c r="T373" s="35"/>
      <c r="AA373" s="31"/>
      <c r="AF373" s="32"/>
    </row>
    <row r="374" ht="15.75" customHeight="1">
      <c r="C374" s="29"/>
      <c r="H374" s="31"/>
      <c r="K374" s="32"/>
      <c r="T374" s="35"/>
      <c r="AA374" s="31"/>
      <c r="AF374" s="32"/>
    </row>
    <row r="375" ht="15.75" customHeight="1">
      <c r="C375" s="29"/>
      <c r="H375" s="31"/>
      <c r="K375" s="32"/>
      <c r="T375" s="35"/>
      <c r="AA375" s="31"/>
      <c r="AF375" s="32"/>
    </row>
    <row r="376" ht="15.75" customHeight="1">
      <c r="C376" s="29"/>
      <c r="H376" s="31"/>
      <c r="K376" s="32"/>
      <c r="T376" s="35"/>
      <c r="AA376" s="31"/>
      <c r="AF376" s="32"/>
    </row>
    <row r="377" ht="15.75" customHeight="1">
      <c r="C377" s="29"/>
      <c r="H377" s="31"/>
      <c r="K377" s="32"/>
      <c r="T377" s="35"/>
      <c r="AA377" s="31"/>
      <c r="AF377" s="32"/>
    </row>
    <row r="378" ht="15.75" customHeight="1">
      <c r="C378" s="29"/>
      <c r="H378" s="31"/>
      <c r="K378" s="32"/>
      <c r="T378" s="35"/>
      <c r="AA378" s="31"/>
      <c r="AF378" s="32"/>
    </row>
    <row r="379" ht="15.75" customHeight="1">
      <c r="C379" s="29"/>
      <c r="H379" s="31"/>
      <c r="K379" s="32"/>
      <c r="T379" s="35"/>
      <c r="AA379" s="31"/>
      <c r="AF379" s="32"/>
    </row>
    <row r="380" ht="15.75" customHeight="1">
      <c r="C380" s="29"/>
      <c r="H380" s="31"/>
      <c r="K380" s="32"/>
      <c r="T380" s="35"/>
      <c r="AA380" s="31"/>
      <c r="AF380" s="32"/>
    </row>
    <row r="381" ht="15.75" customHeight="1">
      <c r="C381" s="29"/>
      <c r="H381" s="31"/>
      <c r="K381" s="32"/>
      <c r="T381" s="35"/>
      <c r="AA381" s="31"/>
      <c r="AF381" s="32"/>
    </row>
    <row r="382" ht="15.75" customHeight="1">
      <c r="C382" s="29"/>
      <c r="H382" s="31"/>
      <c r="K382" s="32"/>
      <c r="T382" s="35"/>
      <c r="AA382" s="31"/>
      <c r="AF382" s="32"/>
    </row>
    <row r="383" ht="15.75" customHeight="1">
      <c r="C383" s="29"/>
      <c r="H383" s="31"/>
      <c r="K383" s="32"/>
      <c r="T383" s="35"/>
      <c r="AA383" s="31"/>
      <c r="AF383" s="32"/>
    </row>
    <row r="384" ht="15.75" customHeight="1">
      <c r="C384" s="29"/>
      <c r="H384" s="31"/>
      <c r="K384" s="32"/>
      <c r="T384" s="35"/>
      <c r="AA384" s="31"/>
      <c r="AF384" s="32"/>
    </row>
    <row r="385" ht="15.75" customHeight="1">
      <c r="C385" s="29"/>
      <c r="H385" s="31"/>
      <c r="K385" s="32"/>
      <c r="T385" s="35"/>
      <c r="AA385" s="31"/>
      <c r="AF385" s="32"/>
    </row>
    <row r="386" ht="15.75" customHeight="1">
      <c r="C386" s="29"/>
      <c r="H386" s="31"/>
      <c r="K386" s="32"/>
      <c r="T386" s="35"/>
      <c r="AA386" s="31"/>
      <c r="AF386" s="32"/>
    </row>
    <row r="387" ht="15.75" customHeight="1">
      <c r="C387" s="29"/>
      <c r="H387" s="31"/>
      <c r="K387" s="32"/>
      <c r="T387" s="35"/>
      <c r="AA387" s="31"/>
      <c r="AF387" s="32"/>
    </row>
    <row r="388" ht="15.75" customHeight="1">
      <c r="C388" s="29"/>
      <c r="H388" s="31"/>
      <c r="K388" s="32"/>
      <c r="T388" s="35"/>
      <c r="AA388" s="31"/>
      <c r="AF388" s="32"/>
    </row>
    <row r="389" ht="15.75" customHeight="1">
      <c r="C389" s="29"/>
      <c r="H389" s="31"/>
      <c r="K389" s="32"/>
      <c r="T389" s="35"/>
      <c r="AA389" s="31"/>
      <c r="AF389" s="32"/>
    </row>
    <row r="390" ht="15.75" customHeight="1">
      <c r="C390" s="29"/>
      <c r="H390" s="31"/>
      <c r="K390" s="32"/>
      <c r="T390" s="35"/>
      <c r="AA390" s="31"/>
      <c r="AF390" s="32"/>
    </row>
    <row r="391" ht="15.75" customHeight="1">
      <c r="C391" s="29"/>
      <c r="H391" s="31"/>
      <c r="K391" s="32"/>
      <c r="T391" s="35"/>
      <c r="AA391" s="31"/>
      <c r="AF391" s="32"/>
    </row>
    <row r="392" ht="15.75" customHeight="1">
      <c r="C392" s="29"/>
      <c r="H392" s="31"/>
      <c r="K392" s="32"/>
      <c r="T392" s="35"/>
      <c r="AA392" s="31"/>
      <c r="AF392" s="32"/>
    </row>
    <row r="393" ht="15.75" customHeight="1">
      <c r="C393" s="29"/>
      <c r="H393" s="31"/>
      <c r="K393" s="32"/>
      <c r="T393" s="35"/>
      <c r="AA393" s="31"/>
      <c r="AF393" s="32"/>
    </row>
    <row r="394" ht="15.75" customHeight="1">
      <c r="C394" s="29"/>
      <c r="H394" s="31"/>
      <c r="K394" s="32"/>
      <c r="T394" s="35"/>
      <c r="AA394" s="31"/>
      <c r="AF394" s="32"/>
    </row>
    <row r="395" ht="15.75" customHeight="1">
      <c r="C395" s="29"/>
      <c r="H395" s="31"/>
      <c r="K395" s="32"/>
      <c r="T395" s="35"/>
      <c r="AA395" s="31"/>
      <c r="AF395" s="32"/>
    </row>
    <row r="396" ht="15.75" customHeight="1">
      <c r="C396" s="29"/>
      <c r="H396" s="31"/>
      <c r="K396" s="32"/>
      <c r="T396" s="35"/>
      <c r="AA396" s="31"/>
      <c r="AF396" s="32"/>
    </row>
    <row r="397" ht="15.75" customHeight="1">
      <c r="C397" s="29"/>
      <c r="H397" s="31"/>
      <c r="K397" s="32"/>
      <c r="T397" s="35"/>
      <c r="AA397" s="31"/>
      <c r="AF397" s="32"/>
    </row>
    <row r="398" ht="15.75" customHeight="1">
      <c r="C398" s="29"/>
      <c r="H398" s="31"/>
      <c r="K398" s="32"/>
      <c r="T398" s="35"/>
      <c r="AA398" s="31"/>
      <c r="AF398" s="32"/>
    </row>
    <row r="399" ht="15.75" customHeight="1">
      <c r="C399" s="29"/>
      <c r="H399" s="31"/>
      <c r="K399" s="32"/>
      <c r="T399" s="35"/>
      <c r="AA399" s="31"/>
      <c r="AF399" s="32"/>
    </row>
    <row r="400" ht="15.75" customHeight="1">
      <c r="C400" s="29"/>
      <c r="H400" s="31"/>
      <c r="K400" s="32"/>
      <c r="T400" s="35"/>
      <c r="AA400" s="31"/>
      <c r="AF400" s="32"/>
    </row>
    <row r="401" ht="15.75" customHeight="1">
      <c r="C401" s="29"/>
      <c r="H401" s="31"/>
      <c r="K401" s="32"/>
      <c r="T401" s="35"/>
      <c r="AA401" s="31"/>
      <c r="AF401" s="32"/>
    </row>
    <row r="402" ht="15.75" customHeight="1">
      <c r="C402" s="29"/>
      <c r="H402" s="31"/>
      <c r="K402" s="32"/>
      <c r="T402" s="35"/>
      <c r="AA402" s="31"/>
      <c r="AF402" s="32"/>
    </row>
    <row r="403" ht="15.75" customHeight="1">
      <c r="C403" s="29"/>
      <c r="H403" s="31"/>
      <c r="K403" s="32"/>
      <c r="T403" s="35"/>
      <c r="AA403" s="31"/>
      <c r="AF403" s="32"/>
    </row>
    <row r="404" ht="15.75" customHeight="1">
      <c r="C404" s="29"/>
      <c r="H404" s="31"/>
      <c r="K404" s="32"/>
      <c r="T404" s="35"/>
      <c r="AA404" s="31"/>
      <c r="AF404" s="32"/>
    </row>
    <row r="405" ht="15.75" customHeight="1">
      <c r="C405" s="29"/>
      <c r="H405" s="31"/>
      <c r="K405" s="32"/>
      <c r="T405" s="35"/>
      <c r="AA405" s="31"/>
      <c r="AF405" s="32"/>
    </row>
    <row r="406" ht="15.75" customHeight="1">
      <c r="C406" s="29"/>
      <c r="H406" s="31"/>
      <c r="K406" s="32"/>
      <c r="T406" s="35"/>
      <c r="AA406" s="31"/>
      <c r="AF406" s="32"/>
    </row>
    <row r="407" ht="15.75" customHeight="1">
      <c r="C407" s="29"/>
      <c r="H407" s="31"/>
      <c r="K407" s="32"/>
      <c r="T407" s="35"/>
      <c r="AA407" s="31"/>
      <c r="AF407" s="32"/>
    </row>
    <row r="408" ht="15.75" customHeight="1">
      <c r="C408" s="29"/>
      <c r="H408" s="31"/>
      <c r="K408" s="32"/>
      <c r="T408" s="35"/>
      <c r="AA408" s="31"/>
      <c r="AF408" s="32"/>
    </row>
    <row r="409" ht="15.75" customHeight="1">
      <c r="C409" s="29"/>
      <c r="H409" s="31"/>
      <c r="K409" s="32"/>
      <c r="T409" s="35"/>
      <c r="AA409" s="31"/>
      <c r="AF409" s="32"/>
    </row>
    <row r="410" ht="15.75" customHeight="1">
      <c r="C410" s="29"/>
      <c r="H410" s="31"/>
      <c r="K410" s="32"/>
      <c r="T410" s="35"/>
      <c r="AA410" s="31"/>
      <c r="AF410" s="32"/>
    </row>
    <row r="411" ht="15.75" customHeight="1">
      <c r="C411" s="29"/>
      <c r="H411" s="31"/>
      <c r="K411" s="32"/>
      <c r="T411" s="35"/>
      <c r="AA411" s="31"/>
      <c r="AF411" s="32"/>
    </row>
    <row r="412" ht="15.75" customHeight="1">
      <c r="C412" s="29"/>
      <c r="H412" s="31"/>
      <c r="K412" s="32"/>
      <c r="T412" s="35"/>
      <c r="AA412" s="31"/>
      <c r="AF412" s="32"/>
    </row>
    <row r="413" ht="15.75" customHeight="1">
      <c r="C413" s="29"/>
      <c r="H413" s="31"/>
      <c r="K413" s="32"/>
      <c r="T413" s="35"/>
      <c r="AA413" s="31"/>
      <c r="AF413" s="32"/>
    </row>
    <row r="414" ht="15.75" customHeight="1">
      <c r="C414" s="29"/>
      <c r="H414" s="31"/>
      <c r="K414" s="32"/>
      <c r="T414" s="35"/>
      <c r="AA414" s="31"/>
      <c r="AF414" s="32"/>
    </row>
    <row r="415" ht="15.75" customHeight="1">
      <c r="C415" s="29"/>
      <c r="H415" s="31"/>
      <c r="K415" s="32"/>
      <c r="T415" s="35"/>
      <c r="AA415" s="31"/>
      <c r="AF415" s="32"/>
    </row>
    <row r="416" ht="15.75" customHeight="1">
      <c r="C416" s="29"/>
      <c r="H416" s="31"/>
      <c r="K416" s="32"/>
      <c r="T416" s="35"/>
      <c r="AA416" s="31"/>
      <c r="AF416" s="32"/>
    </row>
    <row r="417" ht="15.75" customHeight="1">
      <c r="C417" s="29"/>
      <c r="H417" s="31"/>
      <c r="K417" s="32"/>
      <c r="T417" s="35"/>
      <c r="AA417" s="31"/>
      <c r="AF417" s="32"/>
    </row>
    <row r="418" ht="15.75" customHeight="1">
      <c r="C418" s="29"/>
      <c r="H418" s="31"/>
      <c r="K418" s="32"/>
      <c r="T418" s="35"/>
      <c r="AA418" s="31"/>
      <c r="AF418" s="32"/>
    </row>
    <row r="419" ht="15.75" customHeight="1">
      <c r="C419" s="29"/>
      <c r="H419" s="31"/>
      <c r="K419" s="32"/>
      <c r="T419" s="35"/>
      <c r="AA419" s="31"/>
      <c r="AF419" s="32"/>
    </row>
    <row r="420" ht="15.75" customHeight="1">
      <c r="C420" s="29"/>
      <c r="H420" s="31"/>
      <c r="K420" s="32"/>
      <c r="T420" s="35"/>
      <c r="AA420" s="31"/>
      <c r="AF420" s="32"/>
    </row>
    <row r="421" ht="15.75" customHeight="1">
      <c r="C421" s="29"/>
      <c r="H421" s="31"/>
      <c r="K421" s="32"/>
      <c r="T421" s="35"/>
      <c r="AA421" s="31"/>
      <c r="AF421" s="32"/>
    </row>
    <row r="422" ht="15.75" customHeight="1">
      <c r="C422" s="29"/>
      <c r="H422" s="31"/>
      <c r="K422" s="32"/>
      <c r="T422" s="35"/>
      <c r="AA422" s="31"/>
      <c r="AF422" s="32"/>
    </row>
    <row r="423" ht="15.75" customHeight="1">
      <c r="C423" s="29"/>
      <c r="H423" s="31"/>
      <c r="K423" s="32"/>
      <c r="T423" s="35"/>
      <c r="AA423" s="31"/>
      <c r="AF423" s="32"/>
    </row>
    <row r="424" ht="15.75" customHeight="1">
      <c r="C424" s="29"/>
      <c r="H424" s="31"/>
      <c r="K424" s="32"/>
      <c r="T424" s="35"/>
      <c r="AA424" s="31"/>
      <c r="AF424" s="32"/>
    </row>
    <row r="425" ht="15.75" customHeight="1">
      <c r="C425" s="29"/>
      <c r="H425" s="31"/>
      <c r="K425" s="32"/>
      <c r="T425" s="35"/>
      <c r="AA425" s="31"/>
      <c r="AF425" s="32"/>
    </row>
    <row r="426" ht="15.75" customHeight="1">
      <c r="C426" s="29"/>
      <c r="H426" s="31"/>
      <c r="K426" s="32"/>
      <c r="T426" s="35"/>
      <c r="AA426" s="31"/>
      <c r="AF426" s="32"/>
    </row>
    <row r="427" ht="15.75" customHeight="1">
      <c r="C427" s="29"/>
      <c r="H427" s="31"/>
      <c r="K427" s="32"/>
      <c r="T427" s="35"/>
      <c r="AA427" s="31"/>
      <c r="AF427" s="32"/>
    </row>
    <row r="428" ht="15.75" customHeight="1">
      <c r="C428" s="29"/>
      <c r="H428" s="31"/>
      <c r="K428" s="32"/>
      <c r="T428" s="35"/>
      <c r="AA428" s="31"/>
      <c r="AF428" s="32"/>
    </row>
    <row r="429" ht="15.75" customHeight="1">
      <c r="C429" s="29"/>
      <c r="H429" s="31"/>
      <c r="K429" s="32"/>
      <c r="T429" s="35"/>
      <c r="AA429" s="31"/>
      <c r="AF429" s="32"/>
    </row>
    <row r="430" ht="15.75" customHeight="1">
      <c r="C430" s="29"/>
      <c r="H430" s="31"/>
      <c r="K430" s="32"/>
      <c r="T430" s="35"/>
      <c r="AA430" s="31"/>
      <c r="AF430" s="32"/>
    </row>
    <row r="431" ht="15.75" customHeight="1">
      <c r="C431" s="29"/>
      <c r="H431" s="31"/>
      <c r="K431" s="32"/>
      <c r="T431" s="35"/>
      <c r="AA431" s="31"/>
      <c r="AF431" s="32"/>
    </row>
    <row r="432" ht="15.75" customHeight="1">
      <c r="C432" s="29"/>
      <c r="H432" s="31"/>
      <c r="K432" s="32"/>
      <c r="T432" s="35"/>
      <c r="AA432" s="31"/>
      <c r="AF432" s="32"/>
    </row>
    <row r="433" ht="15.75" customHeight="1">
      <c r="C433" s="29"/>
      <c r="H433" s="31"/>
      <c r="K433" s="32"/>
      <c r="T433" s="35"/>
      <c r="AA433" s="31"/>
      <c r="AF433" s="32"/>
    </row>
    <row r="434" ht="15.75" customHeight="1">
      <c r="C434" s="29"/>
      <c r="H434" s="31"/>
      <c r="K434" s="32"/>
      <c r="T434" s="35"/>
      <c r="AA434" s="31"/>
      <c r="AF434" s="32"/>
    </row>
    <row r="435" ht="15.75" customHeight="1">
      <c r="C435" s="29"/>
      <c r="H435" s="31"/>
      <c r="K435" s="32"/>
      <c r="T435" s="35"/>
      <c r="AA435" s="31"/>
      <c r="AF435" s="32"/>
    </row>
    <row r="436" ht="15.75" customHeight="1">
      <c r="C436" s="29"/>
      <c r="H436" s="31"/>
      <c r="K436" s="32"/>
      <c r="T436" s="35"/>
      <c r="AA436" s="31"/>
      <c r="AF436" s="32"/>
    </row>
    <row r="437" ht="15.75" customHeight="1">
      <c r="C437" s="29"/>
      <c r="H437" s="31"/>
      <c r="K437" s="32"/>
      <c r="T437" s="35"/>
      <c r="AA437" s="31"/>
      <c r="AF437" s="32"/>
    </row>
    <row r="438" ht="15.75" customHeight="1">
      <c r="C438" s="29"/>
      <c r="H438" s="31"/>
      <c r="K438" s="32"/>
      <c r="T438" s="35"/>
      <c r="AA438" s="31"/>
      <c r="AF438" s="32"/>
    </row>
    <row r="439" ht="15.75" customHeight="1">
      <c r="C439" s="29"/>
      <c r="H439" s="31"/>
      <c r="K439" s="32"/>
      <c r="T439" s="35"/>
      <c r="AA439" s="31"/>
      <c r="AF439" s="32"/>
    </row>
    <row r="440" ht="15.75" customHeight="1">
      <c r="C440" s="29"/>
      <c r="H440" s="31"/>
      <c r="K440" s="32"/>
      <c r="T440" s="35"/>
      <c r="AA440" s="31"/>
      <c r="AF440" s="32"/>
    </row>
    <row r="441" ht="15.75" customHeight="1">
      <c r="C441" s="29"/>
      <c r="H441" s="31"/>
      <c r="K441" s="32"/>
      <c r="T441" s="35"/>
      <c r="AA441" s="31"/>
      <c r="AF441" s="32"/>
    </row>
    <row r="442" ht="15.75" customHeight="1">
      <c r="C442" s="29"/>
      <c r="H442" s="31"/>
      <c r="K442" s="32"/>
      <c r="T442" s="35"/>
      <c r="AA442" s="31"/>
      <c r="AF442" s="32"/>
    </row>
    <row r="443" ht="15.75" customHeight="1">
      <c r="C443" s="29"/>
      <c r="H443" s="31"/>
      <c r="K443" s="32"/>
      <c r="T443" s="35"/>
      <c r="AA443" s="31"/>
      <c r="AF443" s="32"/>
    </row>
    <row r="444" ht="15.75" customHeight="1">
      <c r="C444" s="29"/>
      <c r="H444" s="31"/>
      <c r="K444" s="32"/>
      <c r="T444" s="35"/>
      <c r="AA444" s="31"/>
      <c r="AF444" s="32"/>
    </row>
    <row r="445" ht="15.75" customHeight="1">
      <c r="C445" s="29"/>
      <c r="H445" s="31"/>
      <c r="K445" s="32"/>
      <c r="T445" s="35"/>
      <c r="AA445" s="31"/>
      <c r="AF445" s="32"/>
    </row>
    <row r="446" ht="15.75" customHeight="1">
      <c r="C446" s="29"/>
      <c r="H446" s="31"/>
      <c r="K446" s="32"/>
      <c r="T446" s="35"/>
      <c r="AA446" s="31"/>
      <c r="AF446" s="32"/>
    </row>
    <row r="447" ht="15.75" customHeight="1">
      <c r="C447" s="29"/>
      <c r="H447" s="31"/>
      <c r="K447" s="32"/>
      <c r="T447" s="35"/>
      <c r="AA447" s="31"/>
      <c r="AF447" s="32"/>
    </row>
    <row r="448" ht="15.75" customHeight="1">
      <c r="C448" s="29"/>
      <c r="H448" s="31"/>
      <c r="K448" s="32"/>
      <c r="T448" s="35"/>
      <c r="AA448" s="31"/>
      <c r="AF448" s="32"/>
    </row>
    <row r="449" ht="15.75" customHeight="1">
      <c r="C449" s="29"/>
      <c r="H449" s="31"/>
      <c r="K449" s="32"/>
      <c r="T449" s="35"/>
      <c r="AA449" s="31"/>
      <c r="AF449" s="32"/>
    </row>
    <row r="450" ht="15.75" customHeight="1">
      <c r="C450" s="29"/>
      <c r="H450" s="31"/>
      <c r="K450" s="32"/>
      <c r="T450" s="35"/>
      <c r="AA450" s="31"/>
      <c r="AF450" s="32"/>
    </row>
    <row r="451" ht="15.75" customHeight="1">
      <c r="C451" s="29"/>
      <c r="H451" s="31"/>
      <c r="K451" s="32"/>
      <c r="T451" s="35"/>
      <c r="AA451" s="31"/>
      <c r="AF451" s="32"/>
    </row>
    <row r="452" ht="15.75" customHeight="1">
      <c r="C452" s="29"/>
      <c r="H452" s="31"/>
      <c r="K452" s="32"/>
      <c r="T452" s="35"/>
      <c r="AA452" s="31"/>
      <c r="AF452" s="32"/>
    </row>
    <row r="453" ht="15.75" customHeight="1">
      <c r="C453" s="29"/>
      <c r="H453" s="31"/>
      <c r="K453" s="32"/>
      <c r="T453" s="35"/>
      <c r="AA453" s="31"/>
      <c r="AF453" s="32"/>
    </row>
    <row r="454" ht="15.75" customHeight="1">
      <c r="C454" s="29"/>
      <c r="H454" s="31"/>
      <c r="K454" s="32"/>
      <c r="T454" s="35"/>
      <c r="AA454" s="31"/>
      <c r="AF454" s="32"/>
    </row>
    <row r="455" ht="15.75" customHeight="1">
      <c r="C455" s="29"/>
      <c r="H455" s="31"/>
      <c r="K455" s="32"/>
      <c r="T455" s="35"/>
      <c r="AA455" s="31"/>
      <c r="AF455" s="32"/>
    </row>
    <row r="456" ht="15.75" customHeight="1">
      <c r="C456" s="29"/>
      <c r="H456" s="31"/>
      <c r="K456" s="32"/>
      <c r="T456" s="35"/>
      <c r="AA456" s="31"/>
      <c r="AF456" s="32"/>
    </row>
    <row r="457" ht="15.75" customHeight="1">
      <c r="C457" s="29"/>
      <c r="H457" s="31"/>
      <c r="K457" s="32"/>
      <c r="T457" s="35"/>
      <c r="AA457" s="31"/>
      <c r="AF457" s="32"/>
    </row>
    <row r="458" ht="15.75" customHeight="1">
      <c r="C458" s="29"/>
      <c r="H458" s="31"/>
      <c r="K458" s="32"/>
      <c r="T458" s="35"/>
      <c r="AA458" s="31"/>
      <c r="AF458" s="32"/>
    </row>
    <row r="459" ht="15.75" customHeight="1">
      <c r="C459" s="29"/>
      <c r="H459" s="31"/>
      <c r="K459" s="32"/>
      <c r="T459" s="35"/>
      <c r="AA459" s="31"/>
      <c r="AF459" s="32"/>
    </row>
    <row r="460" ht="15.75" customHeight="1">
      <c r="C460" s="29"/>
      <c r="H460" s="31"/>
      <c r="K460" s="32"/>
      <c r="T460" s="35"/>
      <c r="AA460" s="31"/>
      <c r="AF460" s="32"/>
    </row>
    <row r="461" ht="15.75" customHeight="1">
      <c r="C461" s="29"/>
      <c r="H461" s="31"/>
      <c r="K461" s="32"/>
      <c r="T461" s="35"/>
      <c r="AA461" s="31"/>
      <c r="AF461" s="32"/>
    </row>
    <row r="462" ht="15.75" customHeight="1">
      <c r="C462" s="29"/>
      <c r="H462" s="31"/>
      <c r="K462" s="32"/>
      <c r="T462" s="35"/>
      <c r="AA462" s="31"/>
      <c r="AF462" s="32"/>
    </row>
    <row r="463" ht="15.75" customHeight="1">
      <c r="C463" s="29"/>
      <c r="H463" s="31"/>
      <c r="K463" s="32"/>
      <c r="T463" s="35"/>
      <c r="AA463" s="31"/>
      <c r="AF463" s="32"/>
    </row>
    <row r="464" ht="15.75" customHeight="1">
      <c r="C464" s="29"/>
      <c r="H464" s="31"/>
      <c r="K464" s="32"/>
      <c r="T464" s="35"/>
      <c r="AA464" s="31"/>
      <c r="AF464" s="32"/>
    </row>
    <row r="465" ht="15.75" customHeight="1">
      <c r="C465" s="29"/>
      <c r="H465" s="31"/>
      <c r="K465" s="32"/>
      <c r="T465" s="35"/>
      <c r="AA465" s="31"/>
      <c r="AF465" s="32"/>
    </row>
    <row r="466" ht="15.75" customHeight="1">
      <c r="C466" s="29"/>
      <c r="H466" s="31"/>
      <c r="K466" s="32"/>
      <c r="T466" s="35"/>
      <c r="AA466" s="31"/>
      <c r="AF466" s="32"/>
    </row>
    <row r="467" ht="15.75" customHeight="1">
      <c r="C467" s="29"/>
      <c r="H467" s="31"/>
      <c r="K467" s="32"/>
      <c r="T467" s="35"/>
      <c r="AA467" s="31"/>
      <c r="AF467" s="32"/>
    </row>
    <row r="468" ht="15.75" customHeight="1">
      <c r="C468" s="29"/>
      <c r="H468" s="31"/>
      <c r="K468" s="32"/>
      <c r="T468" s="35"/>
      <c r="AA468" s="31"/>
      <c r="AF468" s="32"/>
    </row>
    <row r="469" ht="15.75" customHeight="1">
      <c r="C469" s="29"/>
      <c r="H469" s="31"/>
      <c r="K469" s="32"/>
      <c r="T469" s="35"/>
      <c r="AA469" s="31"/>
      <c r="AF469" s="32"/>
    </row>
    <row r="470" ht="15.75" customHeight="1">
      <c r="C470" s="29"/>
      <c r="H470" s="31"/>
      <c r="K470" s="32"/>
      <c r="T470" s="35"/>
      <c r="AA470" s="31"/>
      <c r="AF470" s="32"/>
    </row>
    <row r="471" ht="15.75" customHeight="1">
      <c r="C471" s="29"/>
      <c r="H471" s="31"/>
      <c r="K471" s="32"/>
      <c r="T471" s="35"/>
      <c r="AA471" s="31"/>
      <c r="AF471" s="32"/>
    </row>
    <row r="472" ht="15.75" customHeight="1">
      <c r="C472" s="29"/>
      <c r="H472" s="31"/>
      <c r="K472" s="32"/>
      <c r="T472" s="35"/>
      <c r="AA472" s="31"/>
      <c r="AF472" s="32"/>
    </row>
    <row r="473" ht="15.75" customHeight="1">
      <c r="C473" s="29"/>
      <c r="H473" s="31"/>
      <c r="K473" s="32"/>
      <c r="T473" s="35"/>
      <c r="AA473" s="31"/>
      <c r="AF473" s="32"/>
    </row>
    <row r="474" ht="15.75" customHeight="1">
      <c r="C474" s="29"/>
      <c r="H474" s="31"/>
      <c r="K474" s="32"/>
      <c r="T474" s="35"/>
      <c r="AA474" s="31"/>
      <c r="AF474" s="32"/>
    </row>
    <row r="475" ht="15.75" customHeight="1">
      <c r="C475" s="29"/>
      <c r="H475" s="31"/>
      <c r="K475" s="32"/>
      <c r="T475" s="35"/>
      <c r="AA475" s="31"/>
      <c r="AF475" s="32"/>
    </row>
    <row r="476" ht="15.75" customHeight="1">
      <c r="C476" s="29"/>
      <c r="H476" s="31"/>
      <c r="K476" s="32"/>
      <c r="T476" s="35"/>
      <c r="AA476" s="31"/>
      <c r="AF476" s="32"/>
    </row>
    <row r="477" ht="15.75" customHeight="1">
      <c r="C477" s="29"/>
      <c r="H477" s="31"/>
      <c r="K477" s="32"/>
      <c r="T477" s="35"/>
      <c r="AA477" s="31"/>
      <c r="AF477" s="32"/>
    </row>
    <row r="478" ht="15.75" customHeight="1">
      <c r="C478" s="29"/>
      <c r="H478" s="31"/>
      <c r="K478" s="32"/>
      <c r="T478" s="35"/>
      <c r="AA478" s="31"/>
      <c r="AF478" s="32"/>
    </row>
    <row r="479" ht="15.75" customHeight="1">
      <c r="C479" s="29"/>
      <c r="H479" s="31"/>
      <c r="K479" s="32"/>
      <c r="T479" s="35"/>
      <c r="AA479" s="31"/>
      <c r="AF479" s="32"/>
    </row>
    <row r="480" ht="15.75" customHeight="1">
      <c r="C480" s="29"/>
      <c r="H480" s="31"/>
      <c r="K480" s="32"/>
      <c r="T480" s="35"/>
      <c r="AA480" s="31"/>
      <c r="AF480" s="32"/>
    </row>
    <row r="481" ht="15.75" customHeight="1">
      <c r="C481" s="29"/>
      <c r="H481" s="31"/>
      <c r="K481" s="32"/>
      <c r="T481" s="35"/>
      <c r="AA481" s="31"/>
      <c r="AF481" s="32"/>
    </row>
    <row r="482" ht="15.75" customHeight="1">
      <c r="C482" s="29"/>
      <c r="H482" s="31"/>
      <c r="K482" s="32"/>
      <c r="T482" s="35"/>
      <c r="AA482" s="31"/>
      <c r="AF482" s="32"/>
    </row>
    <row r="483" ht="15.75" customHeight="1">
      <c r="C483" s="29"/>
      <c r="H483" s="31"/>
      <c r="K483" s="32"/>
      <c r="T483" s="35"/>
      <c r="AA483" s="31"/>
      <c r="AF483" s="32"/>
    </row>
    <row r="484" ht="15.75" customHeight="1">
      <c r="C484" s="29"/>
      <c r="H484" s="31"/>
      <c r="K484" s="32"/>
      <c r="T484" s="35"/>
      <c r="AA484" s="31"/>
      <c r="AF484" s="32"/>
    </row>
    <row r="485" ht="15.75" customHeight="1">
      <c r="C485" s="29"/>
      <c r="H485" s="31"/>
      <c r="K485" s="32"/>
      <c r="T485" s="35"/>
      <c r="AA485" s="31"/>
      <c r="AF485" s="32"/>
    </row>
    <row r="486" ht="15.75" customHeight="1">
      <c r="C486" s="29"/>
      <c r="H486" s="31"/>
      <c r="K486" s="32"/>
      <c r="T486" s="35"/>
      <c r="AA486" s="31"/>
      <c r="AF486" s="32"/>
    </row>
    <row r="487" ht="15.75" customHeight="1">
      <c r="C487" s="29"/>
      <c r="H487" s="31"/>
      <c r="K487" s="32"/>
      <c r="T487" s="35"/>
      <c r="AA487" s="31"/>
      <c r="AF487" s="32"/>
    </row>
    <row r="488" ht="15.75" customHeight="1">
      <c r="C488" s="29"/>
      <c r="H488" s="31"/>
      <c r="K488" s="32"/>
      <c r="T488" s="35"/>
      <c r="AA488" s="31"/>
      <c r="AF488" s="32"/>
    </row>
    <row r="489" ht="15.75" customHeight="1">
      <c r="C489" s="29"/>
      <c r="H489" s="31"/>
      <c r="K489" s="32"/>
      <c r="T489" s="35"/>
      <c r="AA489" s="31"/>
      <c r="AF489" s="32"/>
    </row>
    <row r="490" ht="15.75" customHeight="1">
      <c r="C490" s="29"/>
      <c r="H490" s="31"/>
      <c r="K490" s="32"/>
      <c r="T490" s="35"/>
      <c r="AA490" s="31"/>
      <c r="AF490" s="32"/>
    </row>
    <row r="491" ht="15.75" customHeight="1">
      <c r="C491" s="29"/>
      <c r="H491" s="31"/>
      <c r="K491" s="32"/>
      <c r="T491" s="35"/>
      <c r="AA491" s="31"/>
      <c r="AF491" s="32"/>
    </row>
    <row r="492" ht="15.75" customHeight="1">
      <c r="C492" s="29"/>
      <c r="H492" s="31"/>
      <c r="K492" s="32"/>
      <c r="T492" s="35"/>
      <c r="AA492" s="31"/>
      <c r="AF492" s="32"/>
    </row>
    <row r="493" ht="15.75" customHeight="1">
      <c r="C493" s="29"/>
      <c r="H493" s="31"/>
      <c r="K493" s="32"/>
      <c r="T493" s="35"/>
      <c r="AA493" s="31"/>
      <c r="AF493" s="32"/>
    </row>
    <row r="494" ht="15.75" customHeight="1">
      <c r="C494" s="29"/>
      <c r="H494" s="31"/>
      <c r="K494" s="32"/>
      <c r="T494" s="35"/>
      <c r="AA494" s="31"/>
      <c r="AF494" s="32"/>
    </row>
    <row r="495" ht="15.75" customHeight="1">
      <c r="C495" s="29"/>
      <c r="H495" s="31"/>
      <c r="K495" s="32"/>
      <c r="T495" s="35"/>
      <c r="AA495" s="31"/>
      <c r="AF495" s="32"/>
    </row>
    <row r="496" ht="15.75" customHeight="1">
      <c r="C496" s="29"/>
      <c r="H496" s="31"/>
      <c r="K496" s="32"/>
      <c r="T496" s="35"/>
      <c r="AA496" s="31"/>
      <c r="AF496" s="32"/>
    </row>
    <row r="497" ht="15.75" customHeight="1">
      <c r="C497" s="29"/>
      <c r="H497" s="31"/>
      <c r="K497" s="32"/>
      <c r="T497" s="35"/>
      <c r="AA497" s="31"/>
      <c r="AF497" s="32"/>
    </row>
    <row r="498" ht="15.75" customHeight="1">
      <c r="C498" s="29"/>
      <c r="H498" s="31"/>
      <c r="K498" s="32"/>
      <c r="T498" s="35"/>
      <c r="AA498" s="31"/>
      <c r="AF498" s="32"/>
    </row>
    <row r="499" ht="15.75" customHeight="1">
      <c r="C499" s="29"/>
      <c r="H499" s="31"/>
      <c r="K499" s="32"/>
      <c r="T499" s="35"/>
      <c r="AA499" s="31"/>
      <c r="AF499" s="32"/>
    </row>
    <row r="500" ht="15.75" customHeight="1">
      <c r="C500" s="29"/>
      <c r="H500" s="31"/>
      <c r="K500" s="32"/>
      <c r="T500" s="35"/>
      <c r="AA500" s="31"/>
      <c r="AF500" s="32"/>
    </row>
    <row r="501" ht="15.75" customHeight="1">
      <c r="C501" s="29"/>
      <c r="H501" s="31"/>
      <c r="K501" s="32"/>
      <c r="T501" s="35"/>
      <c r="AA501" s="31"/>
      <c r="AF501" s="32"/>
    </row>
    <row r="502" ht="15.75" customHeight="1">
      <c r="C502" s="29"/>
      <c r="H502" s="31"/>
      <c r="K502" s="32"/>
      <c r="T502" s="35"/>
      <c r="AA502" s="31"/>
      <c r="AF502" s="32"/>
    </row>
    <row r="503" ht="15.75" customHeight="1">
      <c r="C503" s="29"/>
      <c r="H503" s="31"/>
      <c r="K503" s="32"/>
      <c r="T503" s="35"/>
      <c r="AA503" s="31"/>
      <c r="AF503" s="32"/>
    </row>
    <row r="504" ht="15.75" customHeight="1">
      <c r="C504" s="29"/>
      <c r="H504" s="31"/>
      <c r="K504" s="32"/>
      <c r="T504" s="35"/>
      <c r="AA504" s="31"/>
      <c r="AF504" s="32"/>
    </row>
    <row r="505" ht="15.75" customHeight="1">
      <c r="C505" s="29"/>
      <c r="H505" s="31"/>
      <c r="K505" s="32"/>
      <c r="T505" s="35"/>
      <c r="AA505" s="31"/>
      <c r="AF505" s="32"/>
    </row>
    <row r="506" ht="15.75" customHeight="1">
      <c r="C506" s="29"/>
      <c r="H506" s="31"/>
      <c r="K506" s="32"/>
      <c r="T506" s="35"/>
      <c r="AA506" s="31"/>
      <c r="AF506" s="32"/>
    </row>
    <row r="507" ht="15.75" customHeight="1">
      <c r="C507" s="29"/>
      <c r="H507" s="31"/>
      <c r="K507" s="32"/>
      <c r="T507" s="35"/>
      <c r="AA507" s="31"/>
      <c r="AF507" s="32"/>
    </row>
    <row r="508" ht="15.75" customHeight="1">
      <c r="C508" s="29"/>
      <c r="H508" s="31"/>
      <c r="K508" s="32"/>
      <c r="T508" s="35"/>
      <c r="AA508" s="31"/>
      <c r="AF508" s="32"/>
    </row>
    <row r="509" ht="15.75" customHeight="1">
      <c r="C509" s="29"/>
      <c r="H509" s="31"/>
      <c r="K509" s="32"/>
      <c r="T509" s="35"/>
      <c r="AA509" s="31"/>
      <c r="AF509" s="32"/>
    </row>
    <row r="510" ht="15.75" customHeight="1">
      <c r="C510" s="29"/>
      <c r="H510" s="31"/>
      <c r="K510" s="32"/>
      <c r="T510" s="35"/>
      <c r="AA510" s="31"/>
      <c r="AF510" s="32"/>
    </row>
    <row r="511" ht="15.75" customHeight="1">
      <c r="C511" s="29"/>
      <c r="H511" s="31"/>
      <c r="K511" s="32"/>
      <c r="T511" s="35"/>
      <c r="AA511" s="31"/>
      <c r="AF511" s="32"/>
    </row>
    <row r="512" ht="15.75" customHeight="1">
      <c r="C512" s="29"/>
      <c r="H512" s="31"/>
      <c r="K512" s="32"/>
      <c r="T512" s="35"/>
      <c r="AA512" s="31"/>
      <c r="AF512" s="32"/>
    </row>
    <row r="513" ht="15.75" customHeight="1">
      <c r="C513" s="29"/>
      <c r="H513" s="31"/>
      <c r="K513" s="32"/>
      <c r="T513" s="35"/>
      <c r="AA513" s="31"/>
      <c r="AF513" s="32"/>
    </row>
    <row r="514" ht="15.75" customHeight="1">
      <c r="C514" s="29"/>
      <c r="H514" s="31"/>
      <c r="K514" s="32"/>
      <c r="T514" s="35"/>
      <c r="AA514" s="31"/>
      <c r="AF514" s="32"/>
    </row>
    <row r="515" ht="15.75" customHeight="1">
      <c r="C515" s="29"/>
      <c r="H515" s="31"/>
      <c r="K515" s="32"/>
      <c r="T515" s="35"/>
      <c r="AA515" s="31"/>
      <c r="AF515" s="32"/>
    </row>
    <row r="516" ht="15.75" customHeight="1">
      <c r="C516" s="29"/>
      <c r="H516" s="31"/>
      <c r="K516" s="32"/>
      <c r="T516" s="35"/>
      <c r="AA516" s="31"/>
      <c r="AF516" s="32"/>
    </row>
    <row r="517" ht="15.75" customHeight="1">
      <c r="C517" s="29"/>
      <c r="H517" s="31"/>
      <c r="K517" s="32"/>
      <c r="T517" s="35"/>
      <c r="AA517" s="31"/>
      <c r="AF517" s="32"/>
    </row>
    <row r="518" ht="15.75" customHeight="1">
      <c r="C518" s="29"/>
      <c r="H518" s="31"/>
      <c r="K518" s="32"/>
      <c r="T518" s="35"/>
      <c r="AA518" s="31"/>
      <c r="AF518" s="32"/>
    </row>
    <row r="519" ht="15.75" customHeight="1">
      <c r="C519" s="29"/>
      <c r="H519" s="31"/>
      <c r="K519" s="32"/>
      <c r="T519" s="35"/>
      <c r="AA519" s="31"/>
      <c r="AF519" s="32"/>
    </row>
    <row r="520" ht="15.75" customHeight="1">
      <c r="C520" s="29"/>
      <c r="H520" s="31"/>
      <c r="K520" s="32"/>
      <c r="T520" s="35"/>
      <c r="AA520" s="31"/>
      <c r="AF520" s="32"/>
    </row>
    <row r="521" ht="15.75" customHeight="1">
      <c r="C521" s="29"/>
      <c r="H521" s="31"/>
      <c r="K521" s="32"/>
      <c r="T521" s="35"/>
      <c r="AA521" s="31"/>
      <c r="AF521" s="32"/>
    </row>
    <row r="522" ht="15.75" customHeight="1">
      <c r="C522" s="29"/>
      <c r="H522" s="31"/>
      <c r="K522" s="32"/>
      <c r="T522" s="35"/>
      <c r="AA522" s="31"/>
      <c r="AF522" s="32"/>
    </row>
    <row r="523" ht="15.75" customHeight="1">
      <c r="C523" s="29"/>
      <c r="H523" s="31"/>
      <c r="K523" s="32"/>
      <c r="T523" s="35"/>
      <c r="AA523" s="31"/>
      <c r="AF523" s="32"/>
    </row>
    <row r="524" ht="15.75" customHeight="1">
      <c r="C524" s="29"/>
      <c r="H524" s="31"/>
      <c r="K524" s="32"/>
      <c r="T524" s="35"/>
      <c r="AA524" s="31"/>
      <c r="AF524" s="32"/>
    </row>
    <row r="525" ht="15.75" customHeight="1">
      <c r="C525" s="29"/>
      <c r="H525" s="31"/>
      <c r="K525" s="32"/>
      <c r="T525" s="35"/>
      <c r="AA525" s="31"/>
      <c r="AF525" s="32"/>
    </row>
    <row r="526" ht="15.75" customHeight="1">
      <c r="C526" s="29"/>
      <c r="H526" s="31"/>
      <c r="K526" s="32"/>
      <c r="T526" s="35"/>
      <c r="AA526" s="31"/>
      <c r="AF526" s="32"/>
    </row>
    <row r="527" ht="15.75" customHeight="1">
      <c r="C527" s="29"/>
      <c r="H527" s="31"/>
      <c r="K527" s="32"/>
      <c r="T527" s="35"/>
      <c r="AA527" s="31"/>
      <c r="AF527" s="32"/>
    </row>
    <row r="528" ht="15.75" customHeight="1">
      <c r="C528" s="29"/>
      <c r="H528" s="31"/>
      <c r="K528" s="32"/>
      <c r="T528" s="35"/>
      <c r="AA528" s="31"/>
      <c r="AF528" s="32"/>
    </row>
    <row r="529" ht="15.75" customHeight="1">
      <c r="C529" s="29"/>
      <c r="H529" s="31"/>
      <c r="K529" s="32"/>
      <c r="T529" s="35"/>
      <c r="AA529" s="31"/>
      <c r="AF529" s="32"/>
    </row>
    <row r="530" ht="15.75" customHeight="1">
      <c r="C530" s="29"/>
      <c r="H530" s="31"/>
      <c r="K530" s="32"/>
      <c r="T530" s="35"/>
      <c r="AA530" s="31"/>
      <c r="AF530" s="32"/>
    </row>
    <row r="531" ht="15.75" customHeight="1">
      <c r="C531" s="29"/>
      <c r="H531" s="31"/>
      <c r="K531" s="32"/>
      <c r="T531" s="35"/>
      <c r="AA531" s="31"/>
      <c r="AF531" s="32"/>
    </row>
    <row r="532" ht="15.75" customHeight="1">
      <c r="C532" s="29"/>
      <c r="H532" s="31"/>
      <c r="K532" s="32"/>
      <c r="T532" s="35"/>
      <c r="AA532" s="31"/>
      <c r="AF532" s="32"/>
    </row>
    <row r="533" ht="15.75" customHeight="1">
      <c r="C533" s="29"/>
      <c r="H533" s="31"/>
      <c r="K533" s="32"/>
      <c r="T533" s="35"/>
      <c r="AA533" s="31"/>
      <c r="AF533" s="32"/>
    </row>
    <row r="534" ht="15.75" customHeight="1">
      <c r="C534" s="29"/>
      <c r="H534" s="31"/>
      <c r="K534" s="32"/>
      <c r="T534" s="35"/>
      <c r="AA534" s="31"/>
      <c r="AF534" s="32"/>
    </row>
    <row r="535" ht="15.75" customHeight="1">
      <c r="C535" s="29"/>
      <c r="H535" s="31"/>
      <c r="K535" s="32"/>
      <c r="T535" s="35"/>
      <c r="AA535" s="31"/>
      <c r="AF535" s="32"/>
    </row>
    <row r="536" ht="15.75" customHeight="1">
      <c r="C536" s="29"/>
      <c r="H536" s="31"/>
      <c r="K536" s="32"/>
      <c r="T536" s="35"/>
      <c r="AA536" s="31"/>
      <c r="AF536" s="32"/>
    </row>
    <row r="537" ht="15.75" customHeight="1">
      <c r="C537" s="29"/>
      <c r="H537" s="31"/>
      <c r="K537" s="32"/>
      <c r="T537" s="35"/>
      <c r="AA537" s="31"/>
      <c r="AF537" s="32"/>
    </row>
    <row r="538" ht="15.75" customHeight="1">
      <c r="C538" s="29"/>
      <c r="H538" s="31"/>
      <c r="K538" s="32"/>
      <c r="T538" s="35"/>
      <c r="AA538" s="31"/>
      <c r="AF538" s="32"/>
    </row>
    <row r="539" ht="15.75" customHeight="1">
      <c r="C539" s="29"/>
      <c r="H539" s="31"/>
      <c r="K539" s="32"/>
      <c r="T539" s="35"/>
      <c r="AA539" s="31"/>
      <c r="AF539" s="32"/>
    </row>
    <row r="540" ht="15.75" customHeight="1">
      <c r="C540" s="29"/>
      <c r="H540" s="31"/>
      <c r="K540" s="32"/>
      <c r="T540" s="35"/>
      <c r="AA540" s="31"/>
      <c r="AF540" s="32"/>
    </row>
    <row r="541" ht="15.75" customHeight="1">
      <c r="C541" s="29"/>
      <c r="H541" s="31"/>
      <c r="K541" s="32"/>
      <c r="T541" s="35"/>
      <c r="AA541" s="31"/>
      <c r="AF541" s="32"/>
    </row>
    <row r="542" ht="15.75" customHeight="1">
      <c r="C542" s="29"/>
      <c r="H542" s="31"/>
      <c r="K542" s="32"/>
      <c r="T542" s="35"/>
      <c r="AA542" s="31"/>
      <c r="AF542" s="32"/>
    </row>
    <row r="543" ht="15.75" customHeight="1">
      <c r="C543" s="29"/>
      <c r="H543" s="31"/>
      <c r="K543" s="32"/>
      <c r="T543" s="35"/>
      <c r="AA543" s="31"/>
      <c r="AF543" s="32"/>
    </row>
    <row r="544" ht="15.75" customHeight="1">
      <c r="C544" s="29"/>
      <c r="H544" s="31"/>
      <c r="K544" s="32"/>
      <c r="T544" s="35"/>
      <c r="AA544" s="31"/>
      <c r="AF544" s="32"/>
    </row>
    <row r="545" ht="15.75" customHeight="1">
      <c r="C545" s="29"/>
      <c r="H545" s="31"/>
      <c r="K545" s="32"/>
      <c r="T545" s="35"/>
      <c r="AA545" s="31"/>
      <c r="AF545" s="32"/>
    </row>
    <row r="546" ht="15.75" customHeight="1">
      <c r="C546" s="29"/>
      <c r="H546" s="31"/>
      <c r="K546" s="32"/>
      <c r="T546" s="35"/>
      <c r="AA546" s="31"/>
      <c r="AF546" s="32"/>
    </row>
    <row r="547" ht="15.75" customHeight="1">
      <c r="C547" s="29"/>
      <c r="H547" s="31"/>
      <c r="K547" s="32"/>
      <c r="T547" s="35"/>
      <c r="AA547" s="31"/>
      <c r="AF547" s="32"/>
    </row>
    <row r="548" ht="15.75" customHeight="1">
      <c r="C548" s="29"/>
      <c r="H548" s="31"/>
      <c r="K548" s="32"/>
      <c r="T548" s="35"/>
      <c r="AA548" s="31"/>
      <c r="AF548" s="32"/>
    </row>
    <row r="549" ht="15.75" customHeight="1">
      <c r="C549" s="29"/>
      <c r="H549" s="31"/>
      <c r="K549" s="32"/>
      <c r="T549" s="35"/>
      <c r="AA549" s="31"/>
      <c r="AF549" s="32"/>
    </row>
    <row r="550" ht="15.75" customHeight="1">
      <c r="C550" s="29"/>
      <c r="H550" s="31"/>
      <c r="K550" s="32"/>
      <c r="T550" s="35"/>
      <c r="AA550" s="31"/>
      <c r="AF550" s="32"/>
    </row>
    <row r="551" ht="15.75" customHeight="1">
      <c r="C551" s="29"/>
      <c r="H551" s="31"/>
      <c r="K551" s="32"/>
      <c r="T551" s="35"/>
      <c r="AA551" s="31"/>
      <c r="AF551" s="32"/>
    </row>
    <row r="552" ht="15.75" customHeight="1">
      <c r="C552" s="29"/>
      <c r="H552" s="31"/>
      <c r="K552" s="32"/>
      <c r="T552" s="35"/>
      <c r="AA552" s="31"/>
      <c r="AF552" s="32"/>
    </row>
    <row r="553" ht="15.75" customHeight="1">
      <c r="C553" s="29"/>
      <c r="H553" s="31"/>
      <c r="K553" s="32"/>
      <c r="T553" s="35"/>
      <c r="AA553" s="31"/>
      <c r="AF553" s="32"/>
    </row>
    <row r="554" ht="15.75" customHeight="1">
      <c r="C554" s="29"/>
      <c r="H554" s="31"/>
      <c r="K554" s="32"/>
      <c r="T554" s="35"/>
      <c r="AA554" s="31"/>
      <c r="AF554" s="32"/>
    </row>
    <row r="555" ht="15.75" customHeight="1">
      <c r="C555" s="29"/>
      <c r="H555" s="31"/>
      <c r="K555" s="32"/>
      <c r="T555" s="35"/>
      <c r="AA555" s="31"/>
      <c r="AF555" s="32"/>
    </row>
    <row r="556" ht="15.75" customHeight="1">
      <c r="C556" s="29"/>
      <c r="H556" s="31"/>
      <c r="K556" s="32"/>
      <c r="T556" s="35"/>
      <c r="AA556" s="31"/>
      <c r="AF556" s="32"/>
    </row>
    <row r="557" ht="15.75" customHeight="1">
      <c r="C557" s="29"/>
      <c r="H557" s="31"/>
      <c r="K557" s="32"/>
      <c r="T557" s="35"/>
      <c r="AA557" s="31"/>
      <c r="AF557" s="32"/>
    </row>
    <row r="558" ht="15.75" customHeight="1">
      <c r="C558" s="29"/>
      <c r="H558" s="31"/>
      <c r="K558" s="32"/>
      <c r="T558" s="35"/>
      <c r="AA558" s="31"/>
      <c r="AF558" s="32"/>
    </row>
    <row r="559" ht="15.75" customHeight="1">
      <c r="C559" s="29"/>
      <c r="H559" s="31"/>
      <c r="K559" s="32"/>
      <c r="T559" s="35"/>
      <c r="AA559" s="31"/>
      <c r="AF559" s="32"/>
    </row>
    <row r="560" ht="15.75" customHeight="1">
      <c r="C560" s="29"/>
      <c r="H560" s="31"/>
      <c r="K560" s="32"/>
      <c r="T560" s="35"/>
      <c r="AA560" s="31"/>
      <c r="AF560" s="32"/>
    </row>
    <row r="561" ht="15.75" customHeight="1">
      <c r="C561" s="29"/>
      <c r="H561" s="31"/>
      <c r="K561" s="32"/>
      <c r="T561" s="35"/>
      <c r="AA561" s="31"/>
      <c r="AF561" s="32"/>
    </row>
    <row r="562" ht="15.75" customHeight="1">
      <c r="C562" s="29"/>
      <c r="H562" s="31"/>
      <c r="K562" s="32"/>
      <c r="T562" s="35"/>
      <c r="AA562" s="31"/>
      <c r="AF562" s="32"/>
    </row>
    <row r="563" ht="15.75" customHeight="1">
      <c r="C563" s="29"/>
      <c r="H563" s="31"/>
      <c r="K563" s="32"/>
      <c r="T563" s="35"/>
      <c r="AA563" s="31"/>
      <c r="AF563" s="32"/>
    </row>
    <row r="564" ht="15.75" customHeight="1">
      <c r="C564" s="29"/>
      <c r="H564" s="31"/>
      <c r="K564" s="32"/>
      <c r="T564" s="35"/>
      <c r="AA564" s="31"/>
      <c r="AF564" s="32"/>
    </row>
    <row r="565" ht="15.75" customHeight="1">
      <c r="C565" s="29"/>
      <c r="H565" s="31"/>
      <c r="K565" s="32"/>
      <c r="T565" s="35"/>
      <c r="AA565" s="31"/>
      <c r="AF565" s="32"/>
    </row>
    <row r="566" ht="15.75" customHeight="1">
      <c r="C566" s="29"/>
      <c r="H566" s="31"/>
      <c r="K566" s="32"/>
      <c r="T566" s="35"/>
      <c r="AA566" s="31"/>
      <c r="AF566" s="32"/>
    </row>
    <row r="567" ht="15.75" customHeight="1">
      <c r="C567" s="29"/>
      <c r="H567" s="31"/>
      <c r="K567" s="32"/>
      <c r="T567" s="35"/>
      <c r="AA567" s="31"/>
      <c r="AF567" s="32"/>
    </row>
    <row r="568" ht="15.75" customHeight="1">
      <c r="C568" s="29"/>
      <c r="H568" s="31"/>
      <c r="K568" s="32"/>
      <c r="T568" s="35"/>
      <c r="AA568" s="31"/>
      <c r="AF568" s="32"/>
    </row>
    <row r="569" ht="15.75" customHeight="1">
      <c r="C569" s="29"/>
      <c r="H569" s="31"/>
      <c r="K569" s="32"/>
      <c r="T569" s="35"/>
      <c r="AA569" s="31"/>
      <c r="AF569" s="32"/>
    </row>
    <row r="570" ht="15.75" customHeight="1">
      <c r="C570" s="29"/>
      <c r="H570" s="31"/>
      <c r="K570" s="32"/>
      <c r="T570" s="35"/>
      <c r="AA570" s="31"/>
      <c r="AF570" s="32"/>
    </row>
    <row r="571" ht="15.75" customHeight="1">
      <c r="C571" s="29"/>
      <c r="H571" s="31"/>
      <c r="K571" s="32"/>
      <c r="T571" s="35"/>
      <c r="AA571" s="31"/>
      <c r="AF571" s="32"/>
    </row>
    <row r="572" ht="15.75" customHeight="1">
      <c r="C572" s="29"/>
      <c r="H572" s="31"/>
      <c r="K572" s="32"/>
      <c r="T572" s="35"/>
      <c r="AA572" s="31"/>
      <c r="AF572" s="32"/>
    </row>
    <row r="573" ht="15.75" customHeight="1">
      <c r="C573" s="29"/>
      <c r="H573" s="31"/>
      <c r="K573" s="32"/>
      <c r="T573" s="35"/>
      <c r="AA573" s="31"/>
      <c r="AF573" s="32"/>
    </row>
    <row r="574" ht="15.75" customHeight="1">
      <c r="C574" s="29"/>
      <c r="H574" s="31"/>
      <c r="K574" s="32"/>
      <c r="T574" s="35"/>
      <c r="AA574" s="31"/>
      <c r="AF574" s="32"/>
    </row>
    <row r="575" ht="15.75" customHeight="1">
      <c r="C575" s="29"/>
      <c r="H575" s="31"/>
      <c r="K575" s="32"/>
      <c r="T575" s="35"/>
      <c r="AA575" s="31"/>
      <c r="AF575" s="32"/>
    </row>
    <row r="576" ht="15.75" customHeight="1">
      <c r="C576" s="29"/>
      <c r="H576" s="31"/>
      <c r="K576" s="32"/>
      <c r="T576" s="35"/>
      <c r="AA576" s="31"/>
      <c r="AF576" s="32"/>
    </row>
    <row r="577" ht="15.75" customHeight="1">
      <c r="C577" s="29"/>
      <c r="H577" s="31"/>
      <c r="K577" s="32"/>
      <c r="T577" s="35"/>
      <c r="AA577" s="31"/>
      <c r="AF577" s="32"/>
    </row>
    <row r="578" ht="15.75" customHeight="1">
      <c r="C578" s="29"/>
      <c r="H578" s="31"/>
      <c r="K578" s="32"/>
      <c r="T578" s="35"/>
      <c r="AA578" s="31"/>
      <c r="AF578" s="32"/>
    </row>
    <row r="579" ht="15.75" customHeight="1">
      <c r="C579" s="29"/>
      <c r="H579" s="31"/>
      <c r="K579" s="32"/>
      <c r="T579" s="35"/>
      <c r="AA579" s="31"/>
      <c r="AF579" s="32"/>
    </row>
    <row r="580" ht="15.75" customHeight="1">
      <c r="C580" s="29"/>
      <c r="H580" s="31"/>
      <c r="K580" s="32"/>
      <c r="T580" s="35"/>
      <c r="AA580" s="31"/>
      <c r="AF580" s="32"/>
    </row>
    <row r="581" ht="15.75" customHeight="1">
      <c r="C581" s="29"/>
      <c r="H581" s="31"/>
      <c r="K581" s="32"/>
      <c r="T581" s="35"/>
      <c r="AA581" s="31"/>
      <c r="AF581" s="32"/>
    </row>
    <row r="582" ht="15.75" customHeight="1">
      <c r="C582" s="29"/>
      <c r="H582" s="31"/>
      <c r="K582" s="32"/>
      <c r="T582" s="35"/>
      <c r="AA582" s="31"/>
      <c r="AF582" s="32"/>
    </row>
    <row r="583" ht="15.75" customHeight="1">
      <c r="C583" s="29"/>
      <c r="H583" s="31"/>
      <c r="K583" s="32"/>
      <c r="T583" s="35"/>
      <c r="AA583" s="31"/>
      <c r="AF583" s="32"/>
    </row>
    <row r="584" ht="15.75" customHeight="1">
      <c r="C584" s="29"/>
      <c r="H584" s="31"/>
      <c r="K584" s="32"/>
      <c r="T584" s="35"/>
      <c r="AA584" s="31"/>
      <c r="AF584" s="32"/>
    </row>
    <row r="585" ht="15.75" customHeight="1">
      <c r="C585" s="29"/>
      <c r="H585" s="31"/>
      <c r="K585" s="32"/>
      <c r="T585" s="35"/>
      <c r="AA585" s="31"/>
      <c r="AF585" s="32"/>
    </row>
    <row r="586" ht="15.75" customHeight="1">
      <c r="C586" s="29"/>
      <c r="H586" s="31"/>
      <c r="K586" s="32"/>
      <c r="T586" s="35"/>
      <c r="AA586" s="31"/>
      <c r="AF586" s="32"/>
    </row>
    <row r="587" ht="15.75" customHeight="1">
      <c r="C587" s="29"/>
      <c r="H587" s="31"/>
      <c r="K587" s="32"/>
      <c r="T587" s="35"/>
      <c r="AA587" s="31"/>
      <c r="AF587" s="32"/>
    </row>
    <row r="588" ht="15.75" customHeight="1">
      <c r="C588" s="29"/>
      <c r="H588" s="31"/>
      <c r="K588" s="32"/>
      <c r="T588" s="35"/>
      <c r="AA588" s="31"/>
      <c r="AF588" s="32"/>
    </row>
    <row r="589" ht="15.75" customHeight="1">
      <c r="C589" s="29"/>
      <c r="H589" s="31"/>
      <c r="K589" s="32"/>
      <c r="T589" s="35"/>
      <c r="AA589" s="31"/>
      <c r="AF589" s="32"/>
    </row>
    <row r="590" ht="15.75" customHeight="1">
      <c r="C590" s="29"/>
      <c r="H590" s="31"/>
      <c r="K590" s="32"/>
      <c r="T590" s="35"/>
      <c r="AA590" s="31"/>
      <c r="AF590" s="32"/>
    </row>
    <row r="591" ht="15.75" customHeight="1">
      <c r="C591" s="29"/>
      <c r="H591" s="31"/>
      <c r="K591" s="32"/>
      <c r="T591" s="35"/>
      <c r="AA591" s="31"/>
      <c r="AF591" s="32"/>
    </row>
    <row r="592" ht="15.75" customHeight="1">
      <c r="C592" s="29"/>
      <c r="H592" s="31"/>
      <c r="K592" s="32"/>
      <c r="T592" s="35"/>
      <c r="AA592" s="31"/>
      <c r="AF592" s="32"/>
    </row>
    <row r="593" ht="15.75" customHeight="1">
      <c r="C593" s="29"/>
      <c r="H593" s="31"/>
      <c r="K593" s="32"/>
      <c r="T593" s="35"/>
      <c r="AA593" s="31"/>
      <c r="AF593" s="32"/>
    </row>
    <row r="594" ht="15.75" customHeight="1">
      <c r="C594" s="29"/>
      <c r="H594" s="31"/>
      <c r="K594" s="32"/>
      <c r="T594" s="35"/>
      <c r="AA594" s="31"/>
      <c r="AF594" s="32"/>
    </row>
    <row r="595" ht="15.75" customHeight="1">
      <c r="C595" s="29"/>
      <c r="H595" s="31"/>
      <c r="K595" s="32"/>
      <c r="T595" s="35"/>
      <c r="AA595" s="31"/>
      <c r="AF595" s="32"/>
    </row>
    <row r="596" ht="15.75" customHeight="1">
      <c r="C596" s="29"/>
      <c r="H596" s="31"/>
      <c r="K596" s="32"/>
      <c r="T596" s="35"/>
      <c r="AA596" s="31"/>
      <c r="AF596" s="32"/>
    </row>
    <row r="597" ht="15.75" customHeight="1">
      <c r="C597" s="29"/>
      <c r="H597" s="31"/>
      <c r="K597" s="32"/>
      <c r="T597" s="35"/>
      <c r="AA597" s="31"/>
      <c r="AF597" s="32"/>
    </row>
    <row r="598" ht="15.75" customHeight="1">
      <c r="C598" s="29"/>
      <c r="H598" s="31"/>
      <c r="K598" s="32"/>
      <c r="T598" s="35"/>
      <c r="AA598" s="31"/>
      <c r="AF598" s="32"/>
    </row>
    <row r="599" ht="15.75" customHeight="1">
      <c r="C599" s="29"/>
      <c r="H599" s="31"/>
      <c r="K599" s="32"/>
      <c r="T599" s="35"/>
      <c r="AA599" s="31"/>
      <c r="AF599" s="32"/>
    </row>
    <row r="600" ht="15.75" customHeight="1">
      <c r="C600" s="29"/>
      <c r="H600" s="31"/>
      <c r="K600" s="32"/>
      <c r="T600" s="35"/>
      <c r="AA600" s="31"/>
      <c r="AF600" s="32"/>
    </row>
    <row r="601" ht="15.75" customHeight="1">
      <c r="C601" s="29"/>
      <c r="H601" s="31"/>
      <c r="K601" s="32"/>
      <c r="T601" s="35"/>
      <c r="AA601" s="31"/>
      <c r="AF601" s="32"/>
    </row>
    <row r="602" ht="15.75" customHeight="1">
      <c r="C602" s="29"/>
      <c r="H602" s="31"/>
      <c r="K602" s="32"/>
      <c r="T602" s="35"/>
      <c r="AA602" s="31"/>
      <c r="AF602" s="32"/>
    </row>
    <row r="603" ht="15.75" customHeight="1">
      <c r="C603" s="29"/>
      <c r="H603" s="31"/>
      <c r="K603" s="32"/>
      <c r="T603" s="35"/>
      <c r="AA603" s="31"/>
      <c r="AF603" s="32"/>
    </row>
    <row r="604" ht="15.75" customHeight="1">
      <c r="C604" s="29"/>
      <c r="H604" s="31"/>
      <c r="K604" s="32"/>
      <c r="T604" s="35"/>
      <c r="AA604" s="31"/>
      <c r="AF604" s="32"/>
    </row>
    <row r="605" ht="15.75" customHeight="1">
      <c r="C605" s="29"/>
      <c r="H605" s="31"/>
      <c r="K605" s="32"/>
      <c r="T605" s="35"/>
      <c r="AA605" s="31"/>
      <c r="AF605" s="32"/>
    </row>
    <row r="606" ht="15.75" customHeight="1">
      <c r="C606" s="29"/>
      <c r="H606" s="31"/>
      <c r="K606" s="32"/>
      <c r="T606" s="35"/>
      <c r="AA606" s="31"/>
      <c r="AF606" s="32"/>
    </row>
    <row r="607" ht="15.75" customHeight="1">
      <c r="C607" s="29"/>
      <c r="H607" s="31"/>
      <c r="K607" s="32"/>
      <c r="T607" s="35"/>
      <c r="AA607" s="31"/>
      <c r="AF607" s="32"/>
    </row>
    <row r="608" ht="15.75" customHeight="1">
      <c r="C608" s="29"/>
      <c r="H608" s="31"/>
      <c r="K608" s="32"/>
      <c r="T608" s="35"/>
      <c r="AA608" s="31"/>
      <c r="AF608" s="32"/>
    </row>
    <row r="609" ht="15.75" customHeight="1">
      <c r="C609" s="29"/>
      <c r="H609" s="31"/>
      <c r="K609" s="32"/>
      <c r="T609" s="35"/>
      <c r="AA609" s="31"/>
      <c r="AF609" s="32"/>
    </row>
    <row r="610" ht="15.75" customHeight="1">
      <c r="C610" s="29"/>
      <c r="H610" s="31"/>
      <c r="K610" s="32"/>
      <c r="T610" s="35"/>
      <c r="AA610" s="31"/>
      <c r="AF610" s="32"/>
    </row>
    <row r="611" ht="15.75" customHeight="1">
      <c r="C611" s="29"/>
      <c r="H611" s="31"/>
      <c r="K611" s="32"/>
      <c r="T611" s="35"/>
      <c r="AA611" s="31"/>
      <c r="AF611" s="32"/>
    </row>
    <row r="612" ht="15.75" customHeight="1">
      <c r="C612" s="29"/>
      <c r="H612" s="31"/>
      <c r="K612" s="32"/>
      <c r="T612" s="35"/>
      <c r="AA612" s="31"/>
      <c r="AF612" s="32"/>
    </row>
    <row r="613" ht="15.75" customHeight="1">
      <c r="C613" s="29"/>
      <c r="H613" s="31"/>
      <c r="K613" s="32"/>
      <c r="T613" s="35"/>
      <c r="AA613" s="31"/>
      <c r="AF613" s="32"/>
    </row>
    <row r="614" ht="15.75" customHeight="1">
      <c r="C614" s="29"/>
      <c r="H614" s="31"/>
      <c r="K614" s="32"/>
      <c r="T614" s="35"/>
      <c r="AA614" s="31"/>
      <c r="AF614" s="32"/>
    </row>
    <row r="615" ht="15.75" customHeight="1">
      <c r="C615" s="29"/>
      <c r="H615" s="31"/>
      <c r="K615" s="32"/>
      <c r="T615" s="35"/>
      <c r="AA615" s="31"/>
      <c r="AF615" s="32"/>
    </row>
    <row r="616" ht="15.75" customHeight="1">
      <c r="C616" s="29"/>
      <c r="H616" s="31"/>
      <c r="K616" s="32"/>
      <c r="T616" s="35"/>
      <c r="AA616" s="31"/>
      <c r="AF616" s="32"/>
    </row>
    <row r="617" ht="15.75" customHeight="1">
      <c r="C617" s="29"/>
      <c r="H617" s="31"/>
      <c r="K617" s="32"/>
      <c r="T617" s="35"/>
      <c r="AA617" s="31"/>
      <c r="AF617" s="32"/>
    </row>
    <row r="618" ht="15.75" customHeight="1">
      <c r="C618" s="29"/>
      <c r="H618" s="31"/>
      <c r="K618" s="32"/>
      <c r="T618" s="35"/>
      <c r="AA618" s="31"/>
      <c r="AF618" s="32"/>
    </row>
    <row r="619" ht="15.75" customHeight="1">
      <c r="C619" s="29"/>
      <c r="H619" s="31"/>
      <c r="K619" s="32"/>
      <c r="T619" s="35"/>
      <c r="AA619" s="31"/>
      <c r="AF619" s="32"/>
    </row>
    <row r="620" ht="15.75" customHeight="1">
      <c r="C620" s="29"/>
      <c r="H620" s="31"/>
      <c r="K620" s="32"/>
      <c r="T620" s="35"/>
      <c r="AA620" s="31"/>
      <c r="AF620" s="32"/>
    </row>
    <row r="621" ht="15.75" customHeight="1">
      <c r="C621" s="29"/>
      <c r="H621" s="31"/>
      <c r="K621" s="32"/>
      <c r="T621" s="35"/>
      <c r="AA621" s="31"/>
      <c r="AF621" s="32"/>
    </row>
    <row r="622" ht="15.75" customHeight="1">
      <c r="C622" s="29"/>
      <c r="H622" s="31"/>
      <c r="K622" s="32"/>
      <c r="T622" s="35"/>
      <c r="AA622" s="31"/>
      <c r="AF622" s="32"/>
    </row>
    <row r="623" ht="15.75" customHeight="1">
      <c r="C623" s="29"/>
      <c r="H623" s="31"/>
      <c r="K623" s="32"/>
      <c r="T623" s="35"/>
      <c r="AA623" s="31"/>
      <c r="AF623" s="32"/>
    </row>
    <row r="624" ht="15.75" customHeight="1">
      <c r="C624" s="29"/>
      <c r="H624" s="31"/>
      <c r="K624" s="32"/>
      <c r="T624" s="35"/>
      <c r="AA624" s="31"/>
      <c r="AF624" s="32"/>
    </row>
    <row r="625" ht="15.75" customHeight="1">
      <c r="C625" s="29"/>
      <c r="H625" s="31"/>
      <c r="K625" s="32"/>
      <c r="T625" s="35"/>
      <c r="AA625" s="31"/>
      <c r="AF625" s="32"/>
    </row>
    <row r="626" ht="15.75" customHeight="1">
      <c r="C626" s="29"/>
      <c r="H626" s="31"/>
      <c r="K626" s="32"/>
      <c r="T626" s="35"/>
      <c r="AA626" s="31"/>
      <c r="AF626" s="32"/>
    </row>
    <row r="627" ht="15.75" customHeight="1">
      <c r="C627" s="29"/>
      <c r="H627" s="31"/>
      <c r="K627" s="32"/>
      <c r="T627" s="35"/>
      <c r="AA627" s="31"/>
      <c r="AF627" s="32"/>
    </row>
    <row r="628" ht="15.75" customHeight="1">
      <c r="C628" s="29"/>
      <c r="H628" s="31"/>
      <c r="K628" s="32"/>
      <c r="T628" s="35"/>
      <c r="AA628" s="31"/>
      <c r="AF628" s="32"/>
    </row>
    <row r="629" ht="15.75" customHeight="1">
      <c r="C629" s="29"/>
      <c r="H629" s="31"/>
      <c r="K629" s="32"/>
      <c r="T629" s="35"/>
      <c r="AA629" s="31"/>
      <c r="AF629" s="32"/>
    </row>
    <row r="630" ht="15.75" customHeight="1">
      <c r="C630" s="29"/>
      <c r="H630" s="31"/>
      <c r="K630" s="32"/>
      <c r="T630" s="35"/>
      <c r="AA630" s="31"/>
      <c r="AF630" s="32"/>
    </row>
    <row r="631" ht="15.75" customHeight="1">
      <c r="C631" s="29"/>
      <c r="H631" s="31"/>
      <c r="K631" s="32"/>
      <c r="T631" s="35"/>
      <c r="AA631" s="31"/>
      <c r="AF631" s="32"/>
    </row>
    <row r="632" ht="15.75" customHeight="1">
      <c r="C632" s="29"/>
      <c r="H632" s="31"/>
      <c r="K632" s="32"/>
      <c r="T632" s="35"/>
      <c r="AA632" s="31"/>
      <c r="AF632" s="32"/>
    </row>
    <row r="633" ht="15.75" customHeight="1">
      <c r="C633" s="29"/>
      <c r="H633" s="31"/>
      <c r="K633" s="32"/>
      <c r="T633" s="35"/>
      <c r="AA633" s="31"/>
      <c r="AF633" s="32"/>
    </row>
    <row r="634" ht="15.75" customHeight="1">
      <c r="C634" s="29"/>
      <c r="H634" s="31"/>
      <c r="K634" s="32"/>
      <c r="T634" s="35"/>
      <c r="AA634" s="31"/>
      <c r="AF634" s="32"/>
    </row>
    <row r="635" ht="15.75" customHeight="1">
      <c r="C635" s="29"/>
      <c r="H635" s="31"/>
      <c r="K635" s="32"/>
      <c r="T635" s="35"/>
      <c r="AA635" s="31"/>
      <c r="AF635" s="32"/>
    </row>
    <row r="636" ht="15.75" customHeight="1">
      <c r="C636" s="29"/>
      <c r="H636" s="31"/>
      <c r="K636" s="32"/>
      <c r="T636" s="35"/>
      <c r="AA636" s="31"/>
      <c r="AF636" s="32"/>
    </row>
    <row r="637" ht="15.75" customHeight="1">
      <c r="C637" s="29"/>
      <c r="H637" s="31"/>
      <c r="K637" s="32"/>
      <c r="T637" s="35"/>
      <c r="AA637" s="31"/>
      <c r="AF637" s="32"/>
    </row>
    <row r="638" ht="15.75" customHeight="1">
      <c r="C638" s="29"/>
      <c r="H638" s="31"/>
      <c r="K638" s="32"/>
      <c r="T638" s="35"/>
      <c r="AA638" s="31"/>
      <c r="AF638" s="32"/>
    </row>
    <row r="639" ht="15.75" customHeight="1">
      <c r="C639" s="29"/>
      <c r="H639" s="31"/>
      <c r="K639" s="32"/>
      <c r="T639" s="35"/>
      <c r="AA639" s="31"/>
      <c r="AF639" s="32"/>
    </row>
    <row r="640" ht="15.75" customHeight="1">
      <c r="C640" s="29"/>
      <c r="H640" s="31"/>
      <c r="K640" s="32"/>
      <c r="T640" s="35"/>
      <c r="AA640" s="31"/>
      <c r="AF640" s="32"/>
    </row>
    <row r="641" ht="15.75" customHeight="1">
      <c r="C641" s="29"/>
      <c r="H641" s="31"/>
      <c r="K641" s="32"/>
      <c r="T641" s="35"/>
      <c r="AA641" s="31"/>
      <c r="AF641" s="32"/>
    </row>
    <row r="642" ht="15.75" customHeight="1">
      <c r="C642" s="29"/>
      <c r="H642" s="31"/>
      <c r="K642" s="32"/>
      <c r="T642" s="35"/>
      <c r="AA642" s="31"/>
      <c r="AF642" s="32"/>
    </row>
    <row r="643" ht="15.75" customHeight="1">
      <c r="C643" s="29"/>
      <c r="H643" s="31"/>
      <c r="K643" s="32"/>
      <c r="T643" s="35"/>
      <c r="AA643" s="31"/>
      <c r="AF643" s="32"/>
    </row>
    <row r="644" ht="15.75" customHeight="1">
      <c r="C644" s="29"/>
      <c r="H644" s="31"/>
      <c r="K644" s="32"/>
      <c r="T644" s="35"/>
      <c r="AA644" s="31"/>
      <c r="AF644" s="32"/>
    </row>
    <row r="645" ht="15.75" customHeight="1">
      <c r="C645" s="29"/>
      <c r="H645" s="31"/>
      <c r="K645" s="32"/>
      <c r="T645" s="35"/>
      <c r="AA645" s="31"/>
      <c r="AF645" s="32"/>
    </row>
    <row r="646" ht="15.75" customHeight="1">
      <c r="C646" s="29"/>
      <c r="H646" s="31"/>
      <c r="K646" s="32"/>
      <c r="T646" s="35"/>
      <c r="AA646" s="31"/>
      <c r="AF646" s="32"/>
    </row>
    <row r="647" ht="15.75" customHeight="1">
      <c r="C647" s="29"/>
      <c r="H647" s="31"/>
      <c r="K647" s="32"/>
      <c r="T647" s="35"/>
      <c r="AA647" s="31"/>
      <c r="AF647" s="32"/>
    </row>
    <row r="648" ht="15.75" customHeight="1">
      <c r="C648" s="29"/>
      <c r="H648" s="31"/>
      <c r="K648" s="32"/>
      <c r="T648" s="35"/>
      <c r="AA648" s="31"/>
      <c r="AF648" s="32"/>
    </row>
    <row r="649" ht="15.75" customHeight="1">
      <c r="C649" s="29"/>
      <c r="H649" s="31"/>
      <c r="K649" s="32"/>
      <c r="T649" s="35"/>
      <c r="AA649" s="31"/>
      <c r="AF649" s="32"/>
    </row>
    <row r="650" ht="15.75" customHeight="1">
      <c r="C650" s="29"/>
      <c r="H650" s="31"/>
      <c r="K650" s="32"/>
      <c r="T650" s="35"/>
      <c r="AA650" s="31"/>
      <c r="AF650" s="32"/>
    </row>
    <row r="651" ht="15.75" customHeight="1">
      <c r="C651" s="29"/>
      <c r="H651" s="31"/>
      <c r="K651" s="32"/>
      <c r="T651" s="35"/>
      <c r="AA651" s="31"/>
      <c r="AF651" s="32"/>
    </row>
    <row r="652" ht="15.75" customHeight="1">
      <c r="C652" s="29"/>
      <c r="H652" s="31"/>
      <c r="K652" s="32"/>
      <c r="T652" s="35"/>
      <c r="AA652" s="31"/>
      <c r="AF652" s="32"/>
    </row>
    <row r="653" ht="15.75" customHeight="1">
      <c r="C653" s="29"/>
      <c r="H653" s="31"/>
      <c r="K653" s="32"/>
      <c r="T653" s="35"/>
      <c r="AA653" s="31"/>
      <c r="AF653" s="32"/>
    </row>
    <row r="654" ht="15.75" customHeight="1">
      <c r="C654" s="29"/>
      <c r="H654" s="31"/>
      <c r="K654" s="32"/>
      <c r="T654" s="35"/>
      <c r="AA654" s="31"/>
      <c r="AF654" s="32"/>
    </row>
    <row r="655" ht="15.75" customHeight="1">
      <c r="C655" s="29"/>
      <c r="H655" s="31"/>
      <c r="K655" s="32"/>
      <c r="T655" s="35"/>
      <c r="AA655" s="31"/>
      <c r="AF655" s="32"/>
    </row>
    <row r="656" ht="15.75" customHeight="1">
      <c r="C656" s="29"/>
      <c r="H656" s="31"/>
      <c r="K656" s="32"/>
      <c r="T656" s="35"/>
      <c r="AA656" s="31"/>
      <c r="AF656" s="32"/>
    </row>
    <row r="657" ht="15.75" customHeight="1">
      <c r="C657" s="29"/>
      <c r="H657" s="31"/>
      <c r="K657" s="32"/>
      <c r="T657" s="35"/>
      <c r="AA657" s="31"/>
      <c r="AF657" s="32"/>
    </row>
    <row r="658" ht="15.75" customHeight="1">
      <c r="C658" s="29"/>
      <c r="H658" s="31"/>
      <c r="K658" s="32"/>
      <c r="T658" s="35"/>
      <c r="AA658" s="31"/>
      <c r="AF658" s="32"/>
    </row>
    <row r="659" ht="15.75" customHeight="1">
      <c r="C659" s="29"/>
      <c r="H659" s="31"/>
      <c r="K659" s="32"/>
      <c r="T659" s="35"/>
      <c r="AA659" s="31"/>
      <c r="AF659" s="32"/>
    </row>
    <row r="660" ht="15.75" customHeight="1">
      <c r="C660" s="29"/>
      <c r="H660" s="31"/>
      <c r="K660" s="32"/>
      <c r="T660" s="35"/>
      <c r="AA660" s="31"/>
      <c r="AF660" s="32"/>
    </row>
    <row r="661" ht="15.75" customHeight="1">
      <c r="C661" s="29"/>
      <c r="H661" s="31"/>
      <c r="K661" s="32"/>
      <c r="T661" s="35"/>
      <c r="AA661" s="31"/>
      <c r="AF661" s="32"/>
    </row>
    <row r="662" ht="15.75" customHeight="1">
      <c r="C662" s="29"/>
      <c r="H662" s="31"/>
      <c r="K662" s="32"/>
      <c r="T662" s="35"/>
      <c r="AA662" s="31"/>
      <c r="AF662" s="32"/>
    </row>
    <row r="663" ht="15.75" customHeight="1">
      <c r="C663" s="29"/>
      <c r="H663" s="31"/>
      <c r="K663" s="32"/>
      <c r="T663" s="35"/>
      <c r="AA663" s="31"/>
      <c r="AF663" s="32"/>
    </row>
    <row r="664" ht="15.75" customHeight="1">
      <c r="C664" s="29"/>
      <c r="H664" s="31"/>
      <c r="K664" s="32"/>
      <c r="T664" s="35"/>
      <c r="AA664" s="31"/>
      <c r="AF664" s="32"/>
    </row>
    <row r="665" ht="15.75" customHeight="1">
      <c r="C665" s="29"/>
      <c r="H665" s="31"/>
      <c r="K665" s="32"/>
      <c r="T665" s="35"/>
      <c r="AA665" s="31"/>
      <c r="AF665" s="32"/>
    </row>
    <row r="666" ht="15.75" customHeight="1">
      <c r="C666" s="29"/>
      <c r="H666" s="31"/>
      <c r="K666" s="32"/>
      <c r="T666" s="35"/>
      <c r="AA666" s="31"/>
      <c r="AF666" s="32"/>
    </row>
    <row r="667" ht="15.75" customHeight="1">
      <c r="C667" s="29"/>
      <c r="H667" s="31"/>
      <c r="K667" s="32"/>
      <c r="T667" s="35"/>
      <c r="AA667" s="31"/>
      <c r="AF667" s="32"/>
    </row>
    <row r="668" ht="15.75" customHeight="1">
      <c r="C668" s="29"/>
      <c r="H668" s="31"/>
      <c r="K668" s="32"/>
      <c r="T668" s="35"/>
      <c r="AA668" s="31"/>
      <c r="AF668" s="32"/>
    </row>
    <row r="669" ht="15.75" customHeight="1">
      <c r="C669" s="29"/>
      <c r="H669" s="31"/>
      <c r="K669" s="32"/>
      <c r="T669" s="35"/>
      <c r="AA669" s="31"/>
      <c r="AF669" s="32"/>
    </row>
    <row r="670" ht="15.75" customHeight="1">
      <c r="C670" s="29"/>
      <c r="H670" s="31"/>
      <c r="K670" s="32"/>
      <c r="T670" s="35"/>
      <c r="AA670" s="31"/>
      <c r="AF670" s="32"/>
    </row>
    <row r="671" ht="15.75" customHeight="1">
      <c r="C671" s="29"/>
      <c r="H671" s="31"/>
      <c r="K671" s="32"/>
      <c r="T671" s="35"/>
      <c r="AA671" s="31"/>
      <c r="AF671" s="32"/>
    </row>
    <row r="672" ht="15.75" customHeight="1">
      <c r="C672" s="29"/>
      <c r="H672" s="31"/>
      <c r="K672" s="32"/>
      <c r="T672" s="35"/>
      <c r="AA672" s="31"/>
      <c r="AF672" s="32"/>
    </row>
    <row r="673" ht="15.75" customHeight="1">
      <c r="C673" s="29"/>
      <c r="H673" s="31"/>
      <c r="K673" s="32"/>
      <c r="T673" s="35"/>
      <c r="AA673" s="31"/>
      <c r="AF673" s="32"/>
    </row>
    <row r="674" ht="15.75" customHeight="1">
      <c r="C674" s="29"/>
      <c r="H674" s="31"/>
      <c r="K674" s="32"/>
      <c r="T674" s="35"/>
      <c r="AA674" s="31"/>
      <c r="AF674" s="32"/>
    </row>
    <row r="675" ht="15.75" customHeight="1">
      <c r="C675" s="29"/>
      <c r="H675" s="31"/>
      <c r="K675" s="32"/>
      <c r="T675" s="35"/>
      <c r="AA675" s="31"/>
      <c r="AF675" s="32"/>
    </row>
    <row r="676" ht="15.75" customHeight="1">
      <c r="C676" s="29"/>
      <c r="H676" s="31"/>
      <c r="K676" s="32"/>
      <c r="T676" s="35"/>
      <c r="AA676" s="31"/>
      <c r="AF676" s="32"/>
    </row>
    <row r="677" ht="15.75" customHeight="1">
      <c r="C677" s="29"/>
      <c r="H677" s="31"/>
      <c r="K677" s="32"/>
      <c r="T677" s="35"/>
      <c r="AA677" s="31"/>
      <c r="AF677" s="32"/>
    </row>
    <row r="678" ht="15.75" customHeight="1">
      <c r="C678" s="29"/>
      <c r="H678" s="31"/>
      <c r="K678" s="32"/>
      <c r="T678" s="35"/>
      <c r="AA678" s="31"/>
      <c r="AF678" s="32"/>
    </row>
    <row r="679" ht="15.75" customHeight="1">
      <c r="C679" s="29"/>
      <c r="H679" s="31"/>
      <c r="K679" s="32"/>
      <c r="T679" s="35"/>
      <c r="AA679" s="31"/>
      <c r="AF679" s="32"/>
    </row>
    <row r="680" ht="15.75" customHeight="1">
      <c r="C680" s="29"/>
      <c r="H680" s="31"/>
      <c r="K680" s="32"/>
      <c r="T680" s="35"/>
      <c r="AA680" s="31"/>
      <c r="AF680" s="32"/>
    </row>
    <row r="681" ht="15.75" customHeight="1">
      <c r="C681" s="29"/>
      <c r="H681" s="31"/>
      <c r="K681" s="32"/>
      <c r="T681" s="35"/>
      <c r="AA681" s="31"/>
      <c r="AF681" s="32"/>
    </row>
    <row r="682" ht="15.75" customHeight="1">
      <c r="C682" s="29"/>
      <c r="H682" s="31"/>
      <c r="K682" s="32"/>
      <c r="T682" s="35"/>
      <c r="AA682" s="31"/>
      <c r="AF682" s="32"/>
    </row>
    <row r="683" ht="15.75" customHeight="1">
      <c r="C683" s="29"/>
      <c r="H683" s="31"/>
      <c r="K683" s="32"/>
      <c r="T683" s="35"/>
      <c r="AA683" s="31"/>
      <c r="AF683" s="32"/>
    </row>
    <row r="684" ht="15.75" customHeight="1">
      <c r="C684" s="29"/>
      <c r="H684" s="31"/>
      <c r="K684" s="32"/>
      <c r="T684" s="35"/>
      <c r="AA684" s="31"/>
      <c r="AF684" s="32"/>
    </row>
    <row r="685" ht="15.75" customHeight="1">
      <c r="C685" s="29"/>
      <c r="H685" s="31"/>
      <c r="K685" s="32"/>
      <c r="T685" s="35"/>
      <c r="AA685" s="31"/>
      <c r="AF685" s="32"/>
    </row>
    <row r="686" ht="15.75" customHeight="1">
      <c r="C686" s="29"/>
      <c r="H686" s="31"/>
      <c r="K686" s="32"/>
      <c r="T686" s="35"/>
      <c r="AA686" s="31"/>
      <c r="AF686" s="32"/>
    </row>
    <row r="687" ht="15.75" customHeight="1">
      <c r="C687" s="29"/>
      <c r="H687" s="31"/>
      <c r="K687" s="32"/>
      <c r="T687" s="35"/>
      <c r="AA687" s="31"/>
      <c r="AF687" s="32"/>
    </row>
    <row r="688" ht="15.75" customHeight="1">
      <c r="C688" s="29"/>
      <c r="H688" s="31"/>
      <c r="K688" s="32"/>
      <c r="T688" s="35"/>
      <c r="AA688" s="31"/>
      <c r="AF688" s="32"/>
    </row>
    <row r="689" ht="15.75" customHeight="1">
      <c r="C689" s="29"/>
      <c r="H689" s="31"/>
      <c r="K689" s="32"/>
      <c r="T689" s="35"/>
      <c r="AA689" s="31"/>
      <c r="AF689" s="32"/>
    </row>
    <row r="690" ht="15.75" customHeight="1">
      <c r="C690" s="29"/>
      <c r="H690" s="31"/>
      <c r="K690" s="32"/>
      <c r="T690" s="35"/>
      <c r="AA690" s="31"/>
      <c r="AF690" s="32"/>
    </row>
    <row r="691" ht="15.75" customHeight="1">
      <c r="C691" s="29"/>
      <c r="H691" s="31"/>
      <c r="K691" s="32"/>
      <c r="T691" s="35"/>
      <c r="AA691" s="31"/>
      <c r="AF691" s="32"/>
    </row>
    <row r="692" ht="15.75" customHeight="1">
      <c r="C692" s="29"/>
      <c r="H692" s="31"/>
      <c r="K692" s="32"/>
      <c r="T692" s="35"/>
      <c r="AA692" s="31"/>
      <c r="AF692" s="32"/>
    </row>
    <row r="693" ht="15.75" customHeight="1">
      <c r="C693" s="29"/>
      <c r="H693" s="31"/>
      <c r="K693" s="32"/>
      <c r="T693" s="35"/>
      <c r="AA693" s="31"/>
      <c r="AF693" s="32"/>
    </row>
    <row r="694" ht="15.75" customHeight="1">
      <c r="C694" s="29"/>
      <c r="H694" s="31"/>
      <c r="K694" s="32"/>
      <c r="T694" s="35"/>
      <c r="AA694" s="31"/>
      <c r="AF694" s="32"/>
    </row>
    <row r="695" ht="15.75" customHeight="1">
      <c r="C695" s="29"/>
      <c r="H695" s="31"/>
      <c r="K695" s="32"/>
      <c r="T695" s="35"/>
      <c r="AA695" s="31"/>
      <c r="AF695" s="32"/>
    </row>
    <row r="696" ht="15.75" customHeight="1">
      <c r="C696" s="29"/>
      <c r="H696" s="31"/>
      <c r="K696" s="32"/>
      <c r="T696" s="35"/>
      <c r="AA696" s="31"/>
      <c r="AF696" s="32"/>
    </row>
    <row r="697" ht="15.75" customHeight="1">
      <c r="C697" s="29"/>
      <c r="H697" s="31"/>
      <c r="K697" s="32"/>
      <c r="T697" s="35"/>
      <c r="AA697" s="31"/>
      <c r="AF697" s="32"/>
    </row>
    <row r="698" ht="15.75" customHeight="1">
      <c r="C698" s="29"/>
      <c r="H698" s="31"/>
      <c r="K698" s="32"/>
      <c r="T698" s="35"/>
      <c r="AA698" s="31"/>
      <c r="AF698" s="32"/>
    </row>
    <row r="699" ht="15.75" customHeight="1">
      <c r="C699" s="29"/>
      <c r="H699" s="31"/>
      <c r="K699" s="32"/>
      <c r="T699" s="35"/>
      <c r="AA699" s="31"/>
      <c r="AF699" s="32"/>
    </row>
    <row r="700" ht="15.75" customHeight="1">
      <c r="C700" s="29"/>
      <c r="H700" s="31"/>
      <c r="K700" s="32"/>
      <c r="T700" s="35"/>
      <c r="AA700" s="31"/>
      <c r="AF700" s="32"/>
    </row>
    <row r="701" ht="15.75" customHeight="1">
      <c r="C701" s="29"/>
      <c r="H701" s="31"/>
      <c r="K701" s="32"/>
      <c r="T701" s="35"/>
      <c r="AA701" s="31"/>
      <c r="AF701" s="32"/>
    </row>
    <row r="702" ht="15.75" customHeight="1">
      <c r="C702" s="29"/>
      <c r="H702" s="31"/>
      <c r="K702" s="32"/>
      <c r="T702" s="35"/>
      <c r="AA702" s="31"/>
      <c r="AF702" s="32"/>
    </row>
    <row r="703" ht="15.75" customHeight="1">
      <c r="C703" s="29"/>
      <c r="H703" s="31"/>
      <c r="K703" s="32"/>
      <c r="T703" s="35"/>
      <c r="AA703" s="31"/>
      <c r="AF703" s="32"/>
    </row>
    <row r="704" ht="15.75" customHeight="1">
      <c r="C704" s="29"/>
      <c r="H704" s="31"/>
      <c r="K704" s="32"/>
      <c r="T704" s="35"/>
      <c r="AA704" s="31"/>
      <c r="AF704" s="32"/>
    </row>
    <row r="705" ht="15.75" customHeight="1">
      <c r="C705" s="29"/>
      <c r="H705" s="31"/>
      <c r="K705" s="32"/>
      <c r="T705" s="35"/>
      <c r="AA705" s="31"/>
      <c r="AF705" s="32"/>
    </row>
    <row r="706" ht="15.75" customHeight="1">
      <c r="C706" s="29"/>
      <c r="H706" s="31"/>
      <c r="K706" s="32"/>
      <c r="T706" s="35"/>
      <c r="AA706" s="31"/>
      <c r="AF706" s="32"/>
    </row>
    <row r="707" ht="15.75" customHeight="1">
      <c r="C707" s="29"/>
      <c r="H707" s="31"/>
      <c r="K707" s="32"/>
      <c r="T707" s="35"/>
      <c r="AA707" s="31"/>
      <c r="AF707" s="32"/>
    </row>
    <row r="708" ht="15.75" customHeight="1">
      <c r="C708" s="29"/>
      <c r="H708" s="31"/>
      <c r="K708" s="32"/>
      <c r="T708" s="35"/>
      <c r="AA708" s="31"/>
      <c r="AF708" s="32"/>
    </row>
    <row r="709" ht="15.75" customHeight="1">
      <c r="C709" s="29"/>
      <c r="H709" s="31"/>
      <c r="K709" s="32"/>
      <c r="T709" s="35"/>
      <c r="AA709" s="31"/>
      <c r="AF709" s="32"/>
    </row>
    <row r="710" ht="15.75" customHeight="1">
      <c r="C710" s="29"/>
      <c r="H710" s="31"/>
      <c r="K710" s="32"/>
      <c r="T710" s="35"/>
      <c r="AA710" s="31"/>
      <c r="AF710" s="32"/>
    </row>
    <row r="711" ht="15.75" customHeight="1">
      <c r="C711" s="29"/>
      <c r="H711" s="31"/>
      <c r="K711" s="32"/>
      <c r="T711" s="35"/>
      <c r="AA711" s="31"/>
      <c r="AF711" s="32"/>
    </row>
    <row r="712" ht="15.75" customHeight="1">
      <c r="C712" s="29"/>
      <c r="H712" s="31"/>
      <c r="K712" s="32"/>
      <c r="T712" s="35"/>
      <c r="AA712" s="31"/>
      <c r="AF712" s="32"/>
    </row>
    <row r="713" ht="15.75" customHeight="1">
      <c r="C713" s="29"/>
      <c r="H713" s="31"/>
      <c r="K713" s="32"/>
      <c r="T713" s="35"/>
      <c r="AA713" s="31"/>
      <c r="AF713" s="32"/>
    </row>
    <row r="714" ht="15.75" customHeight="1">
      <c r="C714" s="29"/>
      <c r="H714" s="31"/>
      <c r="K714" s="32"/>
      <c r="T714" s="35"/>
      <c r="AA714" s="31"/>
      <c r="AF714" s="32"/>
    </row>
    <row r="715" ht="15.75" customHeight="1">
      <c r="C715" s="29"/>
      <c r="H715" s="31"/>
      <c r="K715" s="32"/>
      <c r="T715" s="35"/>
      <c r="AA715" s="31"/>
      <c r="AF715" s="32"/>
    </row>
    <row r="716" ht="15.75" customHeight="1">
      <c r="C716" s="29"/>
      <c r="H716" s="31"/>
      <c r="K716" s="32"/>
      <c r="T716" s="35"/>
      <c r="AA716" s="31"/>
      <c r="AF716" s="32"/>
    </row>
    <row r="717" ht="15.75" customHeight="1">
      <c r="C717" s="29"/>
      <c r="H717" s="31"/>
      <c r="K717" s="32"/>
      <c r="T717" s="35"/>
      <c r="AA717" s="31"/>
      <c r="AF717" s="32"/>
    </row>
    <row r="718" ht="15.75" customHeight="1">
      <c r="C718" s="29"/>
      <c r="H718" s="31"/>
      <c r="K718" s="32"/>
      <c r="T718" s="35"/>
      <c r="AA718" s="31"/>
      <c r="AF718" s="32"/>
    </row>
    <row r="719" ht="15.75" customHeight="1">
      <c r="C719" s="29"/>
      <c r="H719" s="31"/>
      <c r="K719" s="32"/>
      <c r="T719" s="35"/>
      <c r="AA719" s="31"/>
      <c r="AF719" s="32"/>
    </row>
    <row r="720" ht="15.75" customHeight="1">
      <c r="C720" s="29"/>
      <c r="H720" s="31"/>
      <c r="K720" s="32"/>
      <c r="T720" s="35"/>
      <c r="AA720" s="31"/>
      <c r="AF720" s="32"/>
    </row>
    <row r="721" ht="15.75" customHeight="1">
      <c r="C721" s="29"/>
      <c r="H721" s="31"/>
      <c r="K721" s="32"/>
      <c r="T721" s="35"/>
      <c r="AA721" s="31"/>
      <c r="AF721" s="32"/>
    </row>
    <row r="722" ht="15.75" customHeight="1">
      <c r="C722" s="29"/>
      <c r="H722" s="31"/>
      <c r="K722" s="32"/>
      <c r="T722" s="35"/>
      <c r="AA722" s="31"/>
      <c r="AF722" s="32"/>
    </row>
    <row r="723" ht="15.75" customHeight="1">
      <c r="C723" s="29"/>
      <c r="H723" s="31"/>
      <c r="K723" s="32"/>
      <c r="T723" s="35"/>
      <c r="AA723" s="31"/>
      <c r="AF723" s="32"/>
    </row>
    <row r="724" ht="15.75" customHeight="1">
      <c r="C724" s="29"/>
      <c r="H724" s="31"/>
      <c r="K724" s="32"/>
      <c r="T724" s="35"/>
      <c r="AA724" s="31"/>
      <c r="AF724" s="32"/>
    </row>
    <row r="725" ht="15.75" customHeight="1">
      <c r="C725" s="29"/>
      <c r="H725" s="31"/>
      <c r="K725" s="32"/>
      <c r="T725" s="35"/>
      <c r="AA725" s="31"/>
      <c r="AF725" s="32"/>
    </row>
    <row r="726" ht="15.75" customHeight="1">
      <c r="C726" s="29"/>
      <c r="H726" s="31"/>
      <c r="K726" s="32"/>
      <c r="T726" s="35"/>
      <c r="AA726" s="31"/>
      <c r="AF726" s="32"/>
    </row>
    <row r="727" ht="15.75" customHeight="1">
      <c r="C727" s="29"/>
      <c r="H727" s="31"/>
      <c r="K727" s="32"/>
      <c r="T727" s="35"/>
      <c r="AA727" s="31"/>
      <c r="AF727" s="32"/>
    </row>
    <row r="728" ht="15.75" customHeight="1">
      <c r="C728" s="29"/>
      <c r="H728" s="31"/>
      <c r="K728" s="32"/>
      <c r="T728" s="35"/>
      <c r="AA728" s="31"/>
      <c r="AF728" s="32"/>
    </row>
    <row r="729" ht="15.75" customHeight="1">
      <c r="C729" s="29"/>
      <c r="H729" s="31"/>
      <c r="K729" s="32"/>
      <c r="T729" s="35"/>
      <c r="AA729" s="31"/>
      <c r="AF729" s="32"/>
    </row>
    <row r="730" ht="15.75" customHeight="1">
      <c r="C730" s="29"/>
      <c r="H730" s="31"/>
      <c r="K730" s="32"/>
      <c r="T730" s="35"/>
      <c r="AA730" s="31"/>
      <c r="AF730" s="32"/>
    </row>
    <row r="731" ht="15.75" customHeight="1">
      <c r="C731" s="29"/>
      <c r="H731" s="31"/>
      <c r="K731" s="32"/>
      <c r="T731" s="35"/>
      <c r="AA731" s="31"/>
      <c r="AF731" s="32"/>
    </row>
    <row r="732" ht="15.75" customHeight="1">
      <c r="C732" s="29"/>
      <c r="H732" s="31"/>
      <c r="K732" s="32"/>
      <c r="T732" s="35"/>
      <c r="AA732" s="31"/>
      <c r="AF732" s="32"/>
    </row>
    <row r="733" ht="15.75" customHeight="1">
      <c r="C733" s="29"/>
      <c r="H733" s="31"/>
      <c r="K733" s="32"/>
      <c r="T733" s="35"/>
      <c r="AA733" s="31"/>
      <c r="AF733" s="32"/>
    </row>
    <row r="734" ht="15.75" customHeight="1">
      <c r="C734" s="29"/>
      <c r="H734" s="31"/>
      <c r="K734" s="32"/>
      <c r="T734" s="35"/>
      <c r="AA734" s="31"/>
      <c r="AF734" s="32"/>
    </row>
    <row r="735" ht="15.75" customHeight="1">
      <c r="C735" s="29"/>
      <c r="H735" s="31"/>
      <c r="K735" s="32"/>
      <c r="T735" s="35"/>
      <c r="AA735" s="31"/>
      <c r="AF735" s="32"/>
    </row>
    <row r="736" ht="15.75" customHeight="1">
      <c r="C736" s="29"/>
      <c r="H736" s="31"/>
      <c r="K736" s="32"/>
      <c r="T736" s="35"/>
      <c r="AA736" s="31"/>
      <c r="AF736" s="32"/>
    </row>
    <row r="737" ht="15.75" customHeight="1">
      <c r="C737" s="29"/>
      <c r="H737" s="31"/>
      <c r="K737" s="32"/>
      <c r="T737" s="35"/>
      <c r="AA737" s="31"/>
      <c r="AF737" s="32"/>
    </row>
    <row r="738" ht="15.75" customHeight="1">
      <c r="C738" s="29"/>
      <c r="H738" s="31"/>
      <c r="K738" s="32"/>
      <c r="T738" s="35"/>
      <c r="AA738" s="31"/>
      <c r="AF738" s="32"/>
    </row>
    <row r="739" ht="15.75" customHeight="1">
      <c r="C739" s="29"/>
      <c r="H739" s="31"/>
      <c r="K739" s="32"/>
      <c r="T739" s="35"/>
      <c r="AA739" s="31"/>
      <c r="AF739" s="32"/>
    </row>
    <row r="740" ht="15.75" customHeight="1">
      <c r="C740" s="29"/>
      <c r="H740" s="31"/>
      <c r="K740" s="32"/>
      <c r="T740" s="35"/>
      <c r="AA740" s="31"/>
      <c r="AF740" s="32"/>
    </row>
    <row r="741" ht="15.75" customHeight="1">
      <c r="C741" s="29"/>
      <c r="H741" s="31"/>
      <c r="K741" s="32"/>
      <c r="T741" s="35"/>
      <c r="AA741" s="31"/>
      <c r="AF741" s="32"/>
    </row>
    <row r="742" ht="15.75" customHeight="1">
      <c r="C742" s="29"/>
      <c r="H742" s="31"/>
      <c r="K742" s="32"/>
      <c r="T742" s="35"/>
      <c r="AA742" s="31"/>
      <c r="AF742" s="32"/>
    </row>
    <row r="743" ht="15.75" customHeight="1">
      <c r="C743" s="29"/>
      <c r="H743" s="31"/>
      <c r="K743" s="32"/>
      <c r="T743" s="35"/>
      <c r="AA743" s="31"/>
      <c r="AF743" s="32"/>
    </row>
    <row r="744" ht="15.75" customHeight="1">
      <c r="C744" s="29"/>
      <c r="H744" s="31"/>
      <c r="K744" s="32"/>
      <c r="T744" s="35"/>
      <c r="AA744" s="31"/>
      <c r="AF744" s="32"/>
    </row>
    <row r="745" ht="15.75" customHeight="1">
      <c r="C745" s="29"/>
      <c r="H745" s="31"/>
      <c r="K745" s="32"/>
      <c r="T745" s="35"/>
      <c r="AA745" s="31"/>
      <c r="AF745" s="32"/>
    </row>
    <row r="746" ht="15.75" customHeight="1">
      <c r="C746" s="29"/>
      <c r="H746" s="31"/>
      <c r="K746" s="32"/>
      <c r="T746" s="35"/>
      <c r="AA746" s="31"/>
      <c r="AF746" s="32"/>
    </row>
    <row r="747" ht="15.75" customHeight="1">
      <c r="C747" s="29"/>
      <c r="H747" s="31"/>
      <c r="K747" s="32"/>
      <c r="T747" s="35"/>
      <c r="AA747" s="31"/>
      <c r="AF747" s="32"/>
    </row>
    <row r="748" ht="15.75" customHeight="1">
      <c r="C748" s="29"/>
      <c r="H748" s="31"/>
      <c r="K748" s="32"/>
      <c r="T748" s="35"/>
      <c r="AA748" s="31"/>
      <c r="AF748" s="32"/>
    </row>
    <row r="749" ht="15.75" customHeight="1">
      <c r="C749" s="29"/>
      <c r="H749" s="31"/>
      <c r="K749" s="32"/>
      <c r="T749" s="35"/>
      <c r="AA749" s="31"/>
      <c r="AF749" s="32"/>
    </row>
    <row r="750" ht="15.75" customHeight="1">
      <c r="C750" s="29"/>
      <c r="H750" s="31"/>
      <c r="K750" s="32"/>
      <c r="T750" s="35"/>
      <c r="AA750" s="31"/>
      <c r="AF750" s="32"/>
    </row>
    <row r="751" ht="15.75" customHeight="1">
      <c r="C751" s="29"/>
      <c r="H751" s="31"/>
      <c r="K751" s="32"/>
      <c r="T751" s="35"/>
      <c r="AA751" s="31"/>
      <c r="AF751" s="32"/>
    </row>
    <row r="752" ht="15.75" customHeight="1">
      <c r="C752" s="29"/>
      <c r="H752" s="31"/>
      <c r="K752" s="32"/>
      <c r="T752" s="35"/>
      <c r="AA752" s="31"/>
      <c r="AF752" s="32"/>
    </row>
    <row r="753" ht="15.75" customHeight="1">
      <c r="C753" s="29"/>
      <c r="H753" s="31"/>
      <c r="K753" s="32"/>
      <c r="T753" s="35"/>
      <c r="AA753" s="31"/>
      <c r="AF753" s="32"/>
    </row>
    <row r="754" ht="15.75" customHeight="1">
      <c r="C754" s="29"/>
      <c r="H754" s="31"/>
      <c r="K754" s="32"/>
      <c r="T754" s="35"/>
      <c r="AA754" s="31"/>
      <c r="AF754" s="32"/>
    </row>
    <row r="755" ht="15.75" customHeight="1">
      <c r="C755" s="29"/>
      <c r="H755" s="31"/>
      <c r="K755" s="32"/>
      <c r="T755" s="35"/>
      <c r="AA755" s="31"/>
      <c r="AF755" s="32"/>
    </row>
    <row r="756" ht="15.75" customHeight="1">
      <c r="C756" s="29"/>
      <c r="H756" s="31"/>
      <c r="K756" s="32"/>
      <c r="T756" s="35"/>
      <c r="AA756" s="31"/>
      <c r="AF756" s="32"/>
    </row>
    <row r="757" ht="15.75" customHeight="1">
      <c r="C757" s="29"/>
      <c r="H757" s="31"/>
      <c r="K757" s="32"/>
      <c r="T757" s="35"/>
      <c r="AA757" s="31"/>
      <c r="AF757" s="32"/>
    </row>
    <row r="758" ht="15.75" customHeight="1">
      <c r="C758" s="29"/>
      <c r="H758" s="31"/>
      <c r="K758" s="32"/>
      <c r="T758" s="35"/>
      <c r="AA758" s="31"/>
      <c r="AF758" s="32"/>
    </row>
    <row r="759" ht="15.75" customHeight="1">
      <c r="C759" s="29"/>
      <c r="H759" s="31"/>
      <c r="K759" s="32"/>
      <c r="T759" s="35"/>
      <c r="AA759" s="31"/>
      <c r="AF759" s="32"/>
    </row>
    <row r="760" ht="15.75" customHeight="1">
      <c r="C760" s="29"/>
      <c r="H760" s="31"/>
      <c r="K760" s="32"/>
      <c r="T760" s="35"/>
      <c r="AA760" s="31"/>
      <c r="AF760" s="32"/>
    </row>
    <row r="761" ht="15.75" customHeight="1">
      <c r="C761" s="29"/>
      <c r="H761" s="31"/>
      <c r="K761" s="32"/>
      <c r="T761" s="35"/>
      <c r="AA761" s="31"/>
      <c r="AF761" s="32"/>
    </row>
    <row r="762" ht="15.75" customHeight="1">
      <c r="C762" s="29"/>
      <c r="H762" s="31"/>
      <c r="K762" s="32"/>
      <c r="T762" s="35"/>
      <c r="AA762" s="31"/>
      <c r="AF762" s="32"/>
    </row>
    <row r="763" ht="15.75" customHeight="1">
      <c r="C763" s="29"/>
      <c r="H763" s="31"/>
      <c r="K763" s="32"/>
      <c r="T763" s="35"/>
      <c r="AA763" s="31"/>
      <c r="AF763" s="32"/>
    </row>
    <row r="764" ht="15.75" customHeight="1">
      <c r="C764" s="29"/>
      <c r="H764" s="31"/>
      <c r="K764" s="32"/>
      <c r="T764" s="35"/>
      <c r="AA764" s="31"/>
      <c r="AF764" s="32"/>
    </row>
    <row r="765" ht="15.75" customHeight="1">
      <c r="C765" s="29"/>
      <c r="H765" s="31"/>
      <c r="K765" s="32"/>
      <c r="T765" s="35"/>
      <c r="AA765" s="31"/>
      <c r="AF765" s="32"/>
    </row>
    <row r="766" ht="15.75" customHeight="1">
      <c r="C766" s="29"/>
      <c r="H766" s="31"/>
      <c r="K766" s="32"/>
      <c r="T766" s="35"/>
      <c r="AA766" s="31"/>
      <c r="AF766" s="32"/>
    </row>
    <row r="767" ht="15.75" customHeight="1">
      <c r="C767" s="29"/>
      <c r="H767" s="31"/>
      <c r="K767" s="32"/>
      <c r="T767" s="35"/>
      <c r="AA767" s="31"/>
      <c r="AF767" s="32"/>
    </row>
    <row r="768" ht="15.75" customHeight="1">
      <c r="C768" s="29"/>
      <c r="H768" s="31"/>
      <c r="K768" s="32"/>
      <c r="T768" s="35"/>
      <c r="AA768" s="31"/>
      <c r="AF768" s="32"/>
    </row>
    <row r="769" ht="15.75" customHeight="1">
      <c r="C769" s="29"/>
      <c r="H769" s="31"/>
      <c r="K769" s="32"/>
      <c r="T769" s="35"/>
      <c r="AA769" s="31"/>
      <c r="AF769" s="32"/>
    </row>
    <row r="770" ht="15.75" customHeight="1">
      <c r="C770" s="29"/>
      <c r="H770" s="31"/>
      <c r="K770" s="32"/>
      <c r="T770" s="35"/>
      <c r="AA770" s="31"/>
      <c r="AF770" s="32"/>
    </row>
    <row r="771" ht="15.75" customHeight="1">
      <c r="C771" s="29"/>
      <c r="H771" s="31"/>
      <c r="K771" s="32"/>
      <c r="T771" s="35"/>
      <c r="AA771" s="31"/>
      <c r="AF771" s="32"/>
    </row>
    <row r="772" ht="15.75" customHeight="1">
      <c r="C772" s="29"/>
      <c r="H772" s="31"/>
      <c r="K772" s="32"/>
      <c r="T772" s="35"/>
      <c r="AA772" s="31"/>
      <c r="AF772" s="32"/>
    </row>
    <row r="773" ht="15.75" customHeight="1">
      <c r="C773" s="29"/>
      <c r="H773" s="31"/>
      <c r="K773" s="32"/>
      <c r="T773" s="35"/>
      <c r="AA773" s="31"/>
      <c r="AF773" s="32"/>
    </row>
    <row r="774" ht="15.75" customHeight="1">
      <c r="C774" s="29"/>
      <c r="H774" s="31"/>
      <c r="K774" s="32"/>
      <c r="T774" s="35"/>
      <c r="AA774" s="31"/>
      <c r="AF774" s="32"/>
    </row>
    <row r="775" ht="15.75" customHeight="1">
      <c r="C775" s="29"/>
      <c r="H775" s="31"/>
      <c r="K775" s="32"/>
      <c r="T775" s="35"/>
      <c r="AA775" s="31"/>
      <c r="AF775" s="32"/>
    </row>
    <row r="776" ht="15.75" customHeight="1">
      <c r="C776" s="29"/>
      <c r="H776" s="31"/>
      <c r="K776" s="32"/>
      <c r="T776" s="35"/>
      <c r="AA776" s="31"/>
      <c r="AF776" s="32"/>
    </row>
    <row r="777" ht="15.75" customHeight="1">
      <c r="C777" s="29"/>
      <c r="H777" s="31"/>
      <c r="K777" s="32"/>
      <c r="T777" s="35"/>
      <c r="AA777" s="31"/>
      <c r="AF777" s="32"/>
    </row>
    <row r="778" ht="15.75" customHeight="1">
      <c r="C778" s="29"/>
      <c r="H778" s="31"/>
      <c r="K778" s="32"/>
      <c r="T778" s="35"/>
      <c r="AA778" s="31"/>
      <c r="AF778" s="32"/>
    </row>
    <row r="779" ht="15.75" customHeight="1">
      <c r="C779" s="29"/>
      <c r="H779" s="31"/>
      <c r="K779" s="32"/>
      <c r="T779" s="35"/>
      <c r="AA779" s="31"/>
      <c r="AF779" s="32"/>
    </row>
    <row r="780" ht="15.75" customHeight="1">
      <c r="C780" s="29"/>
      <c r="H780" s="31"/>
      <c r="K780" s="32"/>
      <c r="T780" s="35"/>
      <c r="AA780" s="31"/>
      <c r="AF780" s="32"/>
    </row>
    <row r="781" ht="15.75" customHeight="1">
      <c r="C781" s="29"/>
      <c r="H781" s="31"/>
      <c r="K781" s="32"/>
      <c r="T781" s="35"/>
      <c r="AA781" s="31"/>
      <c r="AF781" s="32"/>
    </row>
    <row r="782" ht="15.75" customHeight="1">
      <c r="C782" s="29"/>
      <c r="H782" s="31"/>
      <c r="K782" s="32"/>
      <c r="T782" s="35"/>
      <c r="AA782" s="31"/>
      <c r="AF782" s="32"/>
    </row>
    <row r="783" ht="15.75" customHeight="1">
      <c r="C783" s="29"/>
      <c r="H783" s="31"/>
      <c r="K783" s="32"/>
      <c r="T783" s="35"/>
      <c r="AA783" s="31"/>
      <c r="AF783" s="32"/>
    </row>
    <row r="784" ht="15.75" customHeight="1">
      <c r="C784" s="29"/>
      <c r="H784" s="31"/>
      <c r="K784" s="32"/>
      <c r="T784" s="35"/>
      <c r="AA784" s="31"/>
      <c r="AF784" s="32"/>
    </row>
    <row r="785" ht="15.75" customHeight="1">
      <c r="C785" s="29"/>
      <c r="H785" s="31"/>
      <c r="K785" s="32"/>
      <c r="T785" s="35"/>
      <c r="AA785" s="31"/>
      <c r="AF785" s="32"/>
    </row>
    <row r="786" ht="15.75" customHeight="1">
      <c r="C786" s="29"/>
      <c r="H786" s="31"/>
      <c r="K786" s="32"/>
      <c r="T786" s="35"/>
      <c r="AA786" s="31"/>
      <c r="AF786" s="32"/>
    </row>
    <row r="787" ht="15.75" customHeight="1">
      <c r="C787" s="29"/>
      <c r="H787" s="31"/>
      <c r="K787" s="32"/>
      <c r="T787" s="35"/>
      <c r="AA787" s="31"/>
      <c r="AF787" s="32"/>
    </row>
    <row r="788" ht="15.75" customHeight="1">
      <c r="C788" s="29"/>
      <c r="H788" s="31"/>
      <c r="K788" s="32"/>
      <c r="T788" s="35"/>
      <c r="AA788" s="31"/>
      <c r="AF788" s="32"/>
    </row>
    <row r="789" ht="15.75" customHeight="1">
      <c r="C789" s="29"/>
      <c r="H789" s="31"/>
      <c r="K789" s="32"/>
      <c r="T789" s="35"/>
      <c r="AA789" s="31"/>
      <c r="AF789" s="32"/>
    </row>
    <row r="790" ht="15.75" customHeight="1">
      <c r="C790" s="29"/>
      <c r="H790" s="31"/>
      <c r="K790" s="32"/>
      <c r="T790" s="35"/>
      <c r="AA790" s="31"/>
      <c r="AF790" s="32"/>
    </row>
    <row r="791" ht="15.75" customHeight="1">
      <c r="C791" s="29"/>
      <c r="H791" s="31"/>
      <c r="K791" s="32"/>
      <c r="T791" s="35"/>
      <c r="AA791" s="31"/>
      <c r="AF791" s="32"/>
    </row>
    <row r="792" ht="15.75" customHeight="1">
      <c r="C792" s="29"/>
      <c r="H792" s="31"/>
      <c r="K792" s="32"/>
      <c r="T792" s="35"/>
      <c r="AA792" s="31"/>
      <c r="AF792" s="32"/>
    </row>
    <row r="793" ht="15.75" customHeight="1">
      <c r="C793" s="29"/>
      <c r="H793" s="31"/>
      <c r="K793" s="32"/>
      <c r="T793" s="35"/>
      <c r="AA793" s="31"/>
      <c r="AF793" s="32"/>
    </row>
    <row r="794" ht="15.75" customHeight="1">
      <c r="C794" s="29"/>
      <c r="H794" s="31"/>
      <c r="K794" s="32"/>
      <c r="T794" s="35"/>
      <c r="AA794" s="31"/>
      <c r="AF794" s="32"/>
    </row>
    <row r="795" ht="15.75" customHeight="1">
      <c r="C795" s="29"/>
      <c r="H795" s="31"/>
      <c r="K795" s="32"/>
      <c r="T795" s="35"/>
      <c r="AA795" s="31"/>
      <c r="AF795" s="32"/>
    </row>
    <row r="796" ht="15.75" customHeight="1">
      <c r="C796" s="29"/>
      <c r="H796" s="31"/>
      <c r="K796" s="32"/>
      <c r="T796" s="35"/>
      <c r="AA796" s="31"/>
      <c r="AF796" s="32"/>
    </row>
    <row r="797" ht="15.75" customHeight="1">
      <c r="C797" s="29"/>
      <c r="H797" s="31"/>
      <c r="K797" s="32"/>
      <c r="T797" s="35"/>
      <c r="AA797" s="31"/>
      <c r="AF797" s="32"/>
    </row>
    <row r="798" ht="15.75" customHeight="1">
      <c r="C798" s="29"/>
      <c r="H798" s="31"/>
      <c r="K798" s="32"/>
      <c r="T798" s="35"/>
      <c r="AA798" s="31"/>
      <c r="AF798" s="32"/>
    </row>
    <row r="799" ht="15.75" customHeight="1">
      <c r="C799" s="29"/>
      <c r="H799" s="31"/>
      <c r="K799" s="32"/>
      <c r="T799" s="35"/>
      <c r="AA799" s="31"/>
      <c r="AF799" s="32"/>
    </row>
    <row r="800" ht="15.75" customHeight="1">
      <c r="C800" s="29"/>
      <c r="H800" s="31"/>
      <c r="K800" s="32"/>
      <c r="T800" s="35"/>
      <c r="AA800" s="31"/>
      <c r="AF800" s="32"/>
    </row>
    <row r="801" ht="15.75" customHeight="1">
      <c r="C801" s="29"/>
      <c r="H801" s="31"/>
      <c r="K801" s="32"/>
      <c r="T801" s="35"/>
      <c r="AA801" s="31"/>
      <c r="AF801" s="32"/>
    </row>
    <row r="802" ht="15.75" customHeight="1">
      <c r="C802" s="29"/>
      <c r="H802" s="31"/>
      <c r="K802" s="32"/>
      <c r="T802" s="35"/>
      <c r="AA802" s="31"/>
      <c r="AF802" s="32"/>
    </row>
    <row r="803" ht="15.75" customHeight="1">
      <c r="C803" s="29"/>
      <c r="H803" s="31"/>
      <c r="K803" s="32"/>
      <c r="T803" s="35"/>
      <c r="AA803" s="31"/>
      <c r="AF803" s="32"/>
    </row>
    <row r="804" ht="15.75" customHeight="1">
      <c r="C804" s="29"/>
      <c r="H804" s="31"/>
      <c r="K804" s="32"/>
      <c r="T804" s="35"/>
      <c r="AA804" s="31"/>
      <c r="AF804" s="32"/>
    </row>
    <row r="805" ht="15.75" customHeight="1">
      <c r="C805" s="29"/>
      <c r="H805" s="31"/>
      <c r="K805" s="32"/>
      <c r="T805" s="35"/>
      <c r="AA805" s="31"/>
      <c r="AF805" s="32"/>
    </row>
    <row r="806" ht="15.75" customHeight="1">
      <c r="C806" s="29"/>
      <c r="H806" s="31"/>
      <c r="K806" s="32"/>
      <c r="T806" s="35"/>
      <c r="AA806" s="31"/>
      <c r="AF806" s="32"/>
    </row>
    <row r="807" ht="15.75" customHeight="1">
      <c r="C807" s="29"/>
      <c r="H807" s="31"/>
      <c r="K807" s="32"/>
      <c r="T807" s="35"/>
      <c r="AA807" s="31"/>
      <c r="AF807" s="32"/>
    </row>
    <row r="808" ht="15.75" customHeight="1">
      <c r="C808" s="29"/>
      <c r="H808" s="31"/>
      <c r="K808" s="32"/>
      <c r="T808" s="35"/>
      <c r="AA808" s="31"/>
      <c r="AF808" s="32"/>
    </row>
    <row r="809" ht="15.75" customHeight="1">
      <c r="C809" s="29"/>
      <c r="H809" s="31"/>
      <c r="K809" s="32"/>
      <c r="T809" s="35"/>
      <c r="AA809" s="31"/>
      <c r="AF809" s="32"/>
    </row>
    <row r="810" ht="15.75" customHeight="1">
      <c r="C810" s="29"/>
      <c r="H810" s="31"/>
      <c r="K810" s="32"/>
      <c r="T810" s="35"/>
      <c r="AA810" s="31"/>
      <c r="AF810" s="32"/>
    </row>
    <row r="811" ht="15.75" customHeight="1">
      <c r="C811" s="29"/>
      <c r="H811" s="31"/>
      <c r="K811" s="32"/>
      <c r="T811" s="35"/>
      <c r="AA811" s="31"/>
      <c r="AF811" s="32"/>
    </row>
    <row r="812" ht="15.75" customHeight="1">
      <c r="C812" s="29"/>
      <c r="H812" s="31"/>
      <c r="K812" s="32"/>
      <c r="T812" s="35"/>
      <c r="AA812" s="31"/>
      <c r="AF812" s="32"/>
    </row>
    <row r="813" ht="15.75" customHeight="1">
      <c r="C813" s="29"/>
      <c r="H813" s="31"/>
      <c r="K813" s="32"/>
      <c r="T813" s="35"/>
      <c r="AA813" s="31"/>
      <c r="AF813" s="32"/>
    </row>
    <row r="814" ht="15.75" customHeight="1">
      <c r="C814" s="29"/>
      <c r="H814" s="31"/>
      <c r="K814" s="32"/>
      <c r="T814" s="35"/>
      <c r="AA814" s="31"/>
      <c r="AF814" s="32"/>
    </row>
    <row r="815" ht="15.75" customHeight="1">
      <c r="C815" s="29"/>
      <c r="H815" s="31"/>
      <c r="K815" s="32"/>
      <c r="T815" s="35"/>
      <c r="AA815" s="31"/>
      <c r="AF815" s="32"/>
    </row>
    <row r="816" ht="15.75" customHeight="1">
      <c r="C816" s="29"/>
      <c r="H816" s="31"/>
      <c r="K816" s="32"/>
      <c r="T816" s="35"/>
      <c r="AA816" s="31"/>
      <c r="AF816" s="32"/>
    </row>
    <row r="817" ht="15.75" customHeight="1">
      <c r="C817" s="29"/>
      <c r="H817" s="31"/>
      <c r="K817" s="32"/>
      <c r="T817" s="35"/>
      <c r="AA817" s="31"/>
      <c r="AF817" s="32"/>
    </row>
    <row r="818" ht="15.75" customHeight="1">
      <c r="C818" s="29"/>
      <c r="H818" s="31"/>
      <c r="K818" s="32"/>
      <c r="T818" s="35"/>
      <c r="AA818" s="31"/>
      <c r="AF818" s="32"/>
    </row>
    <row r="819" ht="15.75" customHeight="1">
      <c r="C819" s="29"/>
      <c r="H819" s="31"/>
      <c r="K819" s="32"/>
      <c r="T819" s="35"/>
      <c r="AA819" s="31"/>
      <c r="AF819" s="32"/>
    </row>
    <row r="820" ht="15.75" customHeight="1">
      <c r="C820" s="29"/>
      <c r="H820" s="31"/>
      <c r="K820" s="32"/>
      <c r="T820" s="35"/>
      <c r="AA820" s="31"/>
      <c r="AF820" s="32"/>
    </row>
    <row r="821" ht="15.75" customHeight="1">
      <c r="C821" s="29"/>
      <c r="H821" s="31"/>
      <c r="K821" s="32"/>
      <c r="T821" s="35"/>
      <c r="AA821" s="31"/>
      <c r="AF821" s="32"/>
    </row>
    <row r="822" ht="15.75" customHeight="1">
      <c r="C822" s="29"/>
      <c r="H822" s="31"/>
      <c r="K822" s="32"/>
      <c r="T822" s="35"/>
      <c r="AA822" s="31"/>
      <c r="AF822" s="32"/>
    </row>
    <row r="823" ht="15.75" customHeight="1">
      <c r="C823" s="29"/>
      <c r="H823" s="31"/>
      <c r="K823" s="32"/>
      <c r="T823" s="35"/>
      <c r="AA823" s="31"/>
      <c r="AF823" s="32"/>
    </row>
    <row r="824" ht="15.75" customHeight="1">
      <c r="C824" s="29"/>
      <c r="H824" s="31"/>
      <c r="K824" s="32"/>
      <c r="T824" s="35"/>
      <c r="AA824" s="31"/>
      <c r="AF824" s="32"/>
    </row>
    <row r="825" ht="15.75" customHeight="1">
      <c r="C825" s="29"/>
      <c r="H825" s="31"/>
      <c r="K825" s="32"/>
      <c r="T825" s="35"/>
      <c r="AA825" s="31"/>
      <c r="AF825" s="32"/>
    </row>
    <row r="826" ht="15.75" customHeight="1">
      <c r="C826" s="29"/>
      <c r="H826" s="31"/>
      <c r="K826" s="32"/>
      <c r="T826" s="35"/>
      <c r="AA826" s="31"/>
      <c r="AF826" s="32"/>
    </row>
    <row r="827" ht="15.75" customHeight="1">
      <c r="C827" s="29"/>
      <c r="H827" s="31"/>
      <c r="K827" s="32"/>
      <c r="T827" s="35"/>
      <c r="AA827" s="31"/>
      <c r="AF827" s="32"/>
    </row>
    <row r="828" ht="15.75" customHeight="1">
      <c r="C828" s="29"/>
      <c r="H828" s="31"/>
      <c r="K828" s="32"/>
      <c r="T828" s="35"/>
      <c r="AA828" s="31"/>
      <c r="AF828" s="32"/>
    </row>
    <row r="829" ht="15.75" customHeight="1">
      <c r="C829" s="29"/>
      <c r="H829" s="31"/>
      <c r="K829" s="32"/>
      <c r="T829" s="35"/>
      <c r="AA829" s="31"/>
      <c r="AF829" s="32"/>
    </row>
    <row r="830" ht="15.75" customHeight="1">
      <c r="C830" s="29"/>
      <c r="H830" s="31"/>
      <c r="K830" s="32"/>
      <c r="T830" s="35"/>
      <c r="AA830" s="31"/>
      <c r="AF830" s="32"/>
    </row>
    <row r="831" ht="15.75" customHeight="1">
      <c r="C831" s="29"/>
      <c r="H831" s="31"/>
      <c r="K831" s="32"/>
      <c r="T831" s="35"/>
      <c r="AA831" s="31"/>
      <c r="AF831" s="32"/>
    </row>
    <row r="832" ht="15.75" customHeight="1">
      <c r="C832" s="29"/>
      <c r="H832" s="31"/>
      <c r="K832" s="32"/>
      <c r="T832" s="35"/>
      <c r="AA832" s="31"/>
      <c r="AF832" s="32"/>
    </row>
    <row r="833" ht="15.75" customHeight="1">
      <c r="C833" s="29"/>
      <c r="H833" s="31"/>
      <c r="K833" s="32"/>
      <c r="T833" s="35"/>
      <c r="AA833" s="31"/>
      <c r="AF833" s="32"/>
    </row>
    <row r="834" ht="15.75" customHeight="1">
      <c r="C834" s="29"/>
      <c r="H834" s="31"/>
      <c r="K834" s="32"/>
      <c r="T834" s="35"/>
      <c r="AA834" s="31"/>
      <c r="AF834" s="32"/>
    </row>
    <row r="835" ht="15.75" customHeight="1">
      <c r="C835" s="29"/>
      <c r="H835" s="31"/>
      <c r="K835" s="32"/>
      <c r="T835" s="35"/>
      <c r="AA835" s="31"/>
      <c r="AF835" s="32"/>
    </row>
    <row r="836" ht="15.75" customHeight="1">
      <c r="C836" s="29"/>
      <c r="H836" s="31"/>
      <c r="K836" s="32"/>
      <c r="T836" s="35"/>
      <c r="AA836" s="31"/>
      <c r="AF836" s="32"/>
    </row>
    <row r="837" ht="15.75" customHeight="1">
      <c r="C837" s="29"/>
      <c r="H837" s="31"/>
      <c r="K837" s="32"/>
      <c r="T837" s="35"/>
      <c r="AA837" s="31"/>
      <c r="AF837" s="32"/>
    </row>
    <row r="838" ht="15.75" customHeight="1">
      <c r="C838" s="29"/>
      <c r="H838" s="31"/>
      <c r="K838" s="32"/>
      <c r="T838" s="35"/>
      <c r="AA838" s="31"/>
      <c r="AF838" s="32"/>
    </row>
    <row r="839" ht="15.75" customHeight="1">
      <c r="C839" s="29"/>
      <c r="H839" s="31"/>
      <c r="K839" s="32"/>
      <c r="T839" s="35"/>
      <c r="AA839" s="31"/>
      <c r="AF839" s="32"/>
    </row>
    <row r="840" ht="15.75" customHeight="1">
      <c r="C840" s="29"/>
      <c r="H840" s="31"/>
      <c r="K840" s="32"/>
      <c r="T840" s="35"/>
      <c r="AA840" s="31"/>
      <c r="AF840" s="32"/>
    </row>
    <row r="841" ht="15.75" customHeight="1">
      <c r="C841" s="29"/>
      <c r="H841" s="31"/>
      <c r="K841" s="32"/>
      <c r="T841" s="35"/>
      <c r="AA841" s="31"/>
      <c r="AF841" s="32"/>
    </row>
    <row r="842" ht="15.75" customHeight="1">
      <c r="C842" s="29"/>
      <c r="H842" s="31"/>
      <c r="K842" s="32"/>
      <c r="T842" s="35"/>
      <c r="AA842" s="31"/>
      <c r="AF842" s="32"/>
    </row>
    <row r="843" ht="15.75" customHeight="1">
      <c r="C843" s="29"/>
      <c r="H843" s="31"/>
      <c r="K843" s="32"/>
      <c r="T843" s="35"/>
      <c r="AA843" s="31"/>
      <c r="AF843" s="32"/>
    </row>
    <row r="844" ht="15.75" customHeight="1">
      <c r="C844" s="29"/>
      <c r="H844" s="31"/>
      <c r="K844" s="32"/>
      <c r="T844" s="35"/>
      <c r="AA844" s="31"/>
      <c r="AF844" s="32"/>
    </row>
    <row r="845" ht="15.75" customHeight="1">
      <c r="C845" s="29"/>
      <c r="H845" s="31"/>
      <c r="K845" s="32"/>
      <c r="T845" s="35"/>
      <c r="AA845" s="31"/>
      <c r="AF845" s="32"/>
    </row>
    <row r="846" ht="15.75" customHeight="1">
      <c r="C846" s="29"/>
      <c r="H846" s="31"/>
      <c r="K846" s="32"/>
      <c r="T846" s="35"/>
      <c r="AA846" s="31"/>
      <c r="AF846" s="32"/>
    </row>
    <row r="847" ht="15.75" customHeight="1">
      <c r="C847" s="29"/>
      <c r="H847" s="31"/>
      <c r="K847" s="32"/>
      <c r="T847" s="35"/>
      <c r="AA847" s="31"/>
      <c r="AF847" s="32"/>
    </row>
    <row r="848" ht="15.75" customHeight="1">
      <c r="C848" s="29"/>
      <c r="H848" s="31"/>
      <c r="K848" s="32"/>
      <c r="T848" s="35"/>
      <c r="AA848" s="31"/>
      <c r="AF848" s="32"/>
    </row>
    <row r="849" ht="15.75" customHeight="1">
      <c r="C849" s="29"/>
      <c r="H849" s="31"/>
      <c r="K849" s="32"/>
      <c r="T849" s="35"/>
      <c r="AA849" s="31"/>
      <c r="AF849" s="32"/>
    </row>
    <row r="850" ht="15.75" customHeight="1">
      <c r="C850" s="29"/>
      <c r="H850" s="31"/>
      <c r="K850" s="32"/>
      <c r="T850" s="35"/>
      <c r="AA850" s="31"/>
      <c r="AF850" s="32"/>
    </row>
    <row r="851" ht="15.75" customHeight="1">
      <c r="C851" s="29"/>
      <c r="H851" s="31"/>
      <c r="K851" s="32"/>
      <c r="T851" s="35"/>
      <c r="AA851" s="31"/>
      <c r="AF851" s="32"/>
    </row>
    <row r="852" ht="15.75" customHeight="1">
      <c r="C852" s="29"/>
      <c r="H852" s="31"/>
      <c r="K852" s="32"/>
      <c r="T852" s="35"/>
      <c r="AA852" s="31"/>
      <c r="AF852" s="32"/>
    </row>
    <row r="853" ht="15.75" customHeight="1">
      <c r="C853" s="29"/>
      <c r="H853" s="31"/>
      <c r="K853" s="32"/>
      <c r="T853" s="35"/>
      <c r="AA853" s="31"/>
      <c r="AF853" s="32"/>
    </row>
    <row r="854" ht="15.75" customHeight="1">
      <c r="C854" s="29"/>
      <c r="H854" s="31"/>
      <c r="K854" s="32"/>
      <c r="T854" s="35"/>
      <c r="AA854" s="31"/>
      <c r="AF854" s="32"/>
    </row>
    <row r="855" ht="15.75" customHeight="1">
      <c r="C855" s="29"/>
      <c r="H855" s="31"/>
      <c r="K855" s="32"/>
      <c r="T855" s="35"/>
      <c r="AA855" s="31"/>
      <c r="AF855" s="32"/>
    </row>
    <row r="856" ht="15.75" customHeight="1">
      <c r="C856" s="29"/>
      <c r="H856" s="31"/>
      <c r="K856" s="32"/>
      <c r="T856" s="35"/>
      <c r="AA856" s="31"/>
      <c r="AF856" s="32"/>
    </row>
    <row r="857" ht="15.75" customHeight="1">
      <c r="C857" s="29"/>
      <c r="H857" s="31"/>
      <c r="K857" s="32"/>
      <c r="T857" s="35"/>
      <c r="AA857" s="31"/>
      <c r="AF857" s="32"/>
    </row>
    <row r="858" ht="15.75" customHeight="1">
      <c r="C858" s="29"/>
      <c r="H858" s="31"/>
      <c r="K858" s="32"/>
      <c r="T858" s="35"/>
      <c r="AA858" s="31"/>
      <c r="AF858" s="32"/>
    </row>
    <row r="859" ht="15.75" customHeight="1">
      <c r="C859" s="29"/>
      <c r="H859" s="31"/>
      <c r="K859" s="32"/>
      <c r="T859" s="35"/>
      <c r="AA859" s="31"/>
      <c r="AF859" s="32"/>
    </row>
    <row r="860" ht="15.75" customHeight="1">
      <c r="C860" s="29"/>
      <c r="H860" s="31"/>
      <c r="K860" s="32"/>
      <c r="T860" s="35"/>
      <c r="AA860" s="31"/>
      <c r="AF860" s="32"/>
    </row>
    <row r="861" ht="15.75" customHeight="1">
      <c r="C861" s="29"/>
      <c r="H861" s="31"/>
      <c r="K861" s="32"/>
      <c r="T861" s="35"/>
      <c r="AA861" s="31"/>
      <c r="AF861" s="32"/>
    </row>
    <row r="862" ht="15.75" customHeight="1">
      <c r="C862" s="29"/>
      <c r="H862" s="31"/>
      <c r="K862" s="32"/>
      <c r="T862" s="35"/>
      <c r="AA862" s="31"/>
      <c r="AF862" s="32"/>
    </row>
    <row r="863" ht="15.75" customHeight="1">
      <c r="C863" s="29"/>
      <c r="H863" s="31"/>
      <c r="K863" s="32"/>
      <c r="T863" s="35"/>
      <c r="AA863" s="31"/>
      <c r="AF863" s="32"/>
    </row>
    <row r="864" ht="15.75" customHeight="1">
      <c r="C864" s="29"/>
      <c r="H864" s="31"/>
      <c r="K864" s="32"/>
      <c r="T864" s="35"/>
      <c r="AA864" s="31"/>
      <c r="AF864" s="32"/>
    </row>
    <row r="865" ht="15.75" customHeight="1">
      <c r="C865" s="29"/>
      <c r="H865" s="31"/>
      <c r="K865" s="32"/>
      <c r="T865" s="35"/>
      <c r="AA865" s="31"/>
      <c r="AF865" s="32"/>
    </row>
    <row r="866" ht="15.75" customHeight="1">
      <c r="C866" s="29"/>
      <c r="H866" s="31"/>
      <c r="K866" s="32"/>
      <c r="T866" s="35"/>
      <c r="AA866" s="31"/>
      <c r="AF866" s="32"/>
    </row>
    <row r="867" ht="15.75" customHeight="1">
      <c r="C867" s="29"/>
      <c r="H867" s="31"/>
      <c r="K867" s="32"/>
      <c r="T867" s="35"/>
      <c r="AA867" s="31"/>
      <c r="AF867" s="32"/>
    </row>
    <row r="868" ht="15.75" customHeight="1">
      <c r="C868" s="29"/>
      <c r="H868" s="31"/>
      <c r="K868" s="32"/>
      <c r="T868" s="35"/>
      <c r="AA868" s="31"/>
      <c r="AF868" s="32"/>
    </row>
    <row r="869" ht="15.75" customHeight="1">
      <c r="C869" s="29"/>
      <c r="H869" s="31"/>
      <c r="K869" s="32"/>
      <c r="T869" s="35"/>
      <c r="AA869" s="31"/>
      <c r="AF869" s="32"/>
    </row>
    <row r="870" ht="15.75" customHeight="1">
      <c r="C870" s="29"/>
      <c r="H870" s="31"/>
      <c r="K870" s="32"/>
      <c r="T870" s="35"/>
      <c r="AA870" s="31"/>
      <c r="AF870" s="32"/>
    </row>
    <row r="871" ht="15.75" customHeight="1">
      <c r="C871" s="29"/>
      <c r="H871" s="31"/>
      <c r="K871" s="32"/>
      <c r="T871" s="35"/>
      <c r="AA871" s="31"/>
      <c r="AF871" s="32"/>
    </row>
    <row r="872" ht="15.75" customHeight="1">
      <c r="C872" s="29"/>
      <c r="H872" s="31"/>
      <c r="K872" s="32"/>
      <c r="T872" s="35"/>
      <c r="AA872" s="31"/>
      <c r="AF872" s="32"/>
    </row>
    <row r="873" ht="15.75" customHeight="1">
      <c r="C873" s="29"/>
      <c r="H873" s="31"/>
      <c r="K873" s="32"/>
      <c r="T873" s="35"/>
      <c r="AA873" s="31"/>
      <c r="AF873" s="32"/>
    </row>
    <row r="874" ht="15.75" customHeight="1">
      <c r="C874" s="29"/>
      <c r="H874" s="31"/>
      <c r="K874" s="32"/>
      <c r="T874" s="35"/>
      <c r="AA874" s="31"/>
      <c r="AF874" s="32"/>
    </row>
    <row r="875" ht="15.75" customHeight="1">
      <c r="C875" s="29"/>
      <c r="H875" s="31"/>
      <c r="K875" s="32"/>
      <c r="T875" s="35"/>
      <c r="AA875" s="31"/>
      <c r="AF875" s="32"/>
    </row>
    <row r="876" ht="15.75" customHeight="1">
      <c r="C876" s="29"/>
      <c r="H876" s="31"/>
      <c r="K876" s="32"/>
      <c r="T876" s="35"/>
      <c r="AA876" s="31"/>
      <c r="AF876" s="32"/>
    </row>
    <row r="877" ht="15.75" customHeight="1">
      <c r="C877" s="29"/>
      <c r="H877" s="31"/>
      <c r="K877" s="32"/>
      <c r="T877" s="35"/>
      <c r="AA877" s="31"/>
      <c r="AF877" s="32"/>
    </row>
    <row r="878" ht="15.75" customHeight="1">
      <c r="C878" s="29"/>
      <c r="H878" s="31"/>
      <c r="K878" s="32"/>
      <c r="T878" s="35"/>
      <c r="AA878" s="31"/>
      <c r="AF878" s="32"/>
    </row>
    <row r="879" ht="15.75" customHeight="1">
      <c r="C879" s="29"/>
      <c r="H879" s="31"/>
      <c r="K879" s="32"/>
      <c r="T879" s="35"/>
      <c r="AA879" s="31"/>
      <c r="AF879" s="32"/>
    </row>
    <row r="880" ht="15.75" customHeight="1">
      <c r="C880" s="29"/>
      <c r="H880" s="31"/>
      <c r="K880" s="32"/>
      <c r="T880" s="35"/>
      <c r="AA880" s="31"/>
      <c r="AF880" s="32"/>
    </row>
    <row r="881" ht="15.75" customHeight="1">
      <c r="C881" s="29"/>
      <c r="H881" s="31"/>
      <c r="K881" s="32"/>
      <c r="T881" s="35"/>
      <c r="AA881" s="31"/>
      <c r="AF881" s="32"/>
    </row>
    <row r="882" ht="15.75" customHeight="1">
      <c r="C882" s="29"/>
      <c r="H882" s="31"/>
      <c r="K882" s="32"/>
      <c r="T882" s="35"/>
      <c r="AA882" s="31"/>
      <c r="AF882" s="32"/>
    </row>
    <row r="883" ht="15.75" customHeight="1">
      <c r="C883" s="29"/>
      <c r="H883" s="31"/>
      <c r="K883" s="32"/>
      <c r="T883" s="35"/>
      <c r="AA883" s="31"/>
      <c r="AF883" s="32"/>
    </row>
    <row r="884" ht="15.75" customHeight="1">
      <c r="C884" s="29"/>
      <c r="H884" s="31"/>
      <c r="K884" s="32"/>
      <c r="T884" s="35"/>
      <c r="AA884" s="31"/>
      <c r="AF884" s="32"/>
    </row>
    <row r="885" ht="15.75" customHeight="1">
      <c r="C885" s="29"/>
      <c r="H885" s="31"/>
      <c r="K885" s="32"/>
      <c r="T885" s="35"/>
      <c r="AA885" s="31"/>
      <c r="AF885" s="32"/>
    </row>
    <row r="886" ht="15.75" customHeight="1">
      <c r="C886" s="29"/>
      <c r="H886" s="31"/>
      <c r="K886" s="32"/>
      <c r="T886" s="35"/>
      <c r="AA886" s="31"/>
      <c r="AF886" s="32"/>
    </row>
    <row r="887" ht="15.75" customHeight="1">
      <c r="C887" s="29"/>
      <c r="H887" s="31"/>
      <c r="K887" s="32"/>
      <c r="T887" s="35"/>
      <c r="AA887" s="31"/>
      <c r="AF887" s="32"/>
    </row>
    <row r="888" ht="15.75" customHeight="1">
      <c r="C888" s="29"/>
      <c r="H888" s="31"/>
      <c r="K888" s="32"/>
      <c r="T888" s="35"/>
      <c r="AA888" s="31"/>
      <c r="AF888" s="32"/>
    </row>
    <row r="889" ht="15.75" customHeight="1">
      <c r="C889" s="29"/>
      <c r="H889" s="31"/>
      <c r="K889" s="32"/>
      <c r="T889" s="35"/>
      <c r="AA889" s="31"/>
      <c r="AF889" s="32"/>
    </row>
    <row r="890" ht="15.75" customHeight="1">
      <c r="C890" s="29"/>
      <c r="H890" s="31"/>
      <c r="K890" s="32"/>
      <c r="T890" s="35"/>
      <c r="AA890" s="31"/>
      <c r="AF890" s="32"/>
    </row>
    <row r="891" ht="15.75" customHeight="1">
      <c r="C891" s="29"/>
      <c r="H891" s="31"/>
      <c r="K891" s="32"/>
      <c r="T891" s="35"/>
      <c r="AA891" s="31"/>
      <c r="AF891" s="32"/>
    </row>
    <row r="892" ht="15.75" customHeight="1">
      <c r="C892" s="29"/>
      <c r="H892" s="31"/>
      <c r="K892" s="32"/>
      <c r="T892" s="35"/>
      <c r="AA892" s="31"/>
      <c r="AF892" s="32"/>
    </row>
    <row r="893" ht="15.75" customHeight="1">
      <c r="C893" s="29"/>
      <c r="H893" s="31"/>
      <c r="K893" s="32"/>
      <c r="T893" s="35"/>
      <c r="AA893" s="31"/>
      <c r="AF893" s="32"/>
    </row>
    <row r="894" ht="15.75" customHeight="1">
      <c r="C894" s="29"/>
      <c r="H894" s="31"/>
      <c r="K894" s="32"/>
      <c r="T894" s="35"/>
      <c r="AA894" s="31"/>
      <c r="AF894" s="32"/>
    </row>
    <row r="895" ht="15.75" customHeight="1">
      <c r="C895" s="29"/>
      <c r="H895" s="31"/>
      <c r="K895" s="32"/>
      <c r="T895" s="35"/>
      <c r="AA895" s="31"/>
      <c r="AF895" s="32"/>
    </row>
    <row r="896" ht="15.75" customHeight="1">
      <c r="C896" s="29"/>
      <c r="H896" s="31"/>
      <c r="K896" s="32"/>
      <c r="T896" s="35"/>
      <c r="AA896" s="31"/>
      <c r="AF896" s="32"/>
    </row>
    <row r="897" ht="15.75" customHeight="1">
      <c r="C897" s="29"/>
      <c r="H897" s="31"/>
      <c r="K897" s="32"/>
      <c r="T897" s="35"/>
      <c r="AA897" s="31"/>
      <c r="AF897" s="32"/>
    </row>
    <row r="898" ht="15.75" customHeight="1">
      <c r="C898" s="29"/>
      <c r="H898" s="31"/>
      <c r="K898" s="32"/>
      <c r="T898" s="35"/>
      <c r="AA898" s="31"/>
      <c r="AF898" s="32"/>
    </row>
    <row r="899" ht="15.75" customHeight="1">
      <c r="C899" s="29"/>
      <c r="H899" s="31"/>
      <c r="K899" s="32"/>
      <c r="T899" s="35"/>
      <c r="AA899" s="31"/>
      <c r="AF899" s="32"/>
    </row>
    <row r="900" ht="15.75" customHeight="1">
      <c r="C900" s="29"/>
      <c r="H900" s="31"/>
      <c r="K900" s="32"/>
      <c r="T900" s="35"/>
      <c r="AA900" s="31"/>
      <c r="AF900" s="32"/>
    </row>
    <row r="901" ht="15.75" customHeight="1">
      <c r="C901" s="29"/>
      <c r="H901" s="31"/>
      <c r="K901" s="32"/>
      <c r="T901" s="35"/>
      <c r="AA901" s="31"/>
      <c r="AF901" s="32"/>
    </row>
    <row r="902" ht="15.75" customHeight="1">
      <c r="C902" s="29"/>
      <c r="H902" s="31"/>
      <c r="K902" s="32"/>
      <c r="T902" s="35"/>
      <c r="AA902" s="31"/>
      <c r="AF902" s="32"/>
    </row>
    <row r="903" ht="15.75" customHeight="1">
      <c r="C903" s="29"/>
      <c r="H903" s="31"/>
      <c r="K903" s="32"/>
      <c r="T903" s="35"/>
      <c r="AA903" s="31"/>
      <c r="AF903" s="32"/>
    </row>
    <row r="904" ht="15.75" customHeight="1">
      <c r="C904" s="29"/>
      <c r="H904" s="31"/>
      <c r="K904" s="32"/>
      <c r="T904" s="35"/>
      <c r="AA904" s="31"/>
      <c r="AF904" s="32"/>
    </row>
    <row r="905" ht="15.75" customHeight="1">
      <c r="C905" s="29"/>
      <c r="H905" s="31"/>
      <c r="K905" s="32"/>
      <c r="T905" s="35"/>
      <c r="AA905" s="31"/>
      <c r="AF905" s="32"/>
    </row>
    <row r="906" ht="15.75" customHeight="1">
      <c r="C906" s="29"/>
      <c r="H906" s="31"/>
      <c r="K906" s="32"/>
      <c r="T906" s="35"/>
      <c r="AA906" s="31"/>
      <c r="AF906" s="32"/>
    </row>
    <row r="907" ht="15.75" customHeight="1">
      <c r="C907" s="29"/>
      <c r="H907" s="31"/>
      <c r="K907" s="32"/>
      <c r="T907" s="35"/>
      <c r="AA907" s="31"/>
      <c r="AF907" s="32"/>
    </row>
    <row r="908" ht="15.75" customHeight="1">
      <c r="C908" s="29"/>
      <c r="H908" s="31"/>
      <c r="K908" s="32"/>
      <c r="T908" s="35"/>
      <c r="AA908" s="31"/>
      <c r="AF908" s="32"/>
    </row>
    <row r="909" ht="15.75" customHeight="1">
      <c r="C909" s="29"/>
      <c r="H909" s="31"/>
      <c r="K909" s="32"/>
      <c r="T909" s="35"/>
      <c r="AA909" s="31"/>
      <c r="AF909" s="32"/>
    </row>
    <row r="910" ht="15.75" customHeight="1">
      <c r="C910" s="29"/>
      <c r="H910" s="31"/>
      <c r="K910" s="32"/>
      <c r="T910" s="35"/>
      <c r="AA910" s="31"/>
      <c r="AF910" s="32"/>
    </row>
    <row r="911" ht="15.75" customHeight="1">
      <c r="C911" s="29"/>
      <c r="H911" s="31"/>
      <c r="K911" s="32"/>
      <c r="T911" s="35"/>
      <c r="AA911" s="31"/>
      <c r="AF911" s="32"/>
    </row>
    <row r="912" ht="15.75" customHeight="1">
      <c r="C912" s="29"/>
      <c r="H912" s="31"/>
      <c r="K912" s="32"/>
      <c r="T912" s="35"/>
      <c r="AA912" s="31"/>
      <c r="AF912" s="32"/>
    </row>
    <row r="913" ht="15.75" customHeight="1">
      <c r="C913" s="29"/>
      <c r="H913" s="31"/>
      <c r="K913" s="32"/>
      <c r="T913" s="35"/>
      <c r="AA913" s="31"/>
      <c r="AF913" s="32"/>
    </row>
    <row r="914" ht="15.75" customHeight="1">
      <c r="C914" s="29"/>
      <c r="H914" s="31"/>
      <c r="K914" s="32"/>
      <c r="T914" s="35"/>
      <c r="AA914" s="31"/>
      <c r="AF914" s="32"/>
    </row>
    <row r="915" ht="15.75" customHeight="1">
      <c r="C915" s="29"/>
      <c r="H915" s="31"/>
      <c r="K915" s="32"/>
      <c r="T915" s="35"/>
      <c r="AA915" s="31"/>
      <c r="AF915" s="32"/>
    </row>
    <row r="916" ht="15.75" customHeight="1">
      <c r="C916" s="29"/>
      <c r="H916" s="31"/>
      <c r="K916" s="32"/>
      <c r="T916" s="35"/>
      <c r="AA916" s="31"/>
      <c r="AF916" s="32"/>
    </row>
    <row r="917" ht="15.75" customHeight="1">
      <c r="C917" s="29"/>
      <c r="H917" s="31"/>
      <c r="K917" s="32"/>
      <c r="T917" s="35"/>
      <c r="AA917" s="31"/>
      <c r="AF917" s="32"/>
    </row>
    <row r="918" ht="15.75" customHeight="1">
      <c r="C918" s="29"/>
      <c r="H918" s="31"/>
      <c r="K918" s="32"/>
      <c r="T918" s="35"/>
      <c r="AA918" s="31"/>
      <c r="AF918" s="32"/>
    </row>
    <row r="919" ht="15.75" customHeight="1">
      <c r="C919" s="29"/>
      <c r="H919" s="31"/>
      <c r="K919" s="32"/>
      <c r="T919" s="35"/>
      <c r="AA919" s="31"/>
      <c r="AF919" s="32"/>
    </row>
    <row r="920" ht="15.75" customHeight="1">
      <c r="C920" s="29"/>
      <c r="H920" s="31"/>
      <c r="K920" s="32"/>
      <c r="T920" s="35"/>
      <c r="AA920" s="31"/>
      <c r="AF920" s="32"/>
    </row>
    <row r="921" ht="15.75" customHeight="1">
      <c r="C921" s="29"/>
      <c r="H921" s="31"/>
      <c r="K921" s="32"/>
      <c r="T921" s="35"/>
      <c r="AA921" s="31"/>
      <c r="AF921" s="32"/>
    </row>
    <row r="922" ht="15.75" customHeight="1">
      <c r="C922" s="29"/>
      <c r="H922" s="31"/>
      <c r="K922" s="32"/>
      <c r="T922" s="35"/>
      <c r="AA922" s="31"/>
      <c r="AF922" s="32"/>
    </row>
    <row r="923" ht="15.75" customHeight="1">
      <c r="C923" s="29"/>
      <c r="H923" s="31"/>
      <c r="K923" s="32"/>
      <c r="T923" s="35"/>
      <c r="AA923" s="31"/>
      <c r="AF923" s="32"/>
    </row>
    <row r="924" ht="15.75" customHeight="1">
      <c r="C924" s="29"/>
      <c r="H924" s="31"/>
      <c r="K924" s="32"/>
      <c r="T924" s="35"/>
      <c r="AA924" s="31"/>
      <c r="AF924" s="32"/>
    </row>
    <row r="925" ht="15.75" customHeight="1">
      <c r="C925" s="29"/>
      <c r="H925" s="31"/>
      <c r="K925" s="32"/>
      <c r="T925" s="35"/>
      <c r="AA925" s="31"/>
      <c r="AF925" s="32"/>
    </row>
    <row r="926" ht="15.75" customHeight="1">
      <c r="C926" s="29"/>
      <c r="H926" s="31"/>
      <c r="K926" s="32"/>
      <c r="T926" s="35"/>
      <c r="AA926" s="31"/>
      <c r="AF926" s="32"/>
    </row>
    <row r="927" ht="15.75" customHeight="1">
      <c r="C927" s="29"/>
      <c r="H927" s="31"/>
      <c r="K927" s="32"/>
      <c r="T927" s="35"/>
      <c r="AA927" s="31"/>
      <c r="AF927" s="32"/>
    </row>
    <row r="928" ht="15.75" customHeight="1">
      <c r="C928" s="29"/>
      <c r="H928" s="31"/>
      <c r="K928" s="32"/>
      <c r="T928" s="35"/>
      <c r="AA928" s="31"/>
      <c r="AF928" s="32"/>
    </row>
    <row r="929" ht="15.75" customHeight="1">
      <c r="C929" s="29"/>
      <c r="H929" s="31"/>
      <c r="K929" s="32"/>
      <c r="T929" s="35"/>
      <c r="AA929" s="31"/>
      <c r="AF929" s="32"/>
    </row>
    <row r="930" ht="15.75" customHeight="1">
      <c r="C930" s="29"/>
      <c r="H930" s="31"/>
      <c r="K930" s="32"/>
      <c r="T930" s="35"/>
      <c r="AA930" s="31"/>
      <c r="AF930" s="32"/>
    </row>
    <row r="931" ht="15.75" customHeight="1">
      <c r="C931" s="29"/>
      <c r="H931" s="31"/>
      <c r="K931" s="32"/>
      <c r="T931" s="35"/>
      <c r="AA931" s="31"/>
      <c r="AF931" s="32"/>
    </row>
    <row r="932" ht="15.75" customHeight="1">
      <c r="C932" s="29"/>
      <c r="H932" s="31"/>
      <c r="K932" s="32"/>
      <c r="T932" s="35"/>
      <c r="AA932" s="31"/>
      <c r="AF932" s="32"/>
    </row>
    <row r="933" ht="15.75" customHeight="1">
      <c r="C933" s="29"/>
      <c r="H933" s="31"/>
      <c r="K933" s="32"/>
      <c r="T933" s="35"/>
      <c r="AA933" s="31"/>
      <c r="AF933" s="32"/>
    </row>
    <row r="934" ht="15.75" customHeight="1">
      <c r="C934" s="29"/>
      <c r="H934" s="31"/>
      <c r="K934" s="32"/>
      <c r="T934" s="35"/>
      <c r="AA934" s="31"/>
      <c r="AF934" s="32"/>
    </row>
    <row r="935" ht="15.75" customHeight="1">
      <c r="C935" s="29"/>
      <c r="H935" s="31"/>
      <c r="K935" s="32"/>
      <c r="T935" s="35"/>
      <c r="AA935" s="31"/>
      <c r="AF935" s="32"/>
    </row>
    <row r="936" ht="15.75" customHeight="1">
      <c r="C936" s="29"/>
      <c r="H936" s="31"/>
      <c r="K936" s="32"/>
      <c r="T936" s="35"/>
      <c r="AA936" s="31"/>
      <c r="AF936" s="32"/>
    </row>
    <row r="937" ht="15.75" customHeight="1">
      <c r="C937" s="29"/>
      <c r="H937" s="31"/>
      <c r="K937" s="32"/>
      <c r="T937" s="35"/>
      <c r="AA937" s="31"/>
      <c r="AF937" s="32"/>
    </row>
    <row r="938" ht="15.75" customHeight="1">
      <c r="C938" s="29"/>
      <c r="H938" s="31"/>
      <c r="K938" s="32"/>
      <c r="T938" s="35"/>
      <c r="AA938" s="31"/>
      <c r="AF938" s="32"/>
    </row>
    <row r="939" ht="15.75" customHeight="1">
      <c r="C939" s="29"/>
      <c r="H939" s="31"/>
      <c r="K939" s="32"/>
      <c r="T939" s="35"/>
      <c r="AA939" s="31"/>
      <c r="AF939" s="32"/>
    </row>
    <row r="940" ht="15.75" customHeight="1">
      <c r="C940" s="29"/>
      <c r="H940" s="31"/>
      <c r="K940" s="32"/>
      <c r="T940" s="35"/>
      <c r="AA940" s="31"/>
      <c r="AF940" s="32"/>
    </row>
    <row r="941" ht="15.75" customHeight="1">
      <c r="C941" s="29"/>
      <c r="H941" s="31"/>
      <c r="K941" s="32"/>
      <c r="T941" s="35"/>
      <c r="AA941" s="31"/>
      <c r="AF941" s="32"/>
    </row>
    <row r="942" ht="15.75" customHeight="1">
      <c r="C942" s="29"/>
      <c r="H942" s="31"/>
      <c r="K942" s="32"/>
      <c r="T942" s="35"/>
      <c r="AA942" s="31"/>
      <c r="AF942" s="32"/>
    </row>
    <row r="943" ht="15.75" customHeight="1">
      <c r="C943" s="29"/>
      <c r="H943" s="31"/>
      <c r="K943" s="32"/>
      <c r="T943" s="35"/>
      <c r="AA943" s="31"/>
      <c r="AF943" s="32"/>
    </row>
    <row r="944" ht="15.75" customHeight="1">
      <c r="C944" s="29"/>
      <c r="H944" s="31"/>
      <c r="K944" s="32"/>
      <c r="T944" s="35"/>
      <c r="AA944" s="31"/>
      <c r="AF944" s="32"/>
    </row>
    <row r="945" ht="15.75" customHeight="1">
      <c r="C945" s="29"/>
      <c r="H945" s="31"/>
      <c r="K945" s="32"/>
      <c r="T945" s="35"/>
      <c r="AA945" s="31"/>
      <c r="AF945" s="32"/>
    </row>
    <row r="946" ht="15.75" customHeight="1">
      <c r="C946" s="29"/>
      <c r="H946" s="31"/>
      <c r="K946" s="32"/>
      <c r="T946" s="35"/>
      <c r="AA946" s="31"/>
      <c r="AF946" s="32"/>
    </row>
    <row r="947" ht="15.75" customHeight="1">
      <c r="C947" s="29"/>
      <c r="H947" s="31"/>
      <c r="K947" s="32"/>
      <c r="T947" s="35"/>
      <c r="AA947" s="31"/>
      <c r="AF947" s="32"/>
    </row>
    <row r="948" ht="15.75" customHeight="1">
      <c r="C948" s="29"/>
      <c r="H948" s="31"/>
      <c r="K948" s="32"/>
      <c r="T948" s="35"/>
      <c r="AA948" s="31"/>
      <c r="AF948" s="32"/>
    </row>
    <row r="949" ht="15.75" customHeight="1">
      <c r="C949" s="29"/>
      <c r="H949" s="31"/>
      <c r="K949" s="32"/>
      <c r="T949" s="35"/>
      <c r="AA949" s="31"/>
      <c r="AF949" s="32"/>
    </row>
    <row r="950" ht="15.75" customHeight="1">
      <c r="C950" s="29"/>
      <c r="H950" s="31"/>
      <c r="K950" s="32"/>
      <c r="T950" s="35"/>
      <c r="AA950" s="31"/>
      <c r="AF950" s="32"/>
    </row>
    <row r="951" ht="15.75" customHeight="1">
      <c r="C951" s="29"/>
      <c r="H951" s="31"/>
      <c r="K951" s="32"/>
      <c r="T951" s="35"/>
      <c r="AA951" s="31"/>
      <c r="AF951" s="32"/>
    </row>
    <row r="952" ht="15.75" customHeight="1">
      <c r="C952" s="29"/>
      <c r="H952" s="31"/>
      <c r="K952" s="32"/>
      <c r="T952" s="35"/>
      <c r="AA952" s="31"/>
      <c r="AF952" s="32"/>
    </row>
    <row r="953" ht="15.75" customHeight="1">
      <c r="C953" s="29"/>
      <c r="H953" s="31"/>
      <c r="K953" s="32"/>
      <c r="T953" s="35"/>
      <c r="AA953" s="31"/>
      <c r="AF953" s="32"/>
    </row>
    <row r="954" ht="15.75" customHeight="1">
      <c r="C954" s="29"/>
      <c r="H954" s="31"/>
      <c r="K954" s="32"/>
      <c r="T954" s="35"/>
      <c r="AA954" s="31"/>
      <c r="AF954" s="32"/>
    </row>
    <row r="955" ht="15.75" customHeight="1">
      <c r="C955" s="29"/>
      <c r="H955" s="31"/>
      <c r="K955" s="32"/>
      <c r="T955" s="35"/>
      <c r="AA955" s="31"/>
      <c r="AF955" s="32"/>
    </row>
    <row r="956" ht="15.75" customHeight="1">
      <c r="C956" s="29"/>
      <c r="H956" s="31"/>
      <c r="K956" s="32"/>
      <c r="T956" s="35"/>
      <c r="AA956" s="31"/>
      <c r="AF956" s="32"/>
    </row>
    <row r="957" ht="15.75" customHeight="1">
      <c r="C957" s="29"/>
      <c r="H957" s="31"/>
      <c r="K957" s="32"/>
      <c r="T957" s="35"/>
      <c r="AA957" s="31"/>
      <c r="AF957" s="32"/>
    </row>
    <row r="958" ht="15.75" customHeight="1">
      <c r="C958" s="29"/>
      <c r="H958" s="31"/>
      <c r="K958" s="32"/>
      <c r="T958" s="35"/>
      <c r="AA958" s="31"/>
      <c r="AF958" s="32"/>
    </row>
    <row r="959" ht="15.75" customHeight="1">
      <c r="C959" s="29"/>
      <c r="H959" s="31"/>
      <c r="K959" s="32"/>
      <c r="T959" s="35"/>
      <c r="AA959" s="31"/>
      <c r="AF959" s="32"/>
    </row>
    <row r="960" ht="15.75" customHeight="1">
      <c r="C960" s="29"/>
      <c r="H960" s="31"/>
      <c r="K960" s="32"/>
      <c r="T960" s="35"/>
      <c r="AA960" s="31"/>
      <c r="AF960" s="32"/>
    </row>
    <row r="961" ht="15.75" customHeight="1">
      <c r="C961" s="29"/>
      <c r="H961" s="31"/>
      <c r="K961" s="32"/>
      <c r="T961" s="35"/>
      <c r="AA961" s="31"/>
      <c r="AF961" s="32"/>
    </row>
    <row r="962" ht="15.75" customHeight="1">
      <c r="C962" s="29"/>
      <c r="H962" s="31"/>
      <c r="K962" s="32"/>
      <c r="T962" s="35"/>
      <c r="AA962" s="31"/>
      <c r="AF962" s="32"/>
    </row>
    <row r="963" ht="15.75" customHeight="1">
      <c r="C963" s="29"/>
      <c r="H963" s="31"/>
      <c r="K963" s="32"/>
      <c r="T963" s="35"/>
      <c r="AA963" s="31"/>
      <c r="AF963" s="32"/>
    </row>
    <row r="964" ht="15.75" customHeight="1">
      <c r="C964" s="29"/>
      <c r="H964" s="31"/>
      <c r="K964" s="32"/>
      <c r="T964" s="35"/>
      <c r="AA964" s="31"/>
      <c r="AF964" s="32"/>
    </row>
    <row r="965" ht="15.75" customHeight="1">
      <c r="C965" s="29"/>
      <c r="H965" s="31"/>
      <c r="K965" s="32"/>
      <c r="T965" s="35"/>
      <c r="AA965" s="31"/>
      <c r="AF965" s="32"/>
    </row>
    <row r="966" ht="15.75" customHeight="1">
      <c r="C966" s="29"/>
      <c r="H966" s="31"/>
      <c r="K966" s="32"/>
      <c r="T966" s="35"/>
      <c r="AA966" s="31"/>
      <c r="AF966" s="32"/>
    </row>
    <row r="967" ht="15.75" customHeight="1">
      <c r="C967" s="29"/>
      <c r="H967" s="31"/>
      <c r="K967" s="32"/>
      <c r="T967" s="35"/>
      <c r="AA967" s="31"/>
      <c r="AF967" s="32"/>
    </row>
    <row r="968" ht="15.75" customHeight="1">
      <c r="C968" s="29"/>
      <c r="H968" s="31"/>
      <c r="K968" s="32"/>
      <c r="T968" s="35"/>
      <c r="AA968" s="31"/>
      <c r="AF968" s="32"/>
    </row>
    <row r="969" ht="15.75" customHeight="1">
      <c r="C969" s="29"/>
      <c r="H969" s="31"/>
      <c r="K969" s="32"/>
      <c r="T969" s="35"/>
      <c r="AA969" s="31"/>
      <c r="AF969" s="32"/>
    </row>
    <row r="970" ht="15.75" customHeight="1">
      <c r="C970" s="29"/>
      <c r="H970" s="31"/>
      <c r="K970" s="32"/>
      <c r="T970" s="35"/>
      <c r="AA970" s="31"/>
      <c r="AF970" s="32"/>
    </row>
    <row r="971" ht="15.75" customHeight="1">
      <c r="C971" s="29"/>
      <c r="H971" s="31"/>
      <c r="K971" s="32"/>
      <c r="T971" s="35"/>
      <c r="AA971" s="31"/>
      <c r="AF971" s="32"/>
    </row>
    <row r="972" ht="15.75" customHeight="1">
      <c r="C972" s="29"/>
      <c r="H972" s="31"/>
      <c r="K972" s="32"/>
      <c r="T972" s="35"/>
      <c r="AA972" s="31"/>
      <c r="AF972" s="32"/>
    </row>
    <row r="973" ht="15.75" customHeight="1">
      <c r="C973" s="29"/>
      <c r="H973" s="31"/>
      <c r="K973" s="32"/>
      <c r="T973" s="35"/>
      <c r="AA973" s="31"/>
      <c r="AF973" s="32"/>
    </row>
    <row r="974" ht="15.75" customHeight="1">
      <c r="C974" s="29"/>
      <c r="H974" s="31"/>
      <c r="K974" s="32"/>
      <c r="T974" s="35"/>
      <c r="AA974" s="31"/>
      <c r="AF974" s="32"/>
    </row>
    <row r="975" ht="15.75" customHeight="1">
      <c r="C975" s="29"/>
      <c r="H975" s="31"/>
      <c r="K975" s="32"/>
      <c r="T975" s="35"/>
      <c r="AA975" s="31"/>
      <c r="AF975" s="32"/>
    </row>
    <row r="976" ht="15.75" customHeight="1">
      <c r="C976" s="29"/>
      <c r="H976" s="31"/>
      <c r="K976" s="32"/>
      <c r="T976" s="35"/>
      <c r="AA976" s="31"/>
      <c r="AF976" s="32"/>
    </row>
    <row r="977" ht="15.75" customHeight="1">
      <c r="C977" s="29"/>
      <c r="H977" s="31"/>
      <c r="K977" s="32"/>
      <c r="T977" s="35"/>
      <c r="AA977" s="31"/>
      <c r="AF977" s="32"/>
    </row>
    <row r="978" ht="15.75" customHeight="1">
      <c r="C978" s="29"/>
      <c r="H978" s="31"/>
      <c r="K978" s="32"/>
      <c r="T978" s="35"/>
      <c r="AA978" s="31"/>
      <c r="AF978" s="32"/>
    </row>
    <row r="979" ht="15.75" customHeight="1">
      <c r="C979" s="29"/>
      <c r="H979" s="31"/>
      <c r="K979" s="32"/>
      <c r="T979" s="35"/>
      <c r="AA979" s="31"/>
      <c r="AF979" s="32"/>
    </row>
    <row r="980" ht="15.75" customHeight="1">
      <c r="C980" s="29"/>
      <c r="H980" s="31"/>
      <c r="K980" s="32"/>
      <c r="T980" s="35"/>
      <c r="AA980" s="31"/>
      <c r="AF980" s="32"/>
    </row>
    <row r="981" ht="15.75" customHeight="1">
      <c r="C981" s="29"/>
      <c r="H981" s="31"/>
      <c r="K981" s="32"/>
      <c r="T981" s="35"/>
      <c r="AA981" s="31"/>
      <c r="AF981" s="32"/>
    </row>
    <row r="982" ht="15.75" customHeight="1">
      <c r="C982" s="29"/>
      <c r="H982" s="31"/>
      <c r="K982" s="32"/>
      <c r="T982" s="35"/>
      <c r="AA982" s="31"/>
      <c r="AF982" s="32"/>
    </row>
    <row r="983" ht="15.75" customHeight="1">
      <c r="C983" s="29"/>
      <c r="H983" s="31"/>
      <c r="K983" s="32"/>
      <c r="T983" s="35"/>
      <c r="AA983" s="31"/>
      <c r="AF983" s="32"/>
    </row>
    <row r="984" ht="15.75" customHeight="1">
      <c r="C984" s="29"/>
      <c r="H984" s="31"/>
      <c r="K984" s="32"/>
      <c r="T984" s="35"/>
      <c r="AA984" s="31"/>
      <c r="AF984" s="32"/>
    </row>
    <row r="985" ht="15.75" customHeight="1">
      <c r="C985" s="29"/>
      <c r="H985" s="31"/>
      <c r="K985" s="32"/>
      <c r="T985" s="35"/>
      <c r="AA985" s="31"/>
      <c r="AF985" s="32"/>
    </row>
    <row r="986" ht="15.75" customHeight="1">
      <c r="C986" s="29"/>
      <c r="H986" s="31"/>
      <c r="K986" s="32"/>
      <c r="T986" s="35"/>
      <c r="AA986" s="31"/>
      <c r="AF986" s="32"/>
    </row>
    <row r="987" ht="15.75" customHeight="1">
      <c r="C987" s="29"/>
      <c r="H987" s="31"/>
      <c r="K987" s="32"/>
      <c r="T987" s="35"/>
      <c r="AA987" s="31"/>
      <c r="AF987" s="32"/>
    </row>
    <row r="988" ht="15.75" customHeight="1">
      <c r="C988" s="29"/>
      <c r="H988" s="31"/>
      <c r="K988" s="32"/>
      <c r="T988" s="35"/>
      <c r="AA988" s="31"/>
      <c r="AF988" s="32"/>
    </row>
    <row r="989" ht="15.75" customHeight="1">
      <c r="C989" s="29"/>
      <c r="H989" s="31"/>
      <c r="K989" s="32"/>
      <c r="T989" s="35"/>
      <c r="AA989" s="31"/>
      <c r="AF989" s="32"/>
    </row>
    <row r="990" ht="15.75" customHeight="1">
      <c r="C990" s="29"/>
      <c r="H990" s="31"/>
      <c r="K990" s="32"/>
      <c r="T990" s="35"/>
      <c r="AA990" s="31"/>
      <c r="AF990" s="32"/>
    </row>
    <row r="991" ht="15.75" customHeight="1">
      <c r="C991" s="29"/>
      <c r="H991" s="31"/>
      <c r="K991" s="32"/>
      <c r="T991" s="35"/>
      <c r="AA991" s="31"/>
      <c r="AF991" s="32"/>
    </row>
    <row r="992" ht="15.75" customHeight="1">
      <c r="C992" s="29"/>
      <c r="H992" s="31"/>
      <c r="K992" s="32"/>
      <c r="T992" s="35"/>
      <c r="AA992" s="31"/>
      <c r="AF992" s="32"/>
    </row>
    <row r="993" ht="15.75" customHeight="1">
      <c r="C993" s="29"/>
      <c r="H993" s="31"/>
      <c r="K993" s="32"/>
      <c r="T993" s="35"/>
      <c r="AA993" s="31"/>
      <c r="AF993" s="32"/>
    </row>
    <row r="994" ht="15.75" customHeight="1">
      <c r="C994" s="29"/>
      <c r="H994" s="31"/>
      <c r="K994" s="32"/>
      <c r="T994" s="35"/>
      <c r="AA994" s="31"/>
      <c r="AF994" s="32"/>
    </row>
    <row r="995" ht="15.75" customHeight="1">
      <c r="C995" s="29"/>
      <c r="H995" s="31"/>
      <c r="K995" s="32"/>
      <c r="T995" s="35"/>
      <c r="AA995" s="31"/>
      <c r="AF995" s="32"/>
    </row>
    <row r="996" ht="15.75" customHeight="1">
      <c r="C996" s="29"/>
      <c r="H996" s="31"/>
      <c r="K996" s="32"/>
      <c r="T996" s="35"/>
      <c r="AA996" s="31"/>
      <c r="AF996" s="32"/>
    </row>
    <row r="997" ht="15.75" customHeight="1">
      <c r="C997" s="29"/>
      <c r="H997" s="31"/>
      <c r="K997" s="32"/>
      <c r="T997" s="35"/>
      <c r="AA997" s="31"/>
      <c r="AF997" s="32"/>
    </row>
    <row r="998" ht="15.75" customHeight="1">
      <c r="C998" s="29"/>
      <c r="H998" s="31"/>
      <c r="K998" s="32"/>
      <c r="T998" s="35"/>
      <c r="AA998" s="31"/>
      <c r="AF998" s="32"/>
    </row>
    <row r="999" ht="15.75" customHeight="1">
      <c r="C999" s="29"/>
      <c r="H999" s="31"/>
      <c r="K999" s="32"/>
      <c r="T999" s="35"/>
      <c r="AA999" s="31"/>
      <c r="AF999" s="32"/>
    </row>
    <row r="1000" ht="15.75" customHeight="1">
      <c r="C1000" s="29"/>
      <c r="H1000" s="31"/>
      <c r="K1000" s="32"/>
      <c r="T1000" s="35"/>
      <c r="AA1000" s="31"/>
      <c r="AF1000" s="32"/>
    </row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8.88"/>
    <col customWidth="1" min="2" max="2" width="23.63"/>
    <col customWidth="1" min="3" max="3" width="17.88"/>
    <col customWidth="1" min="4" max="4" width="16.88"/>
    <col customWidth="1" min="5" max="5" width="8.88"/>
    <col customWidth="1" min="6" max="6" width="19.88"/>
    <col customWidth="1" min="7" max="26" width="8.88"/>
  </cols>
  <sheetData>
    <row r="1">
      <c r="A1" s="1" t="s">
        <v>0</v>
      </c>
      <c r="B1" s="5" t="s">
        <v>6</v>
      </c>
      <c r="C1" s="1" t="s">
        <v>12</v>
      </c>
      <c r="D1" s="1" t="s">
        <v>15</v>
      </c>
      <c r="E1" s="1"/>
      <c r="F1" s="5" t="s">
        <v>18</v>
      </c>
      <c r="G1" s="5" t="s">
        <v>20</v>
      </c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7"/>
      <c r="B2" s="7"/>
      <c r="C2" s="7"/>
      <c r="D2" s="7"/>
      <c r="E2" s="7"/>
      <c r="F2" s="10" t="s">
        <v>33</v>
      </c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>
      <c r="F3" s="14"/>
    </row>
    <row r="4">
      <c r="F4" s="14"/>
    </row>
    <row r="5">
      <c r="F5" s="14"/>
    </row>
    <row r="6">
      <c r="F6" s="14"/>
    </row>
    <row r="7">
      <c r="F7" s="14"/>
    </row>
    <row r="8">
      <c r="F8" s="14"/>
    </row>
    <row r="9">
      <c r="F9" s="14"/>
    </row>
    <row r="10">
      <c r="F10" s="14"/>
    </row>
    <row r="11">
      <c r="F11" s="14"/>
    </row>
    <row r="12">
      <c r="F12" s="14"/>
    </row>
    <row r="13">
      <c r="F13" s="14"/>
    </row>
    <row r="14">
      <c r="F14" s="14"/>
    </row>
    <row r="15">
      <c r="F15" s="14"/>
    </row>
    <row r="16">
      <c r="F16" s="14"/>
    </row>
    <row r="17">
      <c r="F17" s="14"/>
    </row>
    <row r="18">
      <c r="F18" s="14"/>
    </row>
    <row r="19">
      <c r="F19" s="14"/>
    </row>
    <row r="20">
      <c r="F20" s="14"/>
    </row>
    <row r="21" ht="15.75" customHeight="1">
      <c r="F21" s="14"/>
    </row>
    <row r="22" ht="15.75" customHeight="1">
      <c r="F22" s="14"/>
    </row>
    <row r="23" ht="15.75" customHeight="1">
      <c r="F23" s="14"/>
    </row>
    <row r="24" ht="15.75" customHeight="1">
      <c r="F24" s="14"/>
    </row>
    <row r="25" ht="15.75" customHeight="1">
      <c r="F25" s="14"/>
    </row>
    <row r="26" ht="15.75" customHeight="1">
      <c r="F26" s="14"/>
    </row>
    <row r="27" ht="15.75" customHeight="1">
      <c r="F27" s="14"/>
    </row>
    <row r="28" ht="15.75" customHeight="1">
      <c r="F28" s="14"/>
    </row>
    <row r="29" ht="15.75" customHeight="1">
      <c r="F29" s="14"/>
    </row>
    <row r="30" ht="15.75" customHeight="1">
      <c r="F30" s="14"/>
    </row>
    <row r="31" ht="15.75" customHeight="1">
      <c r="F31" s="14"/>
    </row>
    <row r="32" ht="15.75" customHeight="1">
      <c r="F32" s="14"/>
    </row>
    <row r="33" ht="15.75" customHeight="1">
      <c r="F33" s="14"/>
    </row>
    <row r="34" ht="15.75" customHeight="1">
      <c r="F34" s="14"/>
    </row>
    <row r="35" ht="15.75" customHeight="1">
      <c r="F35" s="14"/>
    </row>
    <row r="36" ht="15.75" customHeight="1">
      <c r="F36" s="14"/>
    </row>
    <row r="37" ht="15.75" customHeight="1">
      <c r="F37" s="14"/>
    </row>
    <row r="38" ht="15.75" customHeight="1">
      <c r="F38" s="14"/>
    </row>
    <row r="39" ht="15.75" customHeight="1">
      <c r="F39" s="14"/>
    </row>
    <row r="40" ht="15.75" customHeight="1">
      <c r="F40" s="14"/>
    </row>
    <row r="41" ht="15.75" customHeight="1">
      <c r="F41" s="14"/>
    </row>
    <row r="42" ht="15.75" customHeight="1">
      <c r="F42" s="14"/>
    </row>
    <row r="43" ht="15.75" customHeight="1">
      <c r="F43" s="14"/>
    </row>
    <row r="44" ht="15.75" customHeight="1">
      <c r="F44" s="14"/>
    </row>
    <row r="45" ht="15.75" customHeight="1">
      <c r="F45" s="14"/>
    </row>
    <row r="46" ht="15.75" customHeight="1">
      <c r="F46" s="14"/>
    </row>
    <row r="47" ht="15.75" customHeight="1">
      <c r="F47" s="14"/>
    </row>
    <row r="48" ht="15.75" customHeight="1">
      <c r="F48" s="14"/>
    </row>
    <row r="49" ht="15.75" customHeight="1">
      <c r="F49" s="14"/>
    </row>
    <row r="50" ht="15.75" customHeight="1">
      <c r="F50" s="14"/>
    </row>
    <row r="51" ht="15.75" customHeight="1">
      <c r="F51" s="14"/>
    </row>
    <row r="52" ht="15.75" customHeight="1">
      <c r="F52" s="14"/>
    </row>
    <row r="53" ht="15.75" customHeight="1">
      <c r="F53" s="14"/>
    </row>
    <row r="54" ht="15.75" customHeight="1">
      <c r="F54" s="14"/>
    </row>
    <row r="55" ht="15.75" customHeight="1">
      <c r="F55" s="14"/>
    </row>
    <row r="56" ht="15.75" customHeight="1">
      <c r="F56" s="14"/>
    </row>
    <row r="57" ht="15.75" customHeight="1">
      <c r="F57" s="14"/>
    </row>
    <row r="58" ht="15.75" customHeight="1">
      <c r="F58" s="14"/>
    </row>
    <row r="59" ht="15.75" customHeight="1">
      <c r="F59" s="14"/>
    </row>
    <row r="60" ht="15.75" customHeight="1">
      <c r="F60" s="14"/>
    </row>
    <row r="61" ht="15.75" customHeight="1">
      <c r="F61" s="14"/>
    </row>
    <row r="62" ht="15.75" customHeight="1">
      <c r="F62" s="14"/>
    </row>
    <row r="63" ht="15.75" customHeight="1">
      <c r="F63" s="14"/>
    </row>
    <row r="64" ht="15.75" customHeight="1">
      <c r="F64" s="14"/>
    </row>
    <row r="65" ht="15.75" customHeight="1">
      <c r="F65" s="14"/>
    </row>
    <row r="66" ht="15.75" customHeight="1">
      <c r="F66" s="14"/>
    </row>
    <row r="67" ht="15.75" customHeight="1">
      <c r="F67" s="14"/>
    </row>
    <row r="68" ht="15.75" customHeight="1">
      <c r="F68" s="14"/>
    </row>
    <row r="69" ht="15.75" customHeight="1">
      <c r="F69" s="14"/>
    </row>
    <row r="70" ht="15.75" customHeight="1">
      <c r="F70" s="14"/>
    </row>
    <row r="71" ht="15.75" customHeight="1">
      <c r="F71" s="14"/>
    </row>
    <row r="72" ht="15.75" customHeight="1">
      <c r="F72" s="14"/>
    </row>
    <row r="73" ht="15.75" customHeight="1">
      <c r="F73" s="14"/>
    </row>
    <row r="74" ht="15.75" customHeight="1">
      <c r="F74" s="14"/>
    </row>
    <row r="75" ht="15.75" customHeight="1">
      <c r="F75" s="14"/>
    </row>
    <row r="76" ht="15.75" customHeight="1">
      <c r="F76" s="14"/>
    </row>
    <row r="77" ht="15.75" customHeight="1">
      <c r="F77" s="14"/>
    </row>
    <row r="78" ht="15.75" customHeight="1">
      <c r="F78" s="14"/>
    </row>
    <row r="79" ht="15.75" customHeight="1">
      <c r="F79" s="14"/>
    </row>
    <row r="80" ht="15.75" customHeight="1">
      <c r="F80" s="14"/>
    </row>
    <row r="81" ht="15.75" customHeight="1">
      <c r="F81" s="14"/>
    </row>
    <row r="82" ht="15.75" customHeight="1">
      <c r="F82" s="14"/>
    </row>
    <row r="83" ht="15.75" customHeight="1">
      <c r="F83" s="14"/>
    </row>
    <row r="84" ht="15.75" customHeight="1">
      <c r="F84" s="14"/>
    </row>
    <row r="85" ht="15.75" customHeight="1">
      <c r="F85" s="14"/>
    </row>
    <row r="86" ht="15.75" customHeight="1">
      <c r="F86" s="14"/>
    </row>
    <row r="87" ht="15.75" customHeight="1">
      <c r="F87" s="14"/>
    </row>
    <row r="88" ht="15.75" customHeight="1">
      <c r="F88" s="14"/>
    </row>
    <row r="89" ht="15.75" customHeight="1">
      <c r="F89" s="14"/>
    </row>
    <row r="90" ht="15.75" customHeight="1">
      <c r="F90" s="14"/>
    </row>
    <row r="91" ht="15.75" customHeight="1">
      <c r="F91" s="14"/>
    </row>
    <row r="92" ht="15.75" customHeight="1">
      <c r="F92" s="14"/>
    </row>
    <row r="93" ht="15.75" customHeight="1">
      <c r="F93" s="14"/>
    </row>
    <row r="94" ht="15.75" customHeight="1">
      <c r="F94" s="14"/>
    </row>
    <row r="95" ht="15.75" customHeight="1">
      <c r="F95" s="14"/>
    </row>
    <row r="96" ht="15.75" customHeight="1">
      <c r="F96" s="14"/>
    </row>
    <row r="97" ht="15.75" customHeight="1">
      <c r="F97" s="14"/>
    </row>
    <row r="98" ht="15.75" customHeight="1">
      <c r="F98" s="14"/>
    </row>
    <row r="99" ht="15.75" customHeight="1">
      <c r="F99" s="14"/>
    </row>
    <row r="100" ht="15.75" customHeight="1">
      <c r="F100" s="14"/>
    </row>
    <row r="101" ht="15.75" customHeight="1">
      <c r="F101" s="14"/>
    </row>
    <row r="102" ht="15.75" customHeight="1">
      <c r="F102" s="14"/>
    </row>
    <row r="103" ht="15.75" customHeight="1">
      <c r="F103" s="14"/>
    </row>
    <row r="104" ht="15.75" customHeight="1">
      <c r="F104" s="14"/>
    </row>
    <row r="105" ht="15.75" customHeight="1">
      <c r="F105" s="14"/>
    </row>
    <row r="106" ht="15.75" customHeight="1">
      <c r="F106" s="14"/>
    </row>
    <row r="107" ht="15.75" customHeight="1">
      <c r="F107" s="14"/>
    </row>
    <row r="108" ht="15.75" customHeight="1">
      <c r="F108" s="14"/>
    </row>
    <row r="109" ht="15.75" customHeight="1">
      <c r="F109" s="14"/>
    </row>
    <row r="110" ht="15.75" customHeight="1">
      <c r="F110" s="14"/>
    </row>
    <row r="111" ht="15.75" customHeight="1">
      <c r="F111" s="14"/>
    </row>
    <row r="112" ht="15.75" customHeight="1">
      <c r="F112" s="14"/>
    </row>
    <row r="113" ht="15.75" customHeight="1">
      <c r="F113" s="14"/>
    </row>
    <row r="114" ht="15.75" customHeight="1">
      <c r="F114" s="14"/>
    </row>
    <row r="115" ht="15.75" customHeight="1">
      <c r="F115" s="14"/>
    </row>
    <row r="116" ht="15.75" customHeight="1">
      <c r="F116" s="14"/>
    </row>
    <row r="117" ht="15.75" customHeight="1">
      <c r="F117" s="14"/>
    </row>
    <row r="118" ht="15.75" customHeight="1">
      <c r="F118" s="14"/>
    </row>
    <row r="119" ht="15.75" customHeight="1">
      <c r="F119" s="14"/>
    </row>
    <row r="120" ht="15.75" customHeight="1">
      <c r="F120" s="14"/>
    </row>
    <row r="121" ht="15.75" customHeight="1">
      <c r="F121" s="14"/>
    </row>
    <row r="122" ht="15.75" customHeight="1">
      <c r="F122" s="14"/>
    </row>
    <row r="123" ht="15.75" customHeight="1">
      <c r="F123" s="14"/>
    </row>
    <row r="124" ht="15.75" customHeight="1">
      <c r="F124" s="14"/>
    </row>
    <row r="125" ht="15.75" customHeight="1">
      <c r="F125" s="14"/>
    </row>
    <row r="126" ht="15.75" customHeight="1">
      <c r="F126" s="14"/>
    </row>
    <row r="127" ht="15.75" customHeight="1">
      <c r="F127" s="14"/>
    </row>
    <row r="128" ht="15.75" customHeight="1">
      <c r="F128" s="14"/>
    </row>
    <row r="129" ht="15.75" customHeight="1">
      <c r="F129" s="14"/>
    </row>
    <row r="130" ht="15.75" customHeight="1">
      <c r="F130" s="14"/>
    </row>
    <row r="131" ht="15.75" customHeight="1">
      <c r="F131" s="14"/>
    </row>
    <row r="132" ht="15.75" customHeight="1">
      <c r="F132" s="14"/>
    </row>
    <row r="133" ht="15.75" customHeight="1">
      <c r="F133" s="14"/>
    </row>
    <row r="134" ht="15.75" customHeight="1">
      <c r="F134" s="14"/>
    </row>
    <row r="135" ht="15.75" customHeight="1">
      <c r="F135" s="14"/>
    </row>
    <row r="136" ht="15.75" customHeight="1">
      <c r="F136" s="14"/>
    </row>
    <row r="137" ht="15.75" customHeight="1">
      <c r="F137" s="14"/>
    </row>
    <row r="138" ht="15.75" customHeight="1">
      <c r="F138" s="14"/>
    </row>
    <row r="139" ht="15.75" customHeight="1">
      <c r="F139" s="14"/>
    </row>
    <row r="140" ht="15.75" customHeight="1">
      <c r="F140" s="14"/>
    </row>
    <row r="141" ht="15.75" customHeight="1">
      <c r="F141" s="14"/>
    </row>
    <row r="142" ht="15.75" customHeight="1">
      <c r="F142" s="14"/>
    </row>
    <row r="143" ht="15.75" customHeight="1">
      <c r="F143" s="14"/>
    </row>
    <row r="144" ht="15.75" customHeight="1">
      <c r="F144" s="14"/>
    </row>
    <row r="145" ht="15.75" customHeight="1">
      <c r="F145" s="14"/>
    </row>
    <row r="146" ht="15.75" customHeight="1">
      <c r="F146" s="14"/>
    </row>
    <row r="147" ht="15.75" customHeight="1">
      <c r="F147" s="14"/>
    </row>
    <row r="148" ht="15.75" customHeight="1">
      <c r="F148" s="14"/>
    </row>
    <row r="149" ht="15.75" customHeight="1">
      <c r="F149" s="14"/>
    </row>
    <row r="150" ht="15.75" customHeight="1">
      <c r="F150" s="14"/>
    </row>
    <row r="151" ht="15.75" customHeight="1">
      <c r="F151" s="14"/>
    </row>
    <row r="152" ht="15.75" customHeight="1">
      <c r="F152" s="14"/>
    </row>
    <row r="153" ht="15.75" customHeight="1">
      <c r="F153" s="14"/>
    </row>
    <row r="154" ht="15.75" customHeight="1">
      <c r="F154" s="14"/>
    </row>
    <row r="155" ht="15.75" customHeight="1">
      <c r="F155" s="14"/>
    </row>
    <row r="156" ht="15.75" customHeight="1">
      <c r="F156" s="14"/>
    </row>
    <row r="157" ht="15.75" customHeight="1">
      <c r="F157" s="14"/>
    </row>
    <row r="158" ht="15.75" customHeight="1">
      <c r="F158" s="14"/>
    </row>
    <row r="159" ht="15.75" customHeight="1">
      <c r="F159" s="14"/>
    </row>
    <row r="160" ht="15.75" customHeight="1">
      <c r="F160" s="14"/>
    </row>
    <row r="161" ht="15.75" customHeight="1">
      <c r="F161" s="14"/>
    </row>
    <row r="162" ht="15.75" customHeight="1">
      <c r="F162" s="14"/>
    </row>
    <row r="163" ht="15.75" customHeight="1">
      <c r="F163" s="14"/>
    </row>
    <row r="164" ht="15.75" customHeight="1">
      <c r="F164" s="14"/>
    </row>
    <row r="165" ht="15.75" customHeight="1">
      <c r="F165" s="14"/>
    </row>
    <row r="166" ht="15.75" customHeight="1">
      <c r="F166" s="14"/>
    </row>
    <row r="167" ht="15.75" customHeight="1">
      <c r="F167" s="14"/>
    </row>
    <row r="168" ht="15.75" customHeight="1">
      <c r="F168" s="14"/>
    </row>
    <row r="169" ht="15.75" customHeight="1">
      <c r="F169" s="14"/>
    </row>
    <row r="170" ht="15.75" customHeight="1">
      <c r="F170" s="14"/>
    </row>
    <row r="171" ht="15.75" customHeight="1">
      <c r="F171" s="14"/>
    </row>
    <row r="172" ht="15.75" customHeight="1">
      <c r="F172" s="14"/>
    </row>
    <row r="173" ht="15.75" customHeight="1">
      <c r="F173" s="14"/>
    </row>
    <row r="174" ht="15.75" customHeight="1">
      <c r="F174" s="14"/>
    </row>
    <row r="175" ht="15.75" customHeight="1">
      <c r="F175" s="14"/>
    </row>
    <row r="176" ht="15.75" customHeight="1">
      <c r="F176" s="14"/>
    </row>
    <row r="177" ht="15.75" customHeight="1">
      <c r="F177" s="14"/>
    </row>
    <row r="178" ht="15.75" customHeight="1">
      <c r="F178" s="14"/>
    </row>
    <row r="179" ht="15.75" customHeight="1">
      <c r="F179" s="14"/>
    </row>
    <row r="180" ht="15.75" customHeight="1">
      <c r="F180" s="14"/>
    </row>
    <row r="181" ht="15.75" customHeight="1">
      <c r="F181" s="14"/>
    </row>
    <row r="182" ht="15.75" customHeight="1">
      <c r="F182" s="14"/>
    </row>
    <row r="183" ht="15.75" customHeight="1">
      <c r="F183" s="14"/>
    </row>
    <row r="184" ht="15.75" customHeight="1">
      <c r="F184" s="14"/>
    </row>
    <row r="185" ht="15.75" customHeight="1">
      <c r="F185" s="14"/>
    </row>
    <row r="186" ht="15.75" customHeight="1">
      <c r="F186" s="14"/>
    </row>
    <row r="187" ht="15.75" customHeight="1">
      <c r="F187" s="14"/>
    </row>
    <row r="188" ht="15.75" customHeight="1">
      <c r="F188" s="14"/>
    </row>
    <row r="189" ht="15.75" customHeight="1">
      <c r="F189" s="14"/>
    </row>
    <row r="190" ht="15.75" customHeight="1">
      <c r="F190" s="14"/>
    </row>
    <row r="191" ht="15.75" customHeight="1">
      <c r="F191" s="14"/>
    </row>
    <row r="192" ht="15.75" customHeight="1">
      <c r="F192" s="14"/>
    </row>
    <row r="193" ht="15.75" customHeight="1">
      <c r="F193" s="14"/>
    </row>
    <row r="194" ht="15.75" customHeight="1">
      <c r="F194" s="14"/>
    </row>
    <row r="195" ht="15.75" customHeight="1">
      <c r="F195" s="14"/>
    </row>
    <row r="196" ht="15.75" customHeight="1">
      <c r="F196" s="14"/>
    </row>
    <row r="197" ht="15.75" customHeight="1">
      <c r="F197" s="14"/>
    </row>
    <row r="198" ht="15.75" customHeight="1">
      <c r="F198" s="14"/>
    </row>
    <row r="199" ht="15.75" customHeight="1">
      <c r="F199" s="14"/>
    </row>
    <row r="200" ht="15.75" customHeight="1">
      <c r="F200" s="14"/>
    </row>
    <row r="201" ht="15.75" customHeight="1">
      <c r="F201" s="14"/>
    </row>
    <row r="202" ht="15.75" customHeight="1">
      <c r="F202" s="14"/>
    </row>
    <row r="203" ht="15.75" customHeight="1">
      <c r="F203" s="14"/>
    </row>
    <row r="204" ht="15.75" customHeight="1">
      <c r="F204" s="14"/>
    </row>
    <row r="205" ht="15.75" customHeight="1">
      <c r="F205" s="14"/>
    </row>
    <row r="206" ht="15.75" customHeight="1">
      <c r="F206" s="14"/>
    </row>
    <row r="207" ht="15.75" customHeight="1">
      <c r="F207" s="14"/>
    </row>
    <row r="208" ht="15.75" customHeight="1">
      <c r="F208" s="14"/>
    </row>
    <row r="209" ht="15.75" customHeight="1">
      <c r="F209" s="14"/>
    </row>
    <row r="210" ht="15.75" customHeight="1">
      <c r="F210" s="14"/>
    </row>
    <row r="211" ht="15.75" customHeight="1">
      <c r="F211" s="14"/>
    </row>
    <row r="212" ht="15.75" customHeight="1">
      <c r="F212" s="14"/>
    </row>
    <row r="213" ht="15.75" customHeight="1">
      <c r="F213" s="14"/>
    </row>
    <row r="214" ht="15.75" customHeight="1">
      <c r="F214" s="14"/>
    </row>
    <row r="215" ht="15.75" customHeight="1">
      <c r="F215" s="14"/>
    </row>
    <row r="216" ht="15.75" customHeight="1">
      <c r="F216" s="14"/>
    </row>
    <row r="217" ht="15.75" customHeight="1">
      <c r="F217" s="14"/>
    </row>
    <row r="218" ht="15.75" customHeight="1">
      <c r="F218" s="14"/>
    </row>
    <row r="219" ht="15.75" customHeight="1">
      <c r="F219" s="14"/>
    </row>
    <row r="220" ht="15.75" customHeight="1">
      <c r="F220" s="14"/>
    </row>
    <row r="221" ht="15.75" customHeight="1">
      <c r="F221" s="14"/>
    </row>
    <row r="222" ht="15.75" customHeight="1">
      <c r="F222" s="14"/>
    </row>
    <row r="223" ht="15.75" customHeight="1">
      <c r="F223" s="14"/>
    </row>
    <row r="224" ht="15.75" customHeight="1">
      <c r="F224" s="14"/>
    </row>
    <row r="225" ht="15.75" customHeight="1">
      <c r="F225" s="14"/>
    </row>
    <row r="226" ht="15.75" customHeight="1">
      <c r="F226" s="14"/>
    </row>
    <row r="227" ht="15.75" customHeight="1">
      <c r="F227" s="14"/>
    </row>
    <row r="228" ht="15.75" customHeight="1">
      <c r="F228" s="14"/>
    </row>
    <row r="229" ht="15.75" customHeight="1">
      <c r="F229" s="14"/>
    </row>
    <row r="230" ht="15.75" customHeight="1">
      <c r="F230" s="14"/>
    </row>
    <row r="231" ht="15.75" customHeight="1">
      <c r="F231" s="14"/>
    </row>
    <row r="232" ht="15.75" customHeight="1">
      <c r="F232" s="14"/>
    </row>
    <row r="233" ht="15.75" customHeight="1">
      <c r="F233" s="14"/>
    </row>
    <row r="234" ht="15.75" customHeight="1">
      <c r="F234" s="14"/>
    </row>
    <row r="235" ht="15.75" customHeight="1">
      <c r="F235" s="14"/>
    </row>
    <row r="236" ht="15.75" customHeight="1">
      <c r="F236" s="14"/>
    </row>
    <row r="237" ht="15.75" customHeight="1">
      <c r="F237" s="14"/>
    </row>
    <row r="238" ht="15.75" customHeight="1">
      <c r="F238" s="14"/>
    </row>
    <row r="239" ht="15.75" customHeight="1">
      <c r="F239" s="14"/>
    </row>
    <row r="240" ht="15.75" customHeight="1">
      <c r="F240" s="14"/>
    </row>
    <row r="241" ht="15.75" customHeight="1">
      <c r="F241" s="14"/>
    </row>
    <row r="242" ht="15.75" customHeight="1">
      <c r="F242" s="14"/>
    </row>
    <row r="243" ht="15.75" customHeight="1">
      <c r="F243" s="14"/>
    </row>
    <row r="244" ht="15.75" customHeight="1">
      <c r="F244" s="14"/>
    </row>
    <row r="245" ht="15.75" customHeight="1">
      <c r="F245" s="14"/>
    </row>
    <row r="246" ht="15.75" customHeight="1">
      <c r="F246" s="14"/>
    </row>
    <row r="247" ht="15.75" customHeight="1">
      <c r="F247" s="14"/>
    </row>
    <row r="248" ht="15.75" customHeight="1">
      <c r="F248" s="14"/>
    </row>
    <row r="249" ht="15.75" customHeight="1">
      <c r="F249" s="14"/>
    </row>
    <row r="250" ht="15.75" customHeight="1">
      <c r="F250" s="14"/>
    </row>
    <row r="251" ht="15.75" customHeight="1">
      <c r="F251" s="14"/>
    </row>
    <row r="252" ht="15.75" customHeight="1">
      <c r="F252" s="14"/>
    </row>
    <row r="253" ht="15.75" customHeight="1">
      <c r="F253" s="14"/>
    </row>
    <row r="254" ht="15.75" customHeight="1">
      <c r="F254" s="14"/>
    </row>
    <row r="255" ht="15.75" customHeight="1">
      <c r="F255" s="14"/>
    </row>
    <row r="256" ht="15.75" customHeight="1">
      <c r="F256" s="14"/>
    </row>
    <row r="257" ht="15.75" customHeight="1">
      <c r="F257" s="14"/>
    </row>
    <row r="258" ht="15.75" customHeight="1">
      <c r="F258" s="14"/>
    </row>
    <row r="259" ht="15.75" customHeight="1">
      <c r="F259" s="14"/>
    </row>
    <row r="260" ht="15.75" customHeight="1">
      <c r="F260" s="14"/>
    </row>
    <row r="261" ht="15.75" customHeight="1">
      <c r="F261" s="14"/>
    </row>
    <row r="262" ht="15.75" customHeight="1">
      <c r="F262" s="14"/>
    </row>
    <row r="263" ht="15.75" customHeight="1">
      <c r="F263" s="14"/>
    </row>
    <row r="264" ht="15.75" customHeight="1">
      <c r="F264" s="14"/>
    </row>
    <row r="265" ht="15.75" customHeight="1">
      <c r="F265" s="14"/>
    </row>
    <row r="266" ht="15.75" customHeight="1">
      <c r="F266" s="14"/>
    </row>
    <row r="267" ht="15.75" customHeight="1">
      <c r="F267" s="14"/>
    </row>
    <row r="268" ht="15.75" customHeight="1">
      <c r="F268" s="14"/>
    </row>
    <row r="269" ht="15.75" customHeight="1">
      <c r="F269" s="14"/>
    </row>
    <row r="270" ht="15.75" customHeight="1">
      <c r="F270" s="14"/>
    </row>
    <row r="271" ht="15.75" customHeight="1">
      <c r="F271" s="14"/>
    </row>
    <row r="272" ht="15.75" customHeight="1">
      <c r="F272" s="14"/>
    </row>
    <row r="273" ht="15.75" customHeight="1">
      <c r="F273" s="14"/>
    </row>
    <row r="274" ht="15.75" customHeight="1">
      <c r="F274" s="14"/>
    </row>
    <row r="275" ht="15.75" customHeight="1">
      <c r="F275" s="14"/>
    </row>
    <row r="276" ht="15.75" customHeight="1">
      <c r="F276" s="14"/>
    </row>
    <row r="277" ht="15.75" customHeight="1">
      <c r="F277" s="14"/>
    </row>
    <row r="278" ht="15.75" customHeight="1">
      <c r="F278" s="14"/>
    </row>
    <row r="279" ht="15.75" customHeight="1">
      <c r="F279" s="14"/>
    </row>
    <row r="280" ht="15.75" customHeight="1">
      <c r="F280" s="14"/>
    </row>
    <row r="281" ht="15.75" customHeight="1">
      <c r="F281" s="14"/>
    </row>
    <row r="282" ht="15.75" customHeight="1">
      <c r="F282" s="14"/>
    </row>
    <row r="283" ht="15.75" customHeight="1">
      <c r="F283" s="14"/>
    </row>
    <row r="284" ht="15.75" customHeight="1">
      <c r="F284" s="14"/>
    </row>
    <row r="285" ht="15.75" customHeight="1">
      <c r="F285" s="14"/>
    </row>
    <row r="286" ht="15.75" customHeight="1">
      <c r="F286" s="14"/>
    </row>
    <row r="287" ht="15.75" customHeight="1">
      <c r="F287" s="14"/>
    </row>
    <row r="288" ht="15.75" customHeight="1">
      <c r="F288" s="14"/>
    </row>
    <row r="289" ht="15.75" customHeight="1">
      <c r="F289" s="14"/>
    </row>
    <row r="290" ht="15.75" customHeight="1">
      <c r="F290" s="14"/>
    </row>
    <row r="291" ht="15.75" customHeight="1">
      <c r="F291" s="14"/>
    </row>
    <row r="292" ht="15.75" customHeight="1">
      <c r="F292" s="14"/>
    </row>
    <row r="293" ht="15.75" customHeight="1">
      <c r="F293" s="14"/>
    </row>
    <row r="294" ht="15.75" customHeight="1">
      <c r="F294" s="14"/>
    </row>
    <row r="295" ht="15.75" customHeight="1">
      <c r="F295" s="14"/>
    </row>
    <row r="296" ht="15.75" customHeight="1">
      <c r="F296" s="14"/>
    </row>
    <row r="297" ht="15.75" customHeight="1">
      <c r="F297" s="14"/>
    </row>
    <row r="298" ht="15.75" customHeight="1">
      <c r="F298" s="14"/>
    </row>
    <row r="299" ht="15.75" customHeight="1">
      <c r="F299" s="14"/>
    </row>
    <row r="300" ht="15.75" customHeight="1">
      <c r="F300" s="14"/>
    </row>
    <row r="301" ht="15.75" customHeight="1">
      <c r="F301" s="14"/>
    </row>
    <row r="302" ht="15.75" customHeight="1">
      <c r="F302" s="14"/>
    </row>
    <row r="303" ht="15.75" customHeight="1">
      <c r="F303" s="14"/>
    </row>
    <row r="304" ht="15.75" customHeight="1">
      <c r="F304" s="14"/>
    </row>
    <row r="305" ht="15.75" customHeight="1">
      <c r="F305" s="14"/>
    </row>
    <row r="306" ht="15.75" customHeight="1">
      <c r="F306" s="14"/>
    </row>
    <row r="307" ht="15.75" customHeight="1">
      <c r="F307" s="14"/>
    </row>
    <row r="308" ht="15.75" customHeight="1">
      <c r="F308" s="14"/>
    </row>
    <row r="309" ht="15.75" customHeight="1">
      <c r="F309" s="14"/>
    </row>
    <row r="310" ht="15.75" customHeight="1">
      <c r="F310" s="14"/>
    </row>
    <row r="311" ht="15.75" customHeight="1">
      <c r="F311" s="14"/>
    </row>
    <row r="312" ht="15.75" customHeight="1">
      <c r="F312" s="14"/>
    </row>
    <row r="313" ht="15.75" customHeight="1">
      <c r="F313" s="14"/>
    </row>
    <row r="314" ht="15.75" customHeight="1">
      <c r="F314" s="14"/>
    </row>
    <row r="315" ht="15.75" customHeight="1">
      <c r="F315" s="14"/>
    </row>
    <row r="316" ht="15.75" customHeight="1">
      <c r="F316" s="14"/>
    </row>
    <row r="317" ht="15.75" customHeight="1">
      <c r="F317" s="14"/>
    </row>
    <row r="318" ht="15.75" customHeight="1">
      <c r="F318" s="14"/>
    </row>
    <row r="319" ht="15.75" customHeight="1">
      <c r="F319" s="14"/>
    </row>
    <row r="320" ht="15.75" customHeight="1">
      <c r="F320" s="14"/>
    </row>
    <row r="321" ht="15.75" customHeight="1">
      <c r="F321" s="14"/>
    </row>
    <row r="322" ht="15.75" customHeight="1">
      <c r="F322" s="14"/>
    </row>
    <row r="323" ht="15.75" customHeight="1">
      <c r="F323" s="14"/>
    </row>
    <row r="324" ht="15.75" customHeight="1">
      <c r="F324" s="14"/>
    </row>
    <row r="325" ht="15.75" customHeight="1">
      <c r="F325" s="14"/>
    </row>
    <row r="326" ht="15.75" customHeight="1">
      <c r="F326" s="14"/>
    </row>
    <row r="327" ht="15.75" customHeight="1">
      <c r="F327" s="14"/>
    </row>
    <row r="328" ht="15.75" customHeight="1">
      <c r="F328" s="14"/>
    </row>
    <row r="329" ht="15.75" customHeight="1">
      <c r="F329" s="14"/>
    </row>
    <row r="330" ht="15.75" customHeight="1">
      <c r="F330" s="14"/>
    </row>
    <row r="331" ht="15.75" customHeight="1">
      <c r="F331" s="14"/>
    </row>
    <row r="332" ht="15.75" customHeight="1">
      <c r="F332" s="14"/>
    </row>
    <row r="333" ht="15.75" customHeight="1">
      <c r="F333" s="14"/>
    </row>
    <row r="334" ht="15.75" customHeight="1">
      <c r="F334" s="14"/>
    </row>
    <row r="335" ht="15.75" customHeight="1">
      <c r="F335" s="14"/>
    </row>
    <row r="336" ht="15.75" customHeight="1">
      <c r="F336" s="14"/>
    </row>
    <row r="337" ht="15.75" customHeight="1">
      <c r="F337" s="14"/>
    </row>
    <row r="338" ht="15.75" customHeight="1">
      <c r="F338" s="14"/>
    </row>
    <row r="339" ht="15.75" customHeight="1">
      <c r="F339" s="14"/>
    </row>
    <row r="340" ht="15.75" customHeight="1">
      <c r="F340" s="14"/>
    </row>
    <row r="341" ht="15.75" customHeight="1">
      <c r="F341" s="14"/>
    </row>
    <row r="342" ht="15.75" customHeight="1">
      <c r="F342" s="14"/>
    </row>
    <row r="343" ht="15.75" customHeight="1">
      <c r="F343" s="14"/>
    </row>
    <row r="344" ht="15.75" customHeight="1">
      <c r="F344" s="14"/>
    </row>
    <row r="345" ht="15.75" customHeight="1">
      <c r="F345" s="14"/>
    </row>
    <row r="346" ht="15.75" customHeight="1">
      <c r="F346" s="14"/>
    </row>
    <row r="347" ht="15.75" customHeight="1">
      <c r="F347" s="14"/>
    </row>
    <row r="348" ht="15.75" customHeight="1">
      <c r="F348" s="14"/>
    </row>
    <row r="349" ht="15.75" customHeight="1">
      <c r="F349" s="14"/>
    </row>
    <row r="350" ht="15.75" customHeight="1">
      <c r="F350" s="14"/>
    </row>
    <row r="351" ht="15.75" customHeight="1">
      <c r="F351" s="14"/>
    </row>
    <row r="352" ht="15.75" customHeight="1">
      <c r="F352" s="14"/>
    </row>
    <row r="353" ht="15.75" customHeight="1">
      <c r="F353" s="14"/>
    </row>
    <row r="354" ht="15.75" customHeight="1">
      <c r="F354" s="14"/>
    </row>
    <row r="355" ht="15.75" customHeight="1">
      <c r="F355" s="14"/>
    </row>
    <row r="356" ht="15.75" customHeight="1">
      <c r="F356" s="14"/>
    </row>
    <row r="357" ht="15.75" customHeight="1">
      <c r="F357" s="14"/>
    </row>
    <row r="358" ht="15.75" customHeight="1">
      <c r="F358" s="14"/>
    </row>
    <row r="359" ht="15.75" customHeight="1">
      <c r="F359" s="14"/>
    </row>
    <row r="360" ht="15.75" customHeight="1">
      <c r="F360" s="14"/>
    </row>
    <row r="361" ht="15.75" customHeight="1">
      <c r="F361" s="14"/>
    </row>
    <row r="362" ht="15.75" customHeight="1">
      <c r="F362" s="14"/>
    </row>
    <row r="363" ht="15.75" customHeight="1">
      <c r="F363" s="14"/>
    </row>
    <row r="364" ht="15.75" customHeight="1">
      <c r="F364" s="14"/>
    </row>
    <row r="365" ht="15.75" customHeight="1">
      <c r="F365" s="14"/>
    </row>
    <row r="366" ht="15.75" customHeight="1">
      <c r="F366" s="14"/>
    </row>
    <row r="367" ht="15.75" customHeight="1">
      <c r="F367" s="14"/>
    </row>
    <row r="368" ht="15.75" customHeight="1">
      <c r="F368" s="14"/>
    </row>
    <row r="369" ht="15.75" customHeight="1">
      <c r="F369" s="14"/>
    </row>
    <row r="370" ht="15.75" customHeight="1">
      <c r="F370" s="14"/>
    </row>
    <row r="371" ht="15.75" customHeight="1">
      <c r="F371" s="14"/>
    </row>
    <row r="372" ht="15.75" customHeight="1">
      <c r="F372" s="14"/>
    </row>
    <row r="373" ht="15.75" customHeight="1">
      <c r="F373" s="14"/>
    </row>
    <row r="374" ht="15.75" customHeight="1">
      <c r="F374" s="14"/>
    </row>
    <row r="375" ht="15.75" customHeight="1">
      <c r="F375" s="14"/>
    </row>
    <row r="376" ht="15.75" customHeight="1">
      <c r="F376" s="14"/>
    </row>
    <row r="377" ht="15.75" customHeight="1">
      <c r="F377" s="14"/>
    </row>
    <row r="378" ht="15.75" customHeight="1">
      <c r="F378" s="14"/>
    </row>
    <row r="379" ht="15.75" customHeight="1">
      <c r="F379" s="14"/>
    </row>
    <row r="380" ht="15.75" customHeight="1">
      <c r="F380" s="14"/>
    </row>
    <row r="381" ht="15.75" customHeight="1">
      <c r="F381" s="14"/>
    </row>
    <row r="382" ht="15.75" customHeight="1">
      <c r="F382" s="14"/>
    </row>
    <row r="383" ht="15.75" customHeight="1">
      <c r="F383" s="14"/>
    </row>
    <row r="384" ht="15.75" customHeight="1">
      <c r="F384" s="14"/>
    </row>
    <row r="385" ht="15.75" customHeight="1">
      <c r="F385" s="14"/>
    </row>
    <row r="386" ht="15.75" customHeight="1">
      <c r="F386" s="14"/>
    </row>
    <row r="387" ht="15.75" customHeight="1">
      <c r="F387" s="14"/>
    </row>
    <row r="388" ht="15.75" customHeight="1">
      <c r="F388" s="14"/>
    </row>
    <row r="389" ht="15.75" customHeight="1">
      <c r="F389" s="14"/>
    </row>
    <row r="390" ht="15.75" customHeight="1">
      <c r="F390" s="14"/>
    </row>
    <row r="391" ht="15.75" customHeight="1">
      <c r="F391" s="14"/>
    </row>
    <row r="392" ht="15.75" customHeight="1">
      <c r="F392" s="14"/>
    </row>
    <row r="393" ht="15.75" customHeight="1">
      <c r="F393" s="14"/>
    </row>
    <row r="394" ht="15.75" customHeight="1">
      <c r="F394" s="14"/>
    </row>
    <row r="395" ht="15.75" customHeight="1">
      <c r="F395" s="14"/>
    </row>
    <row r="396" ht="15.75" customHeight="1">
      <c r="F396" s="14"/>
    </row>
    <row r="397" ht="15.75" customHeight="1">
      <c r="F397" s="14"/>
    </row>
    <row r="398" ht="15.75" customHeight="1">
      <c r="F398" s="14"/>
    </row>
    <row r="399" ht="15.75" customHeight="1">
      <c r="F399" s="14"/>
    </row>
    <row r="400" ht="15.75" customHeight="1">
      <c r="F400" s="14"/>
    </row>
    <row r="401" ht="15.75" customHeight="1">
      <c r="F401" s="14"/>
    </row>
    <row r="402" ht="15.75" customHeight="1">
      <c r="F402" s="14"/>
    </row>
    <row r="403" ht="15.75" customHeight="1">
      <c r="F403" s="14"/>
    </row>
    <row r="404" ht="15.75" customHeight="1">
      <c r="F404" s="14"/>
    </row>
    <row r="405" ht="15.75" customHeight="1">
      <c r="F405" s="14"/>
    </row>
    <row r="406" ht="15.75" customHeight="1">
      <c r="F406" s="14"/>
    </row>
    <row r="407" ht="15.75" customHeight="1">
      <c r="F407" s="14"/>
    </row>
    <row r="408" ht="15.75" customHeight="1">
      <c r="F408" s="14"/>
    </row>
    <row r="409" ht="15.75" customHeight="1">
      <c r="F409" s="14"/>
    </row>
    <row r="410" ht="15.75" customHeight="1">
      <c r="F410" s="14"/>
    </row>
    <row r="411" ht="15.75" customHeight="1">
      <c r="F411" s="14"/>
    </row>
    <row r="412" ht="15.75" customHeight="1">
      <c r="F412" s="14"/>
    </row>
    <row r="413" ht="15.75" customHeight="1">
      <c r="F413" s="14"/>
    </row>
    <row r="414" ht="15.75" customHeight="1">
      <c r="F414" s="14"/>
    </row>
    <row r="415" ht="15.75" customHeight="1">
      <c r="F415" s="14"/>
    </row>
    <row r="416" ht="15.75" customHeight="1">
      <c r="F416" s="14"/>
    </row>
    <row r="417" ht="15.75" customHeight="1">
      <c r="F417" s="14"/>
    </row>
    <row r="418" ht="15.75" customHeight="1">
      <c r="F418" s="14"/>
    </row>
    <row r="419" ht="15.75" customHeight="1">
      <c r="F419" s="14"/>
    </row>
    <row r="420" ht="15.75" customHeight="1">
      <c r="F420" s="14"/>
    </row>
    <row r="421" ht="15.75" customHeight="1">
      <c r="F421" s="14"/>
    </row>
    <row r="422" ht="15.75" customHeight="1">
      <c r="F422" s="14"/>
    </row>
    <row r="423" ht="15.75" customHeight="1">
      <c r="F423" s="14"/>
    </row>
    <row r="424" ht="15.75" customHeight="1">
      <c r="F424" s="14"/>
    </row>
    <row r="425" ht="15.75" customHeight="1">
      <c r="F425" s="14"/>
    </row>
    <row r="426" ht="15.75" customHeight="1">
      <c r="F426" s="14"/>
    </row>
    <row r="427" ht="15.75" customHeight="1">
      <c r="F427" s="14"/>
    </row>
    <row r="428" ht="15.75" customHeight="1">
      <c r="F428" s="14"/>
    </row>
    <row r="429" ht="15.75" customHeight="1">
      <c r="F429" s="14"/>
    </row>
    <row r="430" ht="15.75" customHeight="1">
      <c r="F430" s="14"/>
    </row>
    <row r="431" ht="15.75" customHeight="1">
      <c r="F431" s="14"/>
    </row>
    <row r="432" ht="15.75" customHeight="1">
      <c r="F432" s="14"/>
    </row>
    <row r="433" ht="15.75" customHeight="1">
      <c r="F433" s="14"/>
    </row>
    <row r="434" ht="15.75" customHeight="1">
      <c r="F434" s="14"/>
    </row>
    <row r="435" ht="15.75" customHeight="1">
      <c r="F435" s="14"/>
    </row>
    <row r="436" ht="15.75" customHeight="1">
      <c r="F436" s="14"/>
    </row>
    <row r="437" ht="15.75" customHeight="1">
      <c r="F437" s="14"/>
    </row>
    <row r="438" ht="15.75" customHeight="1">
      <c r="F438" s="14"/>
    </row>
    <row r="439" ht="15.75" customHeight="1">
      <c r="F439" s="14"/>
    </row>
    <row r="440" ht="15.75" customHeight="1">
      <c r="F440" s="14"/>
    </row>
    <row r="441" ht="15.75" customHeight="1">
      <c r="F441" s="14"/>
    </row>
    <row r="442" ht="15.75" customHeight="1">
      <c r="F442" s="14"/>
    </row>
    <row r="443" ht="15.75" customHeight="1">
      <c r="F443" s="14"/>
    </row>
    <row r="444" ht="15.75" customHeight="1">
      <c r="F444" s="14"/>
    </row>
    <row r="445" ht="15.75" customHeight="1">
      <c r="F445" s="14"/>
    </row>
    <row r="446" ht="15.75" customHeight="1">
      <c r="F446" s="14"/>
    </row>
    <row r="447" ht="15.75" customHeight="1">
      <c r="F447" s="14"/>
    </row>
    <row r="448" ht="15.75" customHeight="1">
      <c r="F448" s="14"/>
    </row>
    <row r="449" ht="15.75" customHeight="1">
      <c r="F449" s="14"/>
    </row>
    <row r="450" ht="15.75" customHeight="1">
      <c r="F450" s="14"/>
    </row>
    <row r="451" ht="15.75" customHeight="1">
      <c r="F451" s="14"/>
    </row>
    <row r="452" ht="15.75" customHeight="1">
      <c r="F452" s="14"/>
    </row>
    <row r="453" ht="15.75" customHeight="1">
      <c r="F453" s="14"/>
    </row>
    <row r="454" ht="15.75" customHeight="1">
      <c r="F454" s="14"/>
    </row>
    <row r="455" ht="15.75" customHeight="1">
      <c r="F455" s="14"/>
    </row>
    <row r="456" ht="15.75" customHeight="1">
      <c r="F456" s="14"/>
    </row>
    <row r="457" ht="15.75" customHeight="1">
      <c r="F457" s="14"/>
    </row>
    <row r="458" ht="15.75" customHeight="1">
      <c r="F458" s="14"/>
    </row>
    <row r="459" ht="15.75" customHeight="1">
      <c r="F459" s="14"/>
    </row>
    <row r="460" ht="15.75" customHeight="1">
      <c r="F460" s="14"/>
    </row>
    <row r="461" ht="15.75" customHeight="1">
      <c r="F461" s="14"/>
    </row>
    <row r="462" ht="15.75" customHeight="1">
      <c r="F462" s="14"/>
    </row>
    <row r="463" ht="15.75" customHeight="1">
      <c r="F463" s="14"/>
    </row>
    <row r="464" ht="15.75" customHeight="1">
      <c r="F464" s="14"/>
    </row>
    <row r="465" ht="15.75" customHeight="1">
      <c r="F465" s="14"/>
    </row>
    <row r="466" ht="15.75" customHeight="1">
      <c r="F466" s="14"/>
    </row>
    <row r="467" ht="15.75" customHeight="1">
      <c r="F467" s="14"/>
    </row>
    <row r="468" ht="15.75" customHeight="1">
      <c r="F468" s="14"/>
    </row>
    <row r="469" ht="15.75" customHeight="1">
      <c r="F469" s="14"/>
    </row>
    <row r="470" ht="15.75" customHeight="1">
      <c r="F470" s="14"/>
    </row>
    <row r="471" ht="15.75" customHeight="1">
      <c r="F471" s="14"/>
    </row>
    <row r="472" ht="15.75" customHeight="1">
      <c r="F472" s="14"/>
    </row>
    <row r="473" ht="15.75" customHeight="1">
      <c r="F473" s="14"/>
    </row>
    <row r="474" ht="15.75" customHeight="1">
      <c r="F474" s="14"/>
    </row>
    <row r="475" ht="15.75" customHeight="1">
      <c r="F475" s="14"/>
    </row>
    <row r="476" ht="15.75" customHeight="1">
      <c r="F476" s="14"/>
    </row>
    <row r="477" ht="15.75" customHeight="1">
      <c r="F477" s="14"/>
    </row>
    <row r="478" ht="15.75" customHeight="1">
      <c r="F478" s="14"/>
    </row>
    <row r="479" ht="15.75" customHeight="1">
      <c r="F479" s="14"/>
    </row>
    <row r="480" ht="15.75" customHeight="1">
      <c r="F480" s="14"/>
    </row>
    <row r="481" ht="15.75" customHeight="1">
      <c r="F481" s="14"/>
    </row>
    <row r="482" ht="15.75" customHeight="1">
      <c r="F482" s="14"/>
    </row>
    <row r="483" ht="15.75" customHeight="1">
      <c r="F483" s="14"/>
    </row>
    <row r="484" ht="15.75" customHeight="1">
      <c r="F484" s="14"/>
    </row>
    <row r="485" ht="15.75" customHeight="1">
      <c r="F485" s="14"/>
    </row>
    <row r="486" ht="15.75" customHeight="1">
      <c r="F486" s="14"/>
    </row>
    <row r="487" ht="15.75" customHeight="1">
      <c r="F487" s="14"/>
    </row>
    <row r="488" ht="15.75" customHeight="1">
      <c r="F488" s="14"/>
    </row>
    <row r="489" ht="15.75" customHeight="1">
      <c r="F489" s="14"/>
    </row>
    <row r="490" ht="15.75" customHeight="1">
      <c r="F490" s="14"/>
    </row>
    <row r="491" ht="15.75" customHeight="1">
      <c r="F491" s="14"/>
    </row>
    <row r="492" ht="15.75" customHeight="1">
      <c r="F492" s="14"/>
    </row>
    <row r="493" ht="15.75" customHeight="1">
      <c r="F493" s="14"/>
    </row>
    <row r="494" ht="15.75" customHeight="1">
      <c r="F494" s="14"/>
    </row>
    <row r="495" ht="15.75" customHeight="1">
      <c r="F495" s="14"/>
    </row>
    <row r="496" ht="15.75" customHeight="1">
      <c r="F496" s="14"/>
    </row>
    <row r="497" ht="15.75" customHeight="1">
      <c r="F497" s="14"/>
    </row>
    <row r="498" ht="15.75" customHeight="1">
      <c r="F498" s="14"/>
    </row>
    <row r="499" ht="15.75" customHeight="1">
      <c r="F499" s="14"/>
    </row>
    <row r="500" ht="15.75" customHeight="1">
      <c r="F500" s="14"/>
    </row>
    <row r="501" ht="15.75" customHeight="1">
      <c r="F501" s="14"/>
    </row>
    <row r="502" ht="15.75" customHeight="1">
      <c r="F502" s="14"/>
    </row>
    <row r="503" ht="15.75" customHeight="1">
      <c r="F503" s="14"/>
    </row>
    <row r="504" ht="15.75" customHeight="1">
      <c r="F504" s="14"/>
    </row>
    <row r="505" ht="15.75" customHeight="1">
      <c r="F505" s="14"/>
    </row>
    <row r="506" ht="15.75" customHeight="1">
      <c r="F506" s="14"/>
    </row>
    <row r="507" ht="15.75" customHeight="1">
      <c r="F507" s="14"/>
    </row>
    <row r="508" ht="15.75" customHeight="1">
      <c r="F508" s="14"/>
    </row>
    <row r="509" ht="15.75" customHeight="1">
      <c r="F509" s="14"/>
    </row>
    <row r="510" ht="15.75" customHeight="1">
      <c r="F510" s="14"/>
    </row>
    <row r="511" ht="15.75" customHeight="1">
      <c r="F511" s="14"/>
    </row>
    <row r="512" ht="15.75" customHeight="1">
      <c r="F512" s="14"/>
    </row>
    <row r="513" ht="15.75" customHeight="1">
      <c r="F513" s="14"/>
    </row>
    <row r="514" ht="15.75" customHeight="1">
      <c r="F514" s="14"/>
    </row>
    <row r="515" ht="15.75" customHeight="1">
      <c r="F515" s="14"/>
    </row>
    <row r="516" ht="15.75" customHeight="1">
      <c r="F516" s="14"/>
    </row>
    <row r="517" ht="15.75" customHeight="1">
      <c r="F517" s="14"/>
    </row>
    <row r="518" ht="15.75" customHeight="1">
      <c r="F518" s="14"/>
    </row>
    <row r="519" ht="15.75" customHeight="1">
      <c r="F519" s="14"/>
    </row>
    <row r="520" ht="15.75" customHeight="1">
      <c r="F520" s="14"/>
    </row>
    <row r="521" ht="15.75" customHeight="1">
      <c r="F521" s="14"/>
    </row>
    <row r="522" ht="15.75" customHeight="1">
      <c r="F522" s="14"/>
    </row>
    <row r="523" ht="15.75" customHeight="1">
      <c r="F523" s="14"/>
    </row>
    <row r="524" ht="15.75" customHeight="1">
      <c r="F524" s="14"/>
    </row>
    <row r="525" ht="15.75" customHeight="1">
      <c r="F525" s="14"/>
    </row>
    <row r="526" ht="15.75" customHeight="1">
      <c r="F526" s="14"/>
    </row>
    <row r="527" ht="15.75" customHeight="1">
      <c r="F527" s="14"/>
    </row>
    <row r="528" ht="15.75" customHeight="1">
      <c r="F528" s="14"/>
    </row>
    <row r="529" ht="15.75" customHeight="1">
      <c r="F529" s="14"/>
    </row>
    <row r="530" ht="15.75" customHeight="1">
      <c r="F530" s="14"/>
    </row>
    <row r="531" ht="15.75" customHeight="1">
      <c r="F531" s="14"/>
    </row>
    <row r="532" ht="15.75" customHeight="1">
      <c r="F532" s="14"/>
    </row>
    <row r="533" ht="15.75" customHeight="1">
      <c r="F533" s="14"/>
    </row>
    <row r="534" ht="15.75" customHeight="1">
      <c r="F534" s="14"/>
    </row>
    <row r="535" ht="15.75" customHeight="1">
      <c r="F535" s="14"/>
    </row>
    <row r="536" ht="15.75" customHeight="1">
      <c r="F536" s="14"/>
    </row>
    <row r="537" ht="15.75" customHeight="1">
      <c r="F537" s="14"/>
    </row>
    <row r="538" ht="15.75" customHeight="1">
      <c r="F538" s="14"/>
    </row>
    <row r="539" ht="15.75" customHeight="1">
      <c r="F539" s="14"/>
    </row>
    <row r="540" ht="15.75" customHeight="1">
      <c r="F540" s="14"/>
    </row>
    <row r="541" ht="15.75" customHeight="1">
      <c r="F541" s="14"/>
    </row>
    <row r="542" ht="15.75" customHeight="1">
      <c r="F542" s="14"/>
    </row>
    <row r="543" ht="15.75" customHeight="1">
      <c r="F543" s="14"/>
    </row>
    <row r="544" ht="15.75" customHeight="1">
      <c r="F544" s="14"/>
    </row>
    <row r="545" ht="15.75" customHeight="1">
      <c r="F545" s="14"/>
    </row>
    <row r="546" ht="15.75" customHeight="1">
      <c r="F546" s="14"/>
    </row>
    <row r="547" ht="15.75" customHeight="1">
      <c r="F547" s="14"/>
    </row>
    <row r="548" ht="15.75" customHeight="1">
      <c r="F548" s="14"/>
    </row>
    <row r="549" ht="15.75" customHeight="1">
      <c r="F549" s="14"/>
    </row>
    <row r="550" ht="15.75" customHeight="1">
      <c r="F550" s="14"/>
    </row>
    <row r="551" ht="15.75" customHeight="1">
      <c r="F551" s="14"/>
    </row>
    <row r="552" ht="15.75" customHeight="1">
      <c r="F552" s="14"/>
    </row>
    <row r="553" ht="15.75" customHeight="1">
      <c r="F553" s="14"/>
    </row>
    <row r="554" ht="15.75" customHeight="1">
      <c r="F554" s="14"/>
    </row>
    <row r="555" ht="15.75" customHeight="1">
      <c r="F555" s="14"/>
    </row>
    <row r="556" ht="15.75" customHeight="1">
      <c r="F556" s="14"/>
    </row>
    <row r="557" ht="15.75" customHeight="1">
      <c r="F557" s="14"/>
    </row>
    <row r="558" ht="15.75" customHeight="1">
      <c r="F558" s="14"/>
    </row>
    <row r="559" ht="15.75" customHeight="1">
      <c r="F559" s="14"/>
    </row>
    <row r="560" ht="15.75" customHeight="1">
      <c r="F560" s="14"/>
    </row>
    <row r="561" ht="15.75" customHeight="1">
      <c r="F561" s="14"/>
    </row>
    <row r="562" ht="15.75" customHeight="1">
      <c r="F562" s="14"/>
    </row>
    <row r="563" ht="15.75" customHeight="1">
      <c r="F563" s="14"/>
    </row>
    <row r="564" ht="15.75" customHeight="1">
      <c r="F564" s="14"/>
    </row>
    <row r="565" ht="15.75" customHeight="1">
      <c r="F565" s="14"/>
    </row>
    <row r="566" ht="15.75" customHeight="1">
      <c r="F566" s="14"/>
    </row>
    <row r="567" ht="15.75" customHeight="1">
      <c r="F567" s="14"/>
    </row>
    <row r="568" ht="15.75" customHeight="1">
      <c r="F568" s="14"/>
    </row>
    <row r="569" ht="15.75" customHeight="1">
      <c r="F569" s="14"/>
    </row>
    <row r="570" ht="15.75" customHeight="1">
      <c r="F570" s="14"/>
    </row>
    <row r="571" ht="15.75" customHeight="1">
      <c r="F571" s="14"/>
    </row>
    <row r="572" ht="15.75" customHeight="1">
      <c r="F572" s="14"/>
    </row>
    <row r="573" ht="15.75" customHeight="1">
      <c r="F573" s="14"/>
    </row>
    <row r="574" ht="15.75" customHeight="1">
      <c r="F574" s="14"/>
    </row>
    <row r="575" ht="15.75" customHeight="1">
      <c r="F575" s="14"/>
    </row>
    <row r="576" ht="15.75" customHeight="1">
      <c r="F576" s="14"/>
    </row>
    <row r="577" ht="15.75" customHeight="1">
      <c r="F577" s="14"/>
    </row>
    <row r="578" ht="15.75" customHeight="1">
      <c r="F578" s="14"/>
    </row>
    <row r="579" ht="15.75" customHeight="1">
      <c r="F579" s="14"/>
    </row>
    <row r="580" ht="15.75" customHeight="1">
      <c r="F580" s="14"/>
    </row>
    <row r="581" ht="15.75" customHeight="1">
      <c r="F581" s="14"/>
    </row>
    <row r="582" ht="15.75" customHeight="1">
      <c r="F582" s="14"/>
    </row>
    <row r="583" ht="15.75" customHeight="1">
      <c r="F583" s="14"/>
    </row>
    <row r="584" ht="15.75" customHeight="1">
      <c r="F584" s="14"/>
    </row>
    <row r="585" ht="15.75" customHeight="1">
      <c r="F585" s="14"/>
    </row>
    <row r="586" ht="15.75" customHeight="1">
      <c r="F586" s="14"/>
    </row>
    <row r="587" ht="15.75" customHeight="1">
      <c r="F587" s="14"/>
    </row>
    <row r="588" ht="15.75" customHeight="1">
      <c r="F588" s="14"/>
    </row>
    <row r="589" ht="15.75" customHeight="1">
      <c r="F589" s="14"/>
    </row>
    <row r="590" ht="15.75" customHeight="1">
      <c r="F590" s="14"/>
    </row>
    <row r="591" ht="15.75" customHeight="1">
      <c r="F591" s="14"/>
    </row>
    <row r="592" ht="15.75" customHeight="1">
      <c r="F592" s="14"/>
    </row>
    <row r="593" ht="15.75" customHeight="1">
      <c r="F593" s="14"/>
    </row>
    <row r="594" ht="15.75" customHeight="1">
      <c r="F594" s="14"/>
    </row>
    <row r="595" ht="15.75" customHeight="1">
      <c r="F595" s="14"/>
    </row>
    <row r="596" ht="15.75" customHeight="1">
      <c r="F596" s="14"/>
    </row>
    <row r="597" ht="15.75" customHeight="1">
      <c r="F597" s="14"/>
    </row>
    <row r="598" ht="15.75" customHeight="1">
      <c r="F598" s="14"/>
    </row>
    <row r="599" ht="15.75" customHeight="1">
      <c r="F599" s="14"/>
    </row>
    <row r="600" ht="15.75" customHeight="1">
      <c r="F600" s="14"/>
    </row>
    <row r="601" ht="15.75" customHeight="1">
      <c r="F601" s="14"/>
    </row>
    <row r="602" ht="15.75" customHeight="1">
      <c r="F602" s="14"/>
    </row>
    <row r="603" ht="15.75" customHeight="1">
      <c r="F603" s="14"/>
    </row>
    <row r="604" ht="15.75" customHeight="1">
      <c r="F604" s="14"/>
    </row>
    <row r="605" ht="15.75" customHeight="1">
      <c r="F605" s="14"/>
    </row>
    <row r="606" ht="15.75" customHeight="1">
      <c r="F606" s="14"/>
    </row>
    <row r="607" ht="15.75" customHeight="1">
      <c r="F607" s="14"/>
    </row>
    <row r="608" ht="15.75" customHeight="1">
      <c r="F608" s="14"/>
    </row>
    <row r="609" ht="15.75" customHeight="1">
      <c r="F609" s="14"/>
    </row>
    <row r="610" ht="15.75" customHeight="1">
      <c r="F610" s="14"/>
    </row>
    <row r="611" ht="15.75" customHeight="1">
      <c r="F611" s="14"/>
    </row>
    <row r="612" ht="15.75" customHeight="1">
      <c r="F612" s="14"/>
    </row>
    <row r="613" ht="15.75" customHeight="1">
      <c r="F613" s="14"/>
    </row>
    <row r="614" ht="15.75" customHeight="1">
      <c r="F614" s="14"/>
    </row>
    <row r="615" ht="15.75" customHeight="1">
      <c r="F615" s="14"/>
    </row>
    <row r="616" ht="15.75" customHeight="1">
      <c r="F616" s="14"/>
    </row>
    <row r="617" ht="15.75" customHeight="1">
      <c r="F617" s="14"/>
    </row>
    <row r="618" ht="15.75" customHeight="1">
      <c r="F618" s="14"/>
    </row>
    <row r="619" ht="15.75" customHeight="1">
      <c r="F619" s="14"/>
    </row>
    <row r="620" ht="15.75" customHeight="1">
      <c r="F620" s="14"/>
    </row>
    <row r="621" ht="15.75" customHeight="1">
      <c r="F621" s="14"/>
    </row>
    <row r="622" ht="15.75" customHeight="1">
      <c r="F622" s="14"/>
    </row>
    <row r="623" ht="15.75" customHeight="1">
      <c r="F623" s="14"/>
    </row>
    <row r="624" ht="15.75" customHeight="1">
      <c r="F624" s="14"/>
    </row>
    <row r="625" ht="15.75" customHeight="1">
      <c r="F625" s="14"/>
    </row>
    <row r="626" ht="15.75" customHeight="1">
      <c r="F626" s="14"/>
    </row>
    <row r="627" ht="15.75" customHeight="1">
      <c r="F627" s="14"/>
    </row>
    <row r="628" ht="15.75" customHeight="1">
      <c r="F628" s="14"/>
    </row>
    <row r="629" ht="15.75" customHeight="1">
      <c r="F629" s="14"/>
    </row>
    <row r="630" ht="15.75" customHeight="1">
      <c r="F630" s="14"/>
    </row>
    <row r="631" ht="15.75" customHeight="1">
      <c r="F631" s="14"/>
    </row>
    <row r="632" ht="15.75" customHeight="1">
      <c r="F632" s="14"/>
    </row>
    <row r="633" ht="15.75" customHeight="1">
      <c r="F633" s="14"/>
    </row>
    <row r="634" ht="15.75" customHeight="1">
      <c r="F634" s="14"/>
    </row>
    <row r="635" ht="15.75" customHeight="1">
      <c r="F635" s="14"/>
    </row>
    <row r="636" ht="15.75" customHeight="1">
      <c r="F636" s="14"/>
    </row>
    <row r="637" ht="15.75" customHeight="1">
      <c r="F637" s="14"/>
    </row>
    <row r="638" ht="15.75" customHeight="1">
      <c r="F638" s="14"/>
    </row>
    <row r="639" ht="15.75" customHeight="1">
      <c r="F639" s="14"/>
    </row>
    <row r="640" ht="15.75" customHeight="1">
      <c r="F640" s="14"/>
    </row>
    <row r="641" ht="15.75" customHeight="1">
      <c r="F641" s="14"/>
    </row>
    <row r="642" ht="15.75" customHeight="1">
      <c r="F642" s="14"/>
    </row>
    <row r="643" ht="15.75" customHeight="1">
      <c r="F643" s="14"/>
    </row>
    <row r="644" ht="15.75" customHeight="1">
      <c r="F644" s="14"/>
    </row>
    <row r="645" ht="15.75" customHeight="1">
      <c r="F645" s="14"/>
    </row>
    <row r="646" ht="15.75" customHeight="1">
      <c r="F646" s="14"/>
    </row>
    <row r="647" ht="15.75" customHeight="1">
      <c r="F647" s="14"/>
    </row>
    <row r="648" ht="15.75" customHeight="1">
      <c r="F648" s="14"/>
    </row>
    <row r="649" ht="15.75" customHeight="1">
      <c r="F649" s="14"/>
    </row>
    <row r="650" ht="15.75" customHeight="1">
      <c r="F650" s="14"/>
    </row>
    <row r="651" ht="15.75" customHeight="1">
      <c r="F651" s="14"/>
    </row>
    <row r="652" ht="15.75" customHeight="1">
      <c r="F652" s="14"/>
    </row>
    <row r="653" ht="15.75" customHeight="1">
      <c r="F653" s="14"/>
    </row>
    <row r="654" ht="15.75" customHeight="1">
      <c r="F654" s="14"/>
    </row>
    <row r="655" ht="15.75" customHeight="1">
      <c r="F655" s="14"/>
    </row>
    <row r="656" ht="15.75" customHeight="1">
      <c r="F656" s="14"/>
    </row>
    <row r="657" ht="15.75" customHeight="1">
      <c r="F657" s="14"/>
    </row>
    <row r="658" ht="15.75" customHeight="1">
      <c r="F658" s="14"/>
    </row>
    <row r="659" ht="15.75" customHeight="1">
      <c r="F659" s="14"/>
    </row>
    <row r="660" ht="15.75" customHeight="1">
      <c r="F660" s="14"/>
    </row>
    <row r="661" ht="15.75" customHeight="1">
      <c r="F661" s="14"/>
    </row>
    <row r="662" ht="15.75" customHeight="1">
      <c r="F662" s="14"/>
    </row>
    <row r="663" ht="15.75" customHeight="1">
      <c r="F663" s="14"/>
    </row>
    <row r="664" ht="15.75" customHeight="1">
      <c r="F664" s="14"/>
    </row>
    <row r="665" ht="15.75" customHeight="1">
      <c r="F665" s="14"/>
    </row>
    <row r="666" ht="15.75" customHeight="1">
      <c r="F666" s="14"/>
    </row>
    <row r="667" ht="15.75" customHeight="1">
      <c r="F667" s="14"/>
    </row>
    <row r="668" ht="15.75" customHeight="1">
      <c r="F668" s="14"/>
    </row>
    <row r="669" ht="15.75" customHeight="1">
      <c r="F669" s="14"/>
    </row>
    <row r="670" ht="15.75" customHeight="1">
      <c r="F670" s="14"/>
    </row>
    <row r="671" ht="15.75" customHeight="1">
      <c r="F671" s="14"/>
    </row>
    <row r="672" ht="15.75" customHeight="1">
      <c r="F672" s="14"/>
    </row>
    <row r="673" ht="15.75" customHeight="1">
      <c r="F673" s="14"/>
    </row>
    <row r="674" ht="15.75" customHeight="1">
      <c r="F674" s="14"/>
    </row>
    <row r="675" ht="15.75" customHeight="1">
      <c r="F675" s="14"/>
    </row>
    <row r="676" ht="15.75" customHeight="1">
      <c r="F676" s="14"/>
    </row>
    <row r="677" ht="15.75" customHeight="1">
      <c r="F677" s="14"/>
    </row>
    <row r="678" ht="15.75" customHeight="1">
      <c r="F678" s="14"/>
    </row>
    <row r="679" ht="15.75" customHeight="1">
      <c r="F679" s="14"/>
    </row>
    <row r="680" ht="15.75" customHeight="1">
      <c r="F680" s="14"/>
    </row>
    <row r="681" ht="15.75" customHeight="1">
      <c r="F681" s="14"/>
    </row>
    <row r="682" ht="15.75" customHeight="1">
      <c r="F682" s="14"/>
    </row>
    <row r="683" ht="15.75" customHeight="1">
      <c r="F683" s="14"/>
    </row>
    <row r="684" ht="15.75" customHeight="1">
      <c r="F684" s="14"/>
    </row>
    <row r="685" ht="15.75" customHeight="1">
      <c r="F685" s="14"/>
    </row>
    <row r="686" ht="15.75" customHeight="1">
      <c r="F686" s="14"/>
    </row>
    <row r="687" ht="15.75" customHeight="1">
      <c r="F687" s="14"/>
    </row>
    <row r="688" ht="15.75" customHeight="1">
      <c r="F688" s="14"/>
    </row>
    <row r="689" ht="15.75" customHeight="1">
      <c r="F689" s="14"/>
    </row>
    <row r="690" ht="15.75" customHeight="1">
      <c r="F690" s="14"/>
    </row>
    <row r="691" ht="15.75" customHeight="1">
      <c r="F691" s="14"/>
    </row>
    <row r="692" ht="15.75" customHeight="1">
      <c r="F692" s="14"/>
    </row>
    <row r="693" ht="15.75" customHeight="1">
      <c r="F693" s="14"/>
    </row>
    <row r="694" ht="15.75" customHeight="1">
      <c r="F694" s="14"/>
    </row>
    <row r="695" ht="15.75" customHeight="1">
      <c r="F695" s="14"/>
    </row>
    <row r="696" ht="15.75" customHeight="1">
      <c r="F696" s="14"/>
    </row>
    <row r="697" ht="15.75" customHeight="1">
      <c r="F697" s="14"/>
    </row>
    <row r="698" ht="15.75" customHeight="1">
      <c r="F698" s="14"/>
    </row>
    <row r="699" ht="15.75" customHeight="1">
      <c r="F699" s="14"/>
    </row>
    <row r="700" ht="15.75" customHeight="1">
      <c r="F700" s="14"/>
    </row>
    <row r="701" ht="15.75" customHeight="1">
      <c r="F701" s="14"/>
    </row>
    <row r="702" ht="15.75" customHeight="1">
      <c r="F702" s="14"/>
    </row>
    <row r="703" ht="15.75" customHeight="1">
      <c r="F703" s="14"/>
    </row>
    <row r="704" ht="15.75" customHeight="1">
      <c r="F704" s="14"/>
    </row>
    <row r="705" ht="15.75" customHeight="1">
      <c r="F705" s="14"/>
    </row>
    <row r="706" ht="15.75" customHeight="1">
      <c r="F706" s="14"/>
    </row>
    <row r="707" ht="15.75" customHeight="1">
      <c r="F707" s="14"/>
    </row>
    <row r="708" ht="15.75" customHeight="1">
      <c r="F708" s="14"/>
    </row>
    <row r="709" ht="15.75" customHeight="1">
      <c r="F709" s="14"/>
    </row>
    <row r="710" ht="15.75" customHeight="1">
      <c r="F710" s="14"/>
    </row>
    <row r="711" ht="15.75" customHeight="1">
      <c r="F711" s="14"/>
    </row>
    <row r="712" ht="15.75" customHeight="1">
      <c r="F712" s="14"/>
    </row>
    <row r="713" ht="15.75" customHeight="1">
      <c r="F713" s="14"/>
    </row>
    <row r="714" ht="15.75" customHeight="1">
      <c r="F714" s="14"/>
    </row>
    <row r="715" ht="15.75" customHeight="1">
      <c r="F715" s="14"/>
    </row>
    <row r="716" ht="15.75" customHeight="1">
      <c r="F716" s="14"/>
    </row>
    <row r="717" ht="15.75" customHeight="1">
      <c r="F717" s="14"/>
    </row>
    <row r="718" ht="15.75" customHeight="1">
      <c r="F718" s="14"/>
    </row>
    <row r="719" ht="15.75" customHeight="1">
      <c r="F719" s="14"/>
    </row>
    <row r="720" ht="15.75" customHeight="1">
      <c r="F720" s="14"/>
    </row>
    <row r="721" ht="15.75" customHeight="1">
      <c r="F721" s="14"/>
    </row>
    <row r="722" ht="15.75" customHeight="1">
      <c r="F722" s="14"/>
    </row>
    <row r="723" ht="15.75" customHeight="1">
      <c r="F723" s="14"/>
    </row>
    <row r="724" ht="15.75" customHeight="1">
      <c r="F724" s="14"/>
    </row>
    <row r="725" ht="15.75" customHeight="1">
      <c r="F725" s="14"/>
    </row>
    <row r="726" ht="15.75" customHeight="1">
      <c r="F726" s="14"/>
    </row>
    <row r="727" ht="15.75" customHeight="1">
      <c r="F727" s="14"/>
    </row>
    <row r="728" ht="15.75" customHeight="1">
      <c r="F728" s="14"/>
    </row>
    <row r="729" ht="15.75" customHeight="1">
      <c r="F729" s="14"/>
    </row>
    <row r="730" ht="15.75" customHeight="1">
      <c r="F730" s="14"/>
    </row>
    <row r="731" ht="15.75" customHeight="1">
      <c r="F731" s="14"/>
    </row>
    <row r="732" ht="15.75" customHeight="1">
      <c r="F732" s="14"/>
    </row>
    <row r="733" ht="15.75" customHeight="1">
      <c r="F733" s="14"/>
    </row>
    <row r="734" ht="15.75" customHeight="1">
      <c r="F734" s="14"/>
    </row>
    <row r="735" ht="15.75" customHeight="1">
      <c r="F735" s="14"/>
    </row>
    <row r="736" ht="15.75" customHeight="1">
      <c r="F736" s="14"/>
    </row>
    <row r="737" ht="15.75" customHeight="1">
      <c r="F737" s="14"/>
    </row>
    <row r="738" ht="15.75" customHeight="1">
      <c r="F738" s="14"/>
    </row>
    <row r="739" ht="15.75" customHeight="1">
      <c r="F739" s="14"/>
    </row>
    <row r="740" ht="15.75" customHeight="1">
      <c r="F740" s="14"/>
    </row>
    <row r="741" ht="15.75" customHeight="1">
      <c r="F741" s="14"/>
    </row>
    <row r="742" ht="15.75" customHeight="1">
      <c r="F742" s="14"/>
    </row>
    <row r="743" ht="15.75" customHeight="1">
      <c r="F743" s="14"/>
    </row>
    <row r="744" ht="15.75" customHeight="1">
      <c r="F744" s="14"/>
    </row>
    <row r="745" ht="15.75" customHeight="1">
      <c r="F745" s="14"/>
    </row>
    <row r="746" ht="15.75" customHeight="1">
      <c r="F746" s="14"/>
    </row>
    <row r="747" ht="15.75" customHeight="1">
      <c r="F747" s="14"/>
    </row>
    <row r="748" ht="15.75" customHeight="1">
      <c r="F748" s="14"/>
    </row>
    <row r="749" ht="15.75" customHeight="1">
      <c r="F749" s="14"/>
    </row>
    <row r="750" ht="15.75" customHeight="1">
      <c r="F750" s="14"/>
    </row>
    <row r="751" ht="15.75" customHeight="1">
      <c r="F751" s="14"/>
    </row>
    <row r="752" ht="15.75" customHeight="1">
      <c r="F752" s="14"/>
    </row>
    <row r="753" ht="15.75" customHeight="1">
      <c r="F753" s="14"/>
    </row>
    <row r="754" ht="15.75" customHeight="1">
      <c r="F754" s="14"/>
    </row>
    <row r="755" ht="15.75" customHeight="1">
      <c r="F755" s="14"/>
    </row>
    <row r="756" ht="15.75" customHeight="1">
      <c r="F756" s="14"/>
    </row>
    <row r="757" ht="15.75" customHeight="1">
      <c r="F757" s="14"/>
    </row>
    <row r="758" ht="15.75" customHeight="1">
      <c r="F758" s="14"/>
    </row>
    <row r="759" ht="15.75" customHeight="1">
      <c r="F759" s="14"/>
    </row>
    <row r="760" ht="15.75" customHeight="1">
      <c r="F760" s="14"/>
    </row>
    <row r="761" ht="15.75" customHeight="1">
      <c r="F761" s="14"/>
    </row>
    <row r="762" ht="15.75" customHeight="1">
      <c r="F762" s="14"/>
    </row>
    <row r="763" ht="15.75" customHeight="1">
      <c r="F763" s="14"/>
    </row>
    <row r="764" ht="15.75" customHeight="1">
      <c r="F764" s="14"/>
    </row>
    <row r="765" ht="15.75" customHeight="1">
      <c r="F765" s="14"/>
    </row>
    <row r="766" ht="15.75" customHeight="1">
      <c r="F766" s="14"/>
    </row>
    <row r="767" ht="15.75" customHeight="1">
      <c r="F767" s="14"/>
    </row>
    <row r="768" ht="15.75" customHeight="1">
      <c r="F768" s="14"/>
    </row>
    <row r="769" ht="15.75" customHeight="1">
      <c r="F769" s="14"/>
    </row>
    <row r="770" ht="15.75" customHeight="1">
      <c r="F770" s="14"/>
    </row>
    <row r="771" ht="15.75" customHeight="1">
      <c r="F771" s="14"/>
    </row>
    <row r="772" ht="15.75" customHeight="1">
      <c r="F772" s="14"/>
    </row>
    <row r="773" ht="15.75" customHeight="1">
      <c r="F773" s="14"/>
    </row>
    <row r="774" ht="15.75" customHeight="1">
      <c r="F774" s="14"/>
    </row>
    <row r="775" ht="15.75" customHeight="1">
      <c r="F775" s="14"/>
    </row>
    <row r="776" ht="15.75" customHeight="1">
      <c r="F776" s="14"/>
    </row>
    <row r="777" ht="15.75" customHeight="1">
      <c r="F777" s="14"/>
    </row>
    <row r="778" ht="15.75" customHeight="1">
      <c r="F778" s="14"/>
    </row>
    <row r="779" ht="15.75" customHeight="1">
      <c r="F779" s="14"/>
    </row>
    <row r="780" ht="15.75" customHeight="1">
      <c r="F780" s="14"/>
    </row>
    <row r="781" ht="15.75" customHeight="1">
      <c r="F781" s="14"/>
    </row>
    <row r="782" ht="15.75" customHeight="1">
      <c r="F782" s="14"/>
    </row>
    <row r="783" ht="15.75" customHeight="1">
      <c r="F783" s="14"/>
    </row>
    <row r="784" ht="15.75" customHeight="1">
      <c r="F784" s="14"/>
    </row>
    <row r="785" ht="15.75" customHeight="1">
      <c r="F785" s="14"/>
    </row>
    <row r="786" ht="15.75" customHeight="1">
      <c r="F786" s="14"/>
    </row>
    <row r="787" ht="15.75" customHeight="1">
      <c r="F787" s="14"/>
    </row>
    <row r="788" ht="15.75" customHeight="1">
      <c r="F788" s="14"/>
    </row>
    <row r="789" ht="15.75" customHeight="1">
      <c r="F789" s="14"/>
    </row>
    <row r="790" ht="15.75" customHeight="1">
      <c r="F790" s="14"/>
    </row>
    <row r="791" ht="15.75" customHeight="1">
      <c r="F791" s="14"/>
    </row>
    <row r="792" ht="15.75" customHeight="1">
      <c r="F792" s="14"/>
    </row>
    <row r="793" ht="15.75" customHeight="1">
      <c r="F793" s="14"/>
    </row>
    <row r="794" ht="15.75" customHeight="1">
      <c r="F794" s="14"/>
    </row>
    <row r="795" ht="15.75" customHeight="1">
      <c r="F795" s="14"/>
    </row>
    <row r="796" ht="15.75" customHeight="1">
      <c r="F796" s="14"/>
    </row>
    <row r="797" ht="15.75" customHeight="1">
      <c r="F797" s="14"/>
    </row>
    <row r="798" ht="15.75" customHeight="1">
      <c r="F798" s="14"/>
    </row>
    <row r="799" ht="15.75" customHeight="1">
      <c r="F799" s="14"/>
    </row>
    <row r="800" ht="15.75" customHeight="1">
      <c r="F800" s="14"/>
    </row>
    <row r="801" ht="15.75" customHeight="1">
      <c r="F801" s="14"/>
    </row>
    <row r="802" ht="15.75" customHeight="1">
      <c r="F802" s="14"/>
    </row>
    <row r="803" ht="15.75" customHeight="1">
      <c r="F803" s="14"/>
    </row>
    <row r="804" ht="15.75" customHeight="1">
      <c r="F804" s="14"/>
    </row>
    <row r="805" ht="15.75" customHeight="1">
      <c r="F805" s="14"/>
    </row>
    <row r="806" ht="15.75" customHeight="1">
      <c r="F806" s="14"/>
    </row>
    <row r="807" ht="15.75" customHeight="1">
      <c r="F807" s="14"/>
    </row>
    <row r="808" ht="15.75" customHeight="1">
      <c r="F808" s="14"/>
    </row>
    <row r="809" ht="15.75" customHeight="1">
      <c r="F809" s="14"/>
    </row>
    <row r="810" ht="15.75" customHeight="1">
      <c r="F810" s="14"/>
    </row>
    <row r="811" ht="15.75" customHeight="1">
      <c r="F811" s="14"/>
    </row>
    <row r="812" ht="15.75" customHeight="1">
      <c r="F812" s="14"/>
    </row>
    <row r="813" ht="15.75" customHeight="1">
      <c r="F813" s="14"/>
    </row>
    <row r="814" ht="15.75" customHeight="1">
      <c r="F814" s="14"/>
    </row>
    <row r="815" ht="15.75" customHeight="1">
      <c r="F815" s="14"/>
    </row>
    <row r="816" ht="15.75" customHeight="1">
      <c r="F816" s="14"/>
    </row>
    <row r="817" ht="15.75" customHeight="1">
      <c r="F817" s="14"/>
    </row>
    <row r="818" ht="15.75" customHeight="1">
      <c r="F818" s="14"/>
    </row>
    <row r="819" ht="15.75" customHeight="1">
      <c r="F819" s="14"/>
    </row>
    <row r="820" ht="15.75" customHeight="1">
      <c r="F820" s="14"/>
    </row>
    <row r="821" ht="15.75" customHeight="1">
      <c r="F821" s="14"/>
    </row>
    <row r="822" ht="15.75" customHeight="1">
      <c r="F822" s="14"/>
    </row>
    <row r="823" ht="15.75" customHeight="1">
      <c r="F823" s="14"/>
    </row>
    <row r="824" ht="15.75" customHeight="1">
      <c r="F824" s="14"/>
    </row>
    <row r="825" ht="15.75" customHeight="1">
      <c r="F825" s="14"/>
    </row>
    <row r="826" ht="15.75" customHeight="1">
      <c r="F826" s="14"/>
    </row>
    <row r="827" ht="15.75" customHeight="1">
      <c r="F827" s="14"/>
    </row>
    <row r="828" ht="15.75" customHeight="1">
      <c r="F828" s="14"/>
    </row>
    <row r="829" ht="15.75" customHeight="1">
      <c r="F829" s="14"/>
    </row>
    <row r="830" ht="15.75" customHeight="1">
      <c r="F830" s="14"/>
    </row>
    <row r="831" ht="15.75" customHeight="1">
      <c r="F831" s="14"/>
    </row>
    <row r="832" ht="15.75" customHeight="1">
      <c r="F832" s="14"/>
    </row>
    <row r="833" ht="15.75" customHeight="1">
      <c r="F833" s="14"/>
    </row>
    <row r="834" ht="15.75" customHeight="1">
      <c r="F834" s="14"/>
    </row>
    <row r="835" ht="15.75" customHeight="1">
      <c r="F835" s="14"/>
    </row>
    <row r="836" ht="15.75" customHeight="1">
      <c r="F836" s="14"/>
    </row>
    <row r="837" ht="15.75" customHeight="1">
      <c r="F837" s="14"/>
    </row>
    <row r="838" ht="15.75" customHeight="1">
      <c r="F838" s="14"/>
    </row>
    <row r="839" ht="15.75" customHeight="1">
      <c r="F839" s="14"/>
    </row>
    <row r="840" ht="15.75" customHeight="1">
      <c r="F840" s="14"/>
    </row>
    <row r="841" ht="15.75" customHeight="1">
      <c r="F841" s="14"/>
    </row>
    <row r="842" ht="15.75" customHeight="1">
      <c r="F842" s="14"/>
    </row>
    <row r="843" ht="15.75" customHeight="1">
      <c r="F843" s="14"/>
    </row>
    <row r="844" ht="15.75" customHeight="1">
      <c r="F844" s="14"/>
    </row>
    <row r="845" ht="15.75" customHeight="1">
      <c r="F845" s="14"/>
    </row>
    <row r="846" ht="15.75" customHeight="1">
      <c r="F846" s="14"/>
    </row>
    <row r="847" ht="15.75" customHeight="1">
      <c r="F847" s="14"/>
    </row>
    <row r="848" ht="15.75" customHeight="1">
      <c r="F848" s="14"/>
    </row>
    <row r="849" ht="15.75" customHeight="1">
      <c r="F849" s="14"/>
    </row>
    <row r="850" ht="15.75" customHeight="1">
      <c r="F850" s="14"/>
    </row>
    <row r="851" ht="15.75" customHeight="1">
      <c r="F851" s="14"/>
    </row>
    <row r="852" ht="15.75" customHeight="1">
      <c r="F852" s="14"/>
    </row>
    <row r="853" ht="15.75" customHeight="1">
      <c r="F853" s="14"/>
    </row>
    <row r="854" ht="15.75" customHeight="1">
      <c r="F854" s="14"/>
    </row>
    <row r="855" ht="15.75" customHeight="1">
      <c r="F855" s="14"/>
    </row>
    <row r="856" ht="15.75" customHeight="1">
      <c r="F856" s="14"/>
    </row>
    <row r="857" ht="15.75" customHeight="1">
      <c r="F857" s="14"/>
    </row>
    <row r="858" ht="15.75" customHeight="1">
      <c r="F858" s="14"/>
    </row>
    <row r="859" ht="15.75" customHeight="1">
      <c r="F859" s="14"/>
    </row>
    <row r="860" ht="15.75" customHeight="1">
      <c r="F860" s="14"/>
    </row>
    <row r="861" ht="15.75" customHeight="1">
      <c r="F861" s="14"/>
    </row>
    <row r="862" ht="15.75" customHeight="1">
      <c r="F862" s="14"/>
    </row>
    <row r="863" ht="15.75" customHeight="1">
      <c r="F863" s="14"/>
    </row>
    <row r="864" ht="15.75" customHeight="1">
      <c r="F864" s="14"/>
    </row>
    <row r="865" ht="15.75" customHeight="1">
      <c r="F865" s="14"/>
    </row>
    <row r="866" ht="15.75" customHeight="1">
      <c r="F866" s="14"/>
    </row>
    <row r="867" ht="15.75" customHeight="1">
      <c r="F867" s="14"/>
    </row>
    <row r="868" ht="15.75" customHeight="1">
      <c r="F868" s="14"/>
    </row>
    <row r="869" ht="15.75" customHeight="1">
      <c r="F869" s="14"/>
    </row>
    <row r="870" ht="15.75" customHeight="1">
      <c r="F870" s="14"/>
    </row>
    <row r="871" ht="15.75" customHeight="1">
      <c r="F871" s="14"/>
    </row>
    <row r="872" ht="15.75" customHeight="1">
      <c r="F872" s="14"/>
    </row>
    <row r="873" ht="15.75" customHeight="1">
      <c r="F873" s="14"/>
    </row>
    <row r="874" ht="15.75" customHeight="1">
      <c r="F874" s="14"/>
    </row>
    <row r="875" ht="15.75" customHeight="1">
      <c r="F875" s="14"/>
    </row>
    <row r="876" ht="15.75" customHeight="1">
      <c r="F876" s="14"/>
    </row>
    <row r="877" ht="15.75" customHeight="1">
      <c r="F877" s="14"/>
    </row>
    <row r="878" ht="15.75" customHeight="1">
      <c r="F878" s="14"/>
    </row>
    <row r="879" ht="15.75" customHeight="1">
      <c r="F879" s="14"/>
    </row>
    <row r="880" ht="15.75" customHeight="1">
      <c r="F880" s="14"/>
    </row>
    <row r="881" ht="15.75" customHeight="1">
      <c r="F881" s="14"/>
    </row>
    <row r="882" ht="15.75" customHeight="1">
      <c r="F882" s="14"/>
    </row>
    <row r="883" ht="15.75" customHeight="1">
      <c r="F883" s="14"/>
    </row>
    <row r="884" ht="15.75" customHeight="1">
      <c r="F884" s="14"/>
    </row>
    <row r="885" ht="15.75" customHeight="1">
      <c r="F885" s="14"/>
    </row>
    <row r="886" ht="15.75" customHeight="1">
      <c r="F886" s="14"/>
    </row>
    <row r="887" ht="15.75" customHeight="1">
      <c r="F887" s="14"/>
    </row>
    <row r="888" ht="15.75" customHeight="1">
      <c r="F888" s="14"/>
    </row>
    <row r="889" ht="15.75" customHeight="1">
      <c r="F889" s="14"/>
    </row>
    <row r="890" ht="15.75" customHeight="1">
      <c r="F890" s="14"/>
    </row>
    <row r="891" ht="15.75" customHeight="1">
      <c r="F891" s="14"/>
    </row>
    <row r="892" ht="15.75" customHeight="1">
      <c r="F892" s="14"/>
    </row>
    <row r="893" ht="15.75" customHeight="1">
      <c r="F893" s="14"/>
    </row>
    <row r="894" ht="15.75" customHeight="1">
      <c r="F894" s="14"/>
    </row>
    <row r="895" ht="15.75" customHeight="1">
      <c r="F895" s="14"/>
    </row>
    <row r="896" ht="15.75" customHeight="1">
      <c r="F896" s="14"/>
    </row>
    <row r="897" ht="15.75" customHeight="1">
      <c r="F897" s="14"/>
    </row>
    <row r="898" ht="15.75" customHeight="1">
      <c r="F898" s="14"/>
    </row>
    <row r="899" ht="15.75" customHeight="1">
      <c r="F899" s="14"/>
    </row>
    <row r="900" ht="15.75" customHeight="1">
      <c r="F900" s="14"/>
    </row>
    <row r="901" ht="15.75" customHeight="1">
      <c r="F901" s="14"/>
    </row>
    <row r="902" ht="15.75" customHeight="1">
      <c r="F902" s="14"/>
    </row>
    <row r="903" ht="15.75" customHeight="1">
      <c r="F903" s="14"/>
    </row>
    <row r="904" ht="15.75" customHeight="1">
      <c r="F904" s="14"/>
    </row>
    <row r="905" ht="15.75" customHeight="1">
      <c r="F905" s="14"/>
    </row>
    <row r="906" ht="15.75" customHeight="1">
      <c r="F906" s="14"/>
    </row>
    <row r="907" ht="15.75" customHeight="1">
      <c r="F907" s="14"/>
    </row>
    <row r="908" ht="15.75" customHeight="1">
      <c r="F908" s="14"/>
    </row>
    <row r="909" ht="15.75" customHeight="1">
      <c r="F909" s="14"/>
    </row>
    <row r="910" ht="15.75" customHeight="1">
      <c r="F910" s="14"/>
    </row>
    <row r="911" ht="15.75" customHeight="1">
      <c r="F911" s="14"/>
    </row>
    <row r="912" ht="15.75" customHeight="1">
      <c r="F912" s="14"/>
    </row>
    <row r="913" ht="15.75" customHeight="1">
      <c r="F913" s="14"/>
    </row>
    <row r="914" ht="15.75" customHeight="1">
      <c r="F914" s="14"/>
    </row>
    <row r="915" ht="15.75" customHeight="1">
      <c r="F915" s="14"/>
    </row>
    <row r="916" ht="15.75" customHeight="1">
      <c r="F916" s="14"/>
    </row>
    <row r="917" ht="15.75" customHeight="1">
      <c r="F917" s="14"/>
    </row>
    <row r="918" ht="15.75" customHeight="1">
      <c r="F918" s="14"/>
    </row>
    <row r="919" ht="15.75" customHeight="1">
      <c r="F919" s="14"/>
    </row>
    <row r="920" ht="15.75" customHeight="1">
      <c r="F920" s="14"/>
    </row>
    <row r="921" ht="15.75" customHeight="1">
      <c r="F921" s="14"/>
    </row>
    <row r="922" ht="15.75" customHeight="1">
      <c r="F922" s="14"/>
    </row>
    <row r="923" ht="15.75" customHeight="1">
      <c r="F923" s="14"/>
    </row>
    <row r="924" ht="15.75" customHeight="1">
      <c r="F924" s="14"/>
    </row>
    <row r="925" ht="15.75" customHeight="1">
      <c r="F925" s="14"/>
    </row>
    <row r="926" ht="15.75" customHeight="1">
      <c r="F926" s="14"/>
    </row>
    <row r="927" ht="15.75" customHeight="1">
      <c r="F927" s="14"/>
    </row>
    <row r="928" ht="15.75" customHeight="1">
      <c r="F928" s="14"/>
    </row>
    <row r="929" ht="15.75" customHeight="1">
      <c r="F929" s="14"/>
    </row>
    <row r="930" ht="15.75" customHeight="1">
      <c r="F930" s="14"/>
    </row>
    <row r="931" ht="15.75" customHeight="1">
      <c r="F931" s="14"/>
    </row>
    <row r="932" ht="15.75" customHeight="1">
      <c r="F932" s="14"/>
    </row>
    <row r="933" ht="15.75" customHeight="1">
      <c r="F933" s="14"/>
    </row>
    <row r="934" ht="15.75" customHeight="1">
      <c r="F934" s="14"/>
    </row>
    <row r="935" ht="15.75" customHeight="1">
      <c r="F935" s="14"/>
    </row>
    <row r="936" ht="15.75" customHeight="1">
      <c r="F936" s="14"/>
    </row>
    <row r="937" ht="15.75" customHeight="1">
      <c r="F937" s="14"/>
    </row>
    <row r="938" ht="15.75" customHeight="1">
      <c r="F938" s="14"/>
    </row>
    <row r="939" ht="15.75" customHeight="1">
      <c r="F939" s="14"/>
    </row>
    <row r="940" ht="15.75" customHeight="1">
      <c r="F940" s="14"/>
    </row>
    <row r="941" ht="15.75" customHeight="1">
      <c r="F941" s="14"/>
    </row>
    <row r="942" ht="15.75" customHeight="1">
      <c r="F942" s="14"/>
    </row>
    <row r="943" ht="15.75" customHeight="1">
      <c r="F943" s="14"/>
    </row>
    <row r="944" ht="15.75" customHeight="1">
      <c r="F944" s="14"/>
    </row>
    <row r="945" ht="15.75" customHeight="1">
      <c r="F945" s="14"/>
    </row>
    <row r="946" ht="15.75" customHeight="1">
      <c r="F946" s="14"/>
    </row>
    <row r="947" ht="15.75" customHeight="1">
      <c r="F947" s="14"/>
    </row>
    <row r="948" ht="15.75" customHeight="1">
      <c r="F948" s="14"/>
    </row>
    <row r="949" ht="15.75" customHeight="1">
      <c r="F949" s="14"/>
    </row>
    <row r="950" ht="15.75" customHeight="1">
      <c r="F950" s="14"/>
    </row>
    <row r="951" ht="15.75" customHeight="1">
      <c r="F951" s="14"/>
    </row>
    <row r="952" ht="15.75" customHeight="1">
      <c r="F952" s="14"/>
    </row>
    <row r="953" ht="15.75" customHeight="1">
      <c r="F953" s="14"/>
    </row>
    <row r="954" ht="15.75" customHeight="1">
      <c r="F954" s="14"/>
    </row>
    <row r="955" ht="15.75" customHeight="1">
      <c r="F955" s="14"/>
    </row>
    <row r="956" ht="15.75" customHeight="1">
      <c r="F956" s="14"/>
    </row>
    <row r="957" ht="15.75" customHeight="1">
      <c r="F957" s="14"/>
    </row>
    <row r="958" ht="15.75" customHeight="1">
      <c r="F958" s="14"/>
    </row>
    <row r="959" ht="15.75" customHeight="1">
      <c r="F959" s="14"/>
    </row>
    <row r="960" ht="15.75" customHeight="1">
      <c r="F960" s="14"/>
    </row>
    <row r="961" ht="15.75" customHeight="1">
      <c r="F961" s="14"/>
    </row>
    <row r="962" ht="15.75" customHeight="1">
      <c r="F962" s="14"/>
    </row>
    <row r="963" ht="15.75" customHeight="1">
      <c r="F963" s="14"/>
    </row>
    <row r="964" ht="15.75" customHeight="1">
      <c r="F964" s="14"/>
    </row>
    <row r="965" ht="15.75" customHeight="1">
      <c r="F965" s="14"/>
    </row>
    <row r="966" ht="15.75" customHeight="1">
      <c r="F966" s="14"/>
    </row>
    <row r="967" ht="15.75" customHeight="1">
      <c r="F967" s="14"/>
    </row>
    <row r="968" ht="15.75" customHeight="1">
      <c r="F968" s="14"/>
    </row>
    <row r="969" ht="15.75" customHeight="1">
      <c r="F969" s="14"/>
    </row>
    <row r="970" ht="15.75" customHeight="1">
      <c r="F970" s="14"/>
    </row>
    <row r="971" ht="15.75" customHeight="1">
      <c r="F971" s="14"/>
    </row>
    <row r="972" ht="15.75" customHeight="1">
      <c r="F972" s="14"/>
    </row>
    <row r="973" ht="15.75" customHeight="1">
      <c r="F973" s="14"/>
    </row>
    <row r="974" ht="15.75" customHeight="1">
      <c r="F974" s="14"/>
    </row>
    <row r="975" ht="15.75" customHeight="1">
      <c r="F975" s="14"/>
    </row>
    <row r="976" ht="15.75" customHeight="1">
      <c r="F976" s="14"/>
    </row>
    <row r="977" ht="15.75" customHeight="1">
      <c r="F977" s="14"/>
    </row>
    <row r="978" ht="15.75" customHeight="1">
      <c r="F978" s="14"/>
    </row>
    <row r="979" ht="15.75" customHeight="1">
      <c r="F979" s="14"/>
    </row>
    <row r="980" ht="15.75" customHeight="1">
      <c r="F980" s="14"/>
    </row>
    <row r="981" ht="15.75" customHeight="1">
      <c r="F981" s="14"/>
    </row>
    <row r="982" ht="15.75" customHeight="1">
      <c r="F982" s="14"/>
    </row>
    <row r="983" ht="15.75" customHeight="1">
      <c r="F983" s="14"/>
    </row>
    <row r="984" ht="15.75" customHeight="1">
      <c r="F984" s="14"/>
    </row>
    <row r="985" ht="15.75" customHeight="1">
      <c r="F985" s="14"/>
    </row>
    <row r="986" ht="15.75" customHeight="1">
      <c r="F986" s="14"/>
    </row>
    <row r="987" ht="15.75" customHeight="1">
      <c r="F987" s="14"/>
    </row>
    <row r="988" ht="15.75" customHeight="1">
      <c r="F988" s="14"/>
    </row>
    <row r="989" ht="15.75" customHeight="1">
      <c r="F989" s="14"/>
    </row>
    <row r="990" ht="15.75" customHeight="1">
      <c r="F990" s="14"/>
    </row>
    <row r="991" ht="15.75" customHeight="1">
      <c r="F991" s="14"/>
    </row>
    <row r="992" ht="15.75" customHeight="1">
      <c r="F992" s="14"/>
    </row>
    <row r="993" ht="15.75" customHeight="1">
      <c r="F993" s="14"/>
    </row>
    <row r="994" ht="15.75" customHeight="1">
      <c r="F994" s="14"/>
    </row>
    <row r="995" ht="15.75" customHeight="1">
      <c r="F995" s="14"/>
    </row>
    <row r="996" ht="15.75" customHeight="1">
      <c r="F996" s="14"/>
    </row>
    <row r="997" ht="15.75" customHeight="1">
      <c r="F997" s="14"/>
    </row>
    <row r="998" ht="15.75" customHeight="1">
      <c r="F998" s="14"/>
    </row>
    <row r="999" ht="15.75" customHeight="1">
      <c r="F999" s="14"/>
    </row>
    <row r="1000" ht="15.75" customHeight="1">
      <c r="F1000" s="14"/>
    </row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8.88"/>
    <col customWidth="1" min="2" max="2" width="23.63"/>
    <col customWidth="1" min="3" max="26" width="8.88"/>
  </cols>
  <sheetData>
    <row r="1">
      <c r="A1" s="1" t="s">
        <v>0</v>
      </c>
      <c r="B1" s="5" t="s">
        <v>2</v>
      </c>
    </row>
    <row r="2">
      <c r="A2" s="7"/>
      <c r="B2" s="7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2026-07-22T08:27:28Z</dcterms:created>
  <dc:creator>Clare Kon</dc:creator>
</cp:coreProperties>
</file>