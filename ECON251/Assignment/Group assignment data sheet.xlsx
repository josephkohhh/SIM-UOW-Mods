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drawings/drawing3.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josep\Desktop\"/>
    </mc:Choice>
  </mc:AlternateContent>
  <xr:revisionPtr revIDLastSave="0" documentId="13_ncr:1_{C6136291-E619-4EB1-B490-471705E4D5D8}" xr6:coauthVersionLast="47" xr6:coauthVersionMax="47" xr10:uidLastSave="{00000000-0000-0000-0000-000000000000}"/>
  <bookViews>
    <workbookView xWindow="-120" yWindow="-120" windowWidth="29040" windowHeight="15720" activeTab="2" xr2:uid="{00000000-000D-0000-FFFF-FFFF00000000}"/>
  </bookViews>
  <sheets>
    <sheet name="INDIA_RAW_DATA" sheetId="1" r:id="rId1"/>
    <sheet name="host country (india)" sheetId="2" r:id="rId2"/>
    <sheet name="GDP VS FDI Inflows" sheetId="3" r:id="rId3"/>
    <sheet name="India FDI Inflows" sheetId="4" r:id="rId4"/>
    <sheet name="India Top 3 FDI Inflows" sheetId="5" r:id="rId5"/>
    <sheet name="India-SG Import &amp; Export RAW" sheetId="6" r:id="rId6"/>
    <sheet name="India-SG Import, Export &amp; FDI" sheetId="7" r:id="rId7"/>
    <sheet name="Pillar 3 Regression" sheetId="8" r:id="rId8"/>
    <sheet name="Charts" sheetId="9" r:id="rId9"/>
    <sheet name="India-China Raw" sheetId="10" r:id="rId10"/>
    <sheet name="India-China Trade Growth" sheetId="11" r:id="rId11"/>
    <sheet name="India Exports (% from China Val" sheetId="12" r:id="rId1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6" roundtripDataChecksum="kTl/D5vjio4uYjpfxiV9/7YK1Umo0kFVt4pOG1geYoA="/>
    </ext>
  </extLst>
</workbook>
</file>

<file path=xl/calcChain.xml><?xml version="1.0" encoding="utf-8"?>
<calcChain xmlns="http://schemas.openxmlformats.org/spreadsheetml/2006/main">
  <c r="H25" i="7" l="1"/>
  <c r="F25" i="7"/>
  <c r="H24" i="7"/>
  <c r="F24" i="7"/>
  <c r="H23" i="7"/>
  <c r="F23" i="7"/>
  <c r="H22" i="7"/>
  <c r="F22" i="7"/>
  <c r="H21" i="7"/>
  <c r="F21" i="7"/>
  <c r="H20" i="7"/>
  <c r="F20" i="7"/>
  <c r="H19" i="7"/>
  <c r="F19" i="7"/>
  <c r="H18" i="7"/>
  <c r="F18" i="7"/>
  <c r="H17" i="7"/>
  <c r="F17" i="7"/>
  <c r="H16" i="7"/>
  <c r="F16" i="7"/>
  <c r="H15" i="7"/>
  <c r="F15" i="7"/>
  <c r="H14" i="7"/>
  <c r="F14" i="7"/>
  <c r="H13" i="7"/>
  <c r="F13" i="7"/>
  <c r="H12" i="7"/>
  <c r="F12" i="7"/>
  <c r="H11" i="7"/>
  <c r="F11" i="7"/>
  <c r="H10" i="7"/>
  <c r="F10" i="7"/>
  <c r="H9" i="7"/>
  <c r="F9" i="7"/>
  <c r="H8" i="7"/>
  <c r="F8" i="7"/>
  <c r="H7" i="7"/>
  <c r="F7" i="7"/>
  <c r="H6" i="7"/>
  <c r="F6" i="7"/>
  <c r="H5" i="7"/>
  <c r="F5" i="7"/>
  <c r="H4" i="7"/>
  <c r="F4" i="7"/>
  <c r="H3" i="7"/>
  <c r="F3" i="7"/>
  <c r="H2" i="7"/>
  <c r="F2" i="7"/>
  <c r="AI52" i="2"/>
  <c r="AH52" i="2"/>
  <c r="R52" i="2"/>
  <c r="O52" i="2"/>
  <c r="P52" i="2" s="1"/>
  <c r="N52" i="2"/>
  <c r="G52" i="2"/>
  <c r="AI51" i="2"/>
  <c r="AH51" i="2"/>
  <c r="O51" i="2"/>
  <c r="R51" i="2" s="1"/>
  <c r="N51" i="2"/>
  <c r="G51" i="2"/>
  <c r="AI50" i="2"/>
  <c r="AH50" i="2"/>
  <c r="O50" i="2"/>
  <c r="R50" i="2" s="1"/>
  <c r="N50" i="2"/>
  <c r="G50" i="2"/>
  <c r="AI49" i="2"/>
  <c r="AH49" i="2"/>
  <c r="N49" i="2"/>
  <c r="O49" i="2" s="1"/>
  <c r="G49" i="2"/>
  <c r="AI48" i="2"/>
  <c r="AH48" i="2"/>
  <c r="N48" i="2"/>
  <c r="O48" i="2" s="1"/>
  <c r="G48" i="2"/>
  <c r="AI47" i="2"/>
  <c r="AH47" i="2"/>
  <c r="N47" i="2"/>
  <c r="O47" i="2" s="1"/>
  <c r="G47" i="2"/>
  <c r="AI46" i="2"/>
  <c r="AH46" i="2"/>
  <c r="P46" i="2"/>
  <c r="O46" i="2"/>
  <c r="R46" i="2" s="1"/>
  <c r="S46" i="2" s="1"/>
  <c r="N46" i="2"/>
  <c r="G46" i="2"/>
  <c r="AI45" i="2"/>
  <c r="AH45" i="2"/>
  <c r="O45" i="2"/>
  <c r="R45" i="2" s="1"/>
  <c r="N45" i="2"/>
  <c r="G45" i="2"/>
  <c r="AI44" i="2"/>
  <c r="AH44" i="2"/>
  <c r="N44" i="2"/>
  <c r="O44" i="2" s="1"/>
  <c r="G44" i="2"/>
  <c r="AI43" i="2"/>
  <c r="AH43" i="2"/>
  <c r="N43" i="2"/>
  <c r="O43" i="2" s="1"/>
  <c r="G43" i="2"/>
  <c r="AI42" i="2"/>
  <c r="AH42" i="2"/>
  <c r="N42" i="2"/>
  <c r="O42" i="2" s="1"/>
  <c r="G42" i="2"/>
  <c r="AI41" i="2"/>
  <c r="AH41" i="2"/>
  <c r="P41" i="2"/>
  <c r="Q41" i="2" s="1"/>
  <c r="O41" i="2"/>
  <c r="R41" i="2" s="1"/>
  <c r="S41" i="2" s="1"/>
  <c r="N41" i="2"/>
  <c r="G41" i="2"/>
  <c r="AI40" i="2"/>
  <c r="AH40" i="2"/>
  <c r="R40" i="2"/>
  <c r="S40" i="2" s="1"/>
  <c r="P40" i="2"/>
  <c r="O40" i="2"/>
  <c r="N40" i="2"/>
  <c r="G40" i="2"/>
  <c r="AI39" i="2"/>
  <c r="AH39" i="2"/>
  <c r="O39" i="2"/>
  <c r="R39" i="2" s="1"/>
  <c r="N39" i="2"/>
  <c r="G39" i="2"/>
  <c r="AI38" i="2"/>
  <c r="AH38" i="2"/>
  <c r="N38" i="2"/>
  <c r="O38" i="2" s="1"/>
  <c r="G38" i="2"/>
  <c r="AI37" i="2"/>
  <c r="AH37" i="2"/>
  <c r="N37" i="2"/>
  <c r="O37" i="2" s="1"/>
  <c r="G37" i="2"/>
  <c r="AI36" i="2"/>
  <c r="AH36" i="2"/>
  <c r="N36" i="2"/>
  <c r="O36" i="2" s="1"/>
  <c r="G36" i="2"/>
  <c r="AI35" i="2"/>
  <c r="AH35" i="2"/>
  <c r="O35" i="2"/>
  <c r="R35" i="2" s="1"/>
  <c r="N35" i="2"/>
  <c r="G35" i="2"/>
  <c r="AI34" i="2"/>
  <c r="AH34" i="2"/>
  <c r="O34" i="2"/>
  <c r="R34" i="2" s="1"/>
  <c r="N34" i="2"/>
  <c r="G34" i="2"/>
  <c r="AI33" i="2"/>
  <c r="AH33" i="2"/>
  <c r="O33" i="2"/>
  <c r="P33" i="2" s="1"/>
  <c r="N33" i="2"/>
  <c r="G33" i="2"/>
  <c r="AI32" i="2"/>
  <c r="AH32" i="2"/>
  <c r="N32" i="2"/>
  <c r="O32" i="2" s="1"/>
  <c r="G32" i="2"/>
  <c r="AI31" i="2"/>
  <c r="AH31" i="2"/>
  <c r="N31" i="2"/>
  <c r="O31" i="2" s="1"/>
  <c r="G31" i="2"/>
  <c r="AI30" i="2"/>
  <c r="AH30" i="2"/>
  <c r="P30" i="2"/>
  <c r="O30" i="2"/>
  <c r="R30" i="2" s="1"/>
  <c r="S30" i="2" s="1"/>
  <c r="N30" i="2"/>
  <c r="G30" i="2"/>
  <c r="AI29" i="2"/>
  <c r="AH29" i="2"/>
  <c r="O29" i="2"/>
  <c r="R29" i="2" s="1"/>
  <c r="N29" i="2"/>
  <c r="G29" i="2"/>
  <c r="AI28" i="2"/>
  <c r="AH28" i="2"/>
  <c r="N28" i="2"/>
  <c r="O28" i="2" s="1"/>
  <c r="G28" i="2"/>
  <c r="AI27" i="2"/>
  <c r="AH27" i="2"/>
  <c r="N27" i="2"/>
  <c r="O27" i="2" s="1"/>
  <c r="G27" i="2"/>
  <c r="AI26" i="2"/>
  <c r="AH26" i="2"/>
  <c r="N26" i="2"/>
  <c r="O26" i="2" s="1"/>
  <c r="G26" i="2"/>
  <c r="AI25" i="2"/>
  <c r="AH25" i="2"/>
  <c r="P25" i="2"/>
  <c r="O25" i="2"/>
  <c r="R25" i="2" s="1"/>
  <c r="N25" i="2"/>
  <c r="G25" i="2"/>
  <c r="AI24" i="2"/>
  <c r="AH24" i="2"/>
  <c r="N24" i="2"/>
  <c r="O24" i="2" s="1"/>
  <c r="G24" i="2"/>
  <c r="AI23" i="2"/>
  <c r="AH23" i="2"/>
  <c r="O23" i="2"/>
  <c r="R23" i="2" s="1"/>
  <c r="N23" i="2"/>
  <c r="G23" i="2"/>
  <c r="AI22" i="2"/>
  <c r="AH22" i="2"/>
  <c r="N22" i="2"/>
  <c r="O22" i="2" s="1"/>
  <c r="G22" i="2"/>
  <c r="AI21" i="2"/>
  <c r="AH21" i="2"/>
  <c r="O21" i="2"/>
  <c r="R21" i="2" s="1"/>
  <c r="N21" i="2"/>
  <c r="G21" i="2"/>
  <c r="AI20" i="2"/>
  <c r="AH20" i="2"/>
  <c r="N20" i="2"/>
  <c r="O20" i="2" s="1"/>
  <c r="G20" i="2"/>
  <c r="AI19" i="2"/>
  <c r="AH19" i="2"/>
  <c r="O19" i="2"/>
  <c r="R19" i="2" s="1"/>
  <c r="N19" i="2"/>
  <c r="G19" i="2"/>
  <c r="AI18" i="2"/>
  <c r="AH18" i="2"/>
  <c r="N18" i="2"/>
  <c r="O18" i="2" s="1"/>
  <c r="G18" i="2"/>
  <c r="AI17" i="2"/>
  <c r="AH17" i="2"/>
  <c r="G17" i="2"/>
  <c r="AI16" i="2"/>
  <c r="AH16" i="2"/>
  <c r="G16" i="2"/>
  <c r="AI15" i="2"/>
  <c r="AH15" i="2"/>
  <c r="G15" i="2"/>
  <c r="AI14" i="2"/>
  <c r="AH14" i="2"/>
  <c r="G14" i="2"/>
  <c r="AI13" i="2"/>
  <c r="AH13" i="2"/>
  <c r="G13" i="2"/>
  <c r="AI12" i="2"/>
  <c r="AH12" i="2"/>
  <c r="G12" i="2"/>
  <c r="AI11" i="2"/>
  <c r="AH11" i="2"/>
  <c r="G11" i="2"/>
  <c r="AI10" i="2"/>
  <c r="AH10" i="2"/>
  <c r="G10" i="2"/>
  <c r="AI9" i="2"/>
  <c r="AH9" i="2"/>
  <c r="G9" i="2"/>
  <c r="AI8" i="2"/>
  <c r="AH8" i="2"/>
  <c r="G8" i="2"/>
  <c r="AI7" i="2"/>
  <c r="AH7" i="2"/>
  <c r="G7" i="2"/>
  <c r="AI6" i="2"/>
  <c r="AH6" i="2"/>
  <c r="G6" i="2"/>
  <c r="AI5" i="2"/>
  <c r="AH5" i="2"/>
  <c r="G5" i="2"/>
  <c r="AI4" i="2"/>
  <c r="AH4" i="2"/>
  <c r="G4" i="2"/>
  <c r="AI3" i="2"/>
  <c r="R37" i="2" l="1"/>
  <c r="P37" i="2"/>
  <c r="R47" i="2"/>
  <c r="S47" i="2" s="1"/>
  <c r="P47" i="2"/>
  <c r="Q47" i="2" s="1"/>
  <c r="R36" i="2"/>
  <c r="S36" i="2" s="1"/>
  <c r="P36" i="2"/>
  <c r="R44" i="2"/>
  <c r="P44" i="2"/>
  <c r="R20" i="2"/>
  <c r="S20" i="2" s="1"/>
  <c r="P20" i="2"/>
  <c r="Q20" i="2" s="1"/>
  <c r="R27" i="2"/>
  <c r="S27" i="2" s="1"/>
  <c r="P27" i="2"/>
  <c r="Q27" i="2" s="1"/>
  <c r="S34" i="2"/>
  <c r="S52" i="2"/>
  <c r="S51" i="2"/>
  <c r="R26" i="2"/>
  <c r="S26" i="2" s="1"/>
  <c r="P26" i="2"/>
  <c r="Q26" i="2" s="1"/>
  <c r="Q33" i="2"/>
  <c r="Q46" i="2"/>
  <c r="S35" i="2"/>
  <c r="R48" i="2"/>
  <c r="S48" i="2" s="1"/>
  <c r="P48" i="2"/>
  <c r="Q48" i="2" s="1"/>
  <c r="R28" i="2"/>
  <c r="P28" i="2"/>
  <c r="R18" i="2"/>
  <c r="S19" i="2" s="1"/>
  <c r="P18" i="2"/>
  <c r="S25" i="2"/>
  <c r="R32" i="2"/>
  <c r="P32" i="2"/>
  <c r="P49" i="2"/>
  <c r="R49" i="2"/>
  <c r="P24" i="2"/>
  <c r="R24" i="2"/>
  <c r="S24" i="2" s="1"/>
  <c r="Q25" i="2"/>
  <c r="R42" i="2"/>
  <c r="S42" i="2" s="1"/>
  <c r="P42" i="2"/>
  <c r="Q42" i="2" s="1"/>
  <c r="R43" i="2"/>
  <c r="S43" i="2" s="1"/>
  <c r="P43" i="2"/>
  <c r="Q43" i="2" s="1"/>
  <c r="R38" i="2"/>
  <c r="S38" i="2" s="1"/>
  <c r="P38" i="2"/>
  <c r="Q38" i="2" s="1"/>
  <c r="R31" i="2"/>
  <c r="S31" i="2" s="1"/>
  <c r="P31" i="2"/>
  <c r="Q31" i="2" s="1"/>
  <c r="P22" i="2"/>
  <c r="R22" i="2"/>
  <c r="S22" i="2" s="1"/>
  <c r="P19" i="2"/>
  <c r="R33" i="2"/>
  <c r="S33" i="2" s="1"/>
  <c r="P35" i="2"/>
  <c r="P51" i="2"/>
  <c r="P21" i="2"/>
  <c r="P23" i="2"/>
  <c r="Q23" i="2" s="1"/>
  <c r="P39" i="2"/>
  <c r="P34" i="2"/>
  <c r="Q34" i="2" s="1"/>
  <c r="P50" i="2"/>
  <c r="Q50" i="2" s="1"/>
  <c r="P29" i="2"/>
  <c r="Q29" i="2" s="1"/>
  <c r="P45" i="2"/>
  <c r="Q21" i="2" l="1"/>
  <c r="Q51" i="2"/>
  <c r="Q37" i="2"/>
  <c r="Q39" i="2"/>
  <c r="Q28" i="2"/>
  <c r="Q36" i="2"/>
  <c r="Q24" i="2"/>
  <c r="S49" i="2"/>
  <c r="Q22" i="2"/>
  <c r="S39" i="2"/>
  <c r="S37" i="2"/>
  <c r="S28" i="2"/>
  <c r="Q44" i="2"/>
  <c r="Q35" i="2"/>
  <c r="Q52" i="2"/>
  <c r="Q19" i="2"/>
  <c r="Q40" i="2"/>
  <c r="Q32" i="2"/>
  <c r="S23" i="2"/>
  <c r="S44" i="2"/>
  <c r="S21" i="2"/>
  <c r="S29" i="2"/>
  <c r="Q30" i="2"/>
  <c r="Q49" i="2"/>
  <c r="S45" i="2"/>
  <c r="Q45" i="2"/>
  <c r="S32" i="2"/>
  <c r="S50" i="2"/>
</calcChain>
</file>

<file path=xl/sharedStrings.xml><?xml version="1.0" encoding="utf-8"?>
<sst xmlns="http://schemas.openxmlformats.org/spreadsheetml/2006/main" count="1396" uniqueCount="435">
  <si>
    <t>Country Name</t>
  </si>
  <si>
    <t>Table No. 3.2</t>
  </si>
  <si>
    <t>Country Code</t>
  </si>
  <si>
    <t>Time</t>
  </si>
  <si>
    <t>Time Code</t>
  </si>
  <si>
    <t>GDP (constant 2015 US$) [NY.GDP.MKTP.KD]</t>
  </si>
  <si>
    <t>GDP growth (annual %) [NY.GDP.MKTP.KD.ZG]</t>
  </si>
  <si>
    <t>COUNTRY-WISE / YEAR-WISE FDI EQUITY INFLOW
 FROM JANUARY 2000 TO DECEMBER 2025</t>
  </si>
  <si>
    <t>GDP per capita (constant 2015 US$) [NY.GDP.PCAP.KD]</t>
  </si>
  <si>
    <t>Gross fixed capital formation (constant 2015 US$) [NE.GDI.FTOT.KD]</t>
  </si>
  <si>
    <t>Gross fixed capital formation (annual % growth) [NE.GDI.FTOT.KD.ZG]</t>
  </si>
  <si>
    <t>Labor force, total [SL.TLF.TOTL.IN]</t>
  </si>
  <si>
    <t>Unemployment, total (% of total labor force) (modeled ILO estimate) [SL.UEM.TOTL.ZS]</t>
  </si>
  <si>
    <t>GDP (constant 2015 US$)</t>
  </si>
  <si>
    <t>Manufacturing, value added (% of GDP) [NV.IND.MANF.ZS]</t>
  </si>
  <si>
    <t>Manufacturing, value added (annual % growth) [NV.IND.MANF.KD.ZG]</t>
  </si>
  <si>
    <t>Manufacturing, value added (constant 2015 US$) [NV.IND.MANF.KD]</t>
  </si>
  <si>
    <t>GDP growth (annual %)</t>
  </si>
  <si>
    <t>Employment in agriculture (% of total employment) (modeled ILO estimate) [SL.AGR.EMPL.ZS]</t>
  </si>
  <si>
    <t>GDP per person(constant 2015 US$)</t>
  </si>
  <si>
    <t>Employment in industry (% of total employment) (modeled ILO estimate) [SL.IND.EMPL.ZS]</t>
  </si>
  <si>
    <t xml:space="preserve">Growth rate of GDP per capita </t>
  </si>
  <si>
    <t>Employment in services (% of total employment) (modeled ILO estimate) [SL.SRV.EMPL.ZS]</t>
  </si>
  <si>
    <t>Trade (% of GDP) [NE.TRD.GNFS.ZS]</t>
  </si>
  <si>
    <t>Sr. No.</t>
  </si>
  <si>
    <t>Exports of goods and services (constant 2015 US$) [NE.EXP.GNFS.KD]</t>
  </si>
  <si>
    <t>Imports of goods and services (constant 2015 US$) [NE.IMP.GNFS.KD]</t>
  </si>
  <si>
    <t>Exports of goods and services (current US$) [NE.EXP.GNFS.CD]</t>
  </si>
  <si>
    <t>Gross fixed capital formation (constant 2015 US$)</t>
  </si>
  <si>
    <t>Imports of goods and services (current US$) [NE.IMP.GNFS.CD]</t>
  </si>
  <si>
    <t>Gross fixed capital formation (annual % growth)</t>
  </si>
  <si>
    <t>Tariff rate, applied, weighted mean, all products (%) [TM.TAX.MRCH.WM.AR.ZS]</t>
  </si>
  <si>
    <t>Name of the Country</t>
  </si>
  <si>
    <t>Foreign direct investment, net inflows (BoP, current US$) [BX.KLT.DINV.CD.WD]</t>
  </si>
  <si>
    <t>GDP (current US$) [NY.GDP.MKTP.CD]</t>
  </si>
  <si>
    <t>India</t>
  </si>
  <si>
    <t>2000 To 2021</t>
  </si>
  <si>
    <t>IND</t>
  </si>
  <si>
    <t>Labor force, total</t>
  </si>
  <si>
    <t>YR1976</t>
  </si>
  <si>
    <t>Unemployment, total (% of total labor force) (modeled ILO estimate)</t>
  </si>
  <si>
    <t xml:space="preserve">Employment Rate </t>
  </si>
  <si>
    <t xml:space="preserve">Number employed </t>
  </si>
  <si>
    <t>..</t>
  </si>
  <si>
    <t xml:space="preserve">Labour productivity </t>
  </si>
  <si>
    <t>% labour productivity</t>
  </si>
  <si>
    <t>Cumulative FDI (Jan 2000 to Dec 2025)</t>
  </si>
  <si>
    <t xml:space="preserve">Capital per employed </t>
  </si>
  <si>
    <t xml:space="preserve"> growth of capital per employed</t>
  </si>
  <si>
    <t>YR1977</t>
  </si>
  <si>
    <t>Manufacturing, value added (% of GDP)</t>
  </si>
  <si>
    <t>Manufacturing, value added (annual % growth)</t>
  </si>
  <si>
    <t>Manufacturing, value added (constant 2015 US$)</t>
  </si>
  <si>
    <t>Employment in agriculture (% of total employment) (modeled ILO estimate)</t>
  </si>
  <si>
    <t>Employment in industry (% of total employment) (modeled ILO estimate)</t>
  </si>
  <si>
    <t>(In USD Million)</t>
  </si>
  <si>
    <t>Employment in services (% of total employment) (modeled ILO estimate)</t>
  </si>
  <si>
    <t>Trade (% of GDP)</t>
  </si>
  <si>
    <t>Export value (current US$)</t>
  </si>
  <si>
    <t>Import value (current US$)</t>
  </si>
  <si>
    <t xml:space="preserve">Simple tariff rate (%) </t>
  </si>
  <si>
    <t>YR1978</t>
  </si>
  <si>
    <t>FDI inflow (current US$)</t>
  </si>
  <si>
    <t>(In INR Crore)</t>
  </si>
  <si>
    <t xml:space="preserve">Growth rate of FDI </t>
  </si>
  <si>
    <t>FDI as % of GDP</t>
  </si>
  <si>
    <t xml:space="preserve">GDP 
(current US$) </t>
  </si>
  <si>
    <t>There isn't a corresponding "constant 2015 US$" version of this indicator in the World Bank database. Therefore, to compute FDI as % of GDP, the standard practice is to use:
FDI (current US$)
GDP (current US$)
This way, both numerator and denominator are measured in the same year's prices.</t>
  </si>
  <si>
    <t>Singapore</t>
  </si>
  <si>
    <t>YR1979</t>
  </si>
  <si>
    <r>
      <rPr>
        <sz val="12"/>
        <color rgb="FF0000FF"/>
        <rFont val="Arial"/>
      </rPr>
      <t>Current prices (nominal) → T</t>
    </r>
    <r>
      <rPr>
        <b/>
        <sz val="12"/>
        <color rgb="FF0000FF"/>
        <rFont val="Arial"/>
      </rPr>
      <t>o include Inflation</t>
    </r>
    <r>
      <rPr>
        <sz val="12"/>
        <color rgb="FF0000FF"/>
        <rFont val="Arial"/>
      </rPr>
      <t xml:space="preserve">
Uses the prices that actually existed in each year.
Inflation is included.
Constant prices (real) → </t>
    </r>
    <r>
      <rPr>
        <b/>
        <sz val="12"/>
        <color rgb="FF0000FF"/>
        <rFont val="Arial"/>
      </rPr>
      <t>To exclude inflation</t>
    </r>
    <r>
      <rPr>
        <sz val="12"/>
        <color rgb="FF0000FF"/>
        <rFont val="Arial"/>
      </rPr>
      <t xml:space="preserve">
Uses prices from a fixed base year (e.g., 2015 or 2021).
Inflation is removed.
A quick memory trick:
Current = Current year's prices = Inflation included
Constant = Constant base-year prices = Inflation removed</t>
    </r>
  </si>
  <si>
    <t>Y</t>
  </si>
  <si>
    <t>13,72,324.74</t>
  </si>
  <si>
    <t>YR1980</t>
  </si>
  <si>
    <t>Find % change = ((new - old)/old)*100</t>
  </si>
  <si>
    <t>K</t>
  </si>
  <si>
    <t>Mauritius</t>
  </si>
  <si>
    <t>U</t>
  </si>
  <si>
    <t>E % =100 - U</t>
  </si>
  <si>
    <t>L = E% X Labour force</t>
  </si>
  <si>
    <t>Y/L</t>
  </si>
  <si>
    <t>YR1981</t>
  </si>
  <si>
    <t>=k/L</t>
  </si>
  <si>
    <t>11,35,690.27</t>
  </si>
  <si>
    <t>Find % change = ((new - old)/old)*100)</t>
  </si>
  <si>
    <t>U.S.A</t>
  </si>
  <si>
    <t xml:space="preserve">trade openness </t>
  </si>
  <si>
    <t>YR1982</t>
  </si>
  <si>
    <t>5,61,591.22</t>
  </si>
  <si>
    <t>= FDIinflow/GDP current) X 100%</t>
  </si>
  <si>
    <t>Netherland</t>
  </si>
  <si>
    <t>YR1983</t>
  </si>
  <si>
    <t>3,83,080.67</t>
  </si>
  <si>
    <t>YR1984</t>
  </si>
  <si>
    <t>Japan</t>
  </si>
  <si>
    <t>3,11,851.18</t>
  </si>
  <si>
    <t>YR1985</t>
  </si>
  <si>
    <t>United Kingdom</t>
  </si>
  <si>
    <t>2,17,316.40</t>
  </si>
  <si>
    <t>UAE</t>
  </si>
  <si>
    <t>YR1986</t>
  </si>
  <si>
    <t>1,88,978.69</t>
  </si>
  <si>
    <t>YR1987</t>
  </si>
  <si>
    <t>Cayman Islands</t>
  </si>
  <si>
    <t>1,28,119.62</t>
  </si>
  <si>
    <t>Cyprus</t>
  </si>
  <si>
    <t>YR1988</t>
  </si>
  <si>
    <t>1,01,681.11</t>
  </si>
  <si>
    <t>Germany</t>
  </si>
  <si>
    <t>YR1989</t>
  </si>
  <si>
    <t>France</t>
  </si>
  <si>
    <t>YR1990</t>
  </si>
  <si>
    <t>Switzerland</t>
  </si>
  <si>
    <t>YR1991</t>
  </si>
  <si>
    <t>South Korea</t>
  </si>
  <si>
    <t>Luxembourg</t>
  </si>
  <si>
    <t>YR1992</t>
  </si>
  <si>
    <t>YR1993</t>
  </si>
  <si>
    <t>Hong Kong</t>
  </si>
  <si>
    <t>YR1994</t>
  </si>
  <si>
    <t>Canada</t>
  </si>
  <si>
    <t>Spain</t>
  </si>
  <si>
    <t>YR1995</t>
  </si>
  <si>
    <t>Belgium</t>
  </si>
  <si>
    <t>YR1996</t>
  </si>
  <si>
    <t>Italy</t>
  </si>
  <si>
    <t>YR1997</t>
  </si>
  <si>
    <t>Saudi Arabia</t>
  </si>
  <si>
    <t>Sweden</t>
  </si>
  <si>
    <t>YR1998</t>
  </si>
  <si>
    <t>British Virginia</t>
  </si>
  <si>
    <t>YR1999</t>
  </si>
  <si>
    <t>China</t>
  </si>
  <si>
    <t>YR2000</t>
  </si>
  <si>
    <t>Ireland</t>
  </si>
  <si>
    <t>Qatar</t>
  </si>
  <si>
    <t>YR2001</t>
  </si>
  <si>
    <t>Australia</t>
  </si>
  <si>
    <t>YR2002</t>
  </si>
  <si>
    <t>Thailand</t>
  </si>
  <si>
    <t>YR2003</t>
  </si>
  <si>
    <t>Bermuda</t>
  </si>
  <si>
    <t>YR2004</t>
  </si>
  <si>
    <t>Denmark</t>
  </si>
  <si>
    <t>Russia</t>
  </si>
  <si>
    <t>YR2005</t>
  </si>
  <si>
    <t>Malaysia</t>
  </si>
  <si>
    <t>YR2006</t>
  </si>
  <si>
    <t>IFSC, India</t>
  </si>
  <si>
    <t>-</t>
  </si>
  <si>
    <t>YR2007</t>
  </si>
  <si>
    <t>Taiwan</t>
  </si>
  <si>
    <t>YR2008</t>
  </si>
  <si>
    <t>Norway</t>
  </si>
  <si>
    <t>Poland</t>
  </si>
  <si>
    <t>YR2009</t>
  </si>
  <si>
    <t>YR2010</t>
  </si>
  <si>
    <t>Austria</t>
  </si>
  <si>
    <t>YR2011</t>
  </si>
  <si>
    <t>Indonesia</t>
  </si>
  <si>
    <t>YR2012</t>
  </si>
  <si>
    <t>South Africa</t>
  </si>
  <si>
    <t>Oman</t>
  </si>
  <si>
    <t>YR2013</t>
  </si>
  <si>
    <t>Virgin Islands(US)</t>
  </si>
  <si>
    <t>YR2014</t>
  </si>
  <si>
    <t>Finland</t>
  </si>
  <si>
    <t>YR2015</t>
  </si>
  <si>
    <t>Philippines</t>
  </si>
  <si>
    <t>YR2016</t>
  </si>
  <si>
    <t>JERSEY</t>
  </si>
  <si>
    <t>YR2017</t>
  </si>
  <si>
    <t>Mexico</t>
  </si>
  <si>
    <t>YR2018</t>
  </si>
  <si>
    <t>Israel</t>
  </si>
  <si>
    <t>YR2019</t>
  </si>
  <si>
    <t>Guernsey</t>
  </si>
  <si>
    <t>YR2020</t>
  </si>
  <si>
    <t>Turkey</t>
  </si>
  <si>
    <t>YR2021</t>
  </si>
  <si>
    <t>Seychelles</t>
  </si>
  <si>
    <t>YR2022</t>
  </si>
  <si>
    <t>Bahrain</t>
  </si>
  <si>
    <t>Chile</t>
  </si>
  <si>
    <t>YR2023</t>
  </si>
  <si>
    <t>Morocco</t>
  </si>
  <si>
    <t>YR2024</t>
  </si>
  <si>
    <t>Portugal</t>
  </si>
  <si>
    <t>Czech Republic</t>
  </si>
  <si>
    <t>YR2025</t>
  </si>
  <si>
    <t>Liechtenstein</t>
  </si>
  <si>
    <t>Data from database: World Development Indicators</t>
  </si>
  <si>
    <t>Samoa</t>
  </si>
  <si>
    <t>Last Updated: 07/13/2026</t>
  </si>
  <si>
    <t>Sri Lanka</t>
  </si>
  <si>
    <t>Kuwait</t>
  </si>
  <si>
    <t>Panama</t>
  </si>
  <si>
    <t>New Zealand</t>
  </si>
  <si>
    <t>Vietnam</t>
  </si>
  <si>
    <t>West Indies</t>
  </si>
  <si>
    <t>Bahamas</t>
  </si>
  <si>
    <t>St Vincent</t>
  </si>
  <si>
    <t>Iceland</t>
  </si>
  <si>
    <t>Brazil</t>
  </si>
  <si>
    <t>Cambodia</t>
  </si>
  <si>
    <t>Korea(North)</t>
  </si>
  <si>
    <t>Channel Islands</t>
  </si>
  <si>
    <t>Brunei Darussalam</t>
  </si>
  <si>
    <t>St Kitts &amp; Nevis</t>
  </si>
  <si>
    <t>Greece</t>
  </si>
  <si>
    <t>Hungary</t>
  </si>
  <si>
    <t>Malta</t>
  </si>
  <si>
    <t>Jordan</t>
  </si>
  <si>
    <t>Kenya</t>
  </si>
  <si>
    <t>Belarus</t>
  </si>
  <si>
    <t>Slovenia</t>
  </si>
  <si>
    <t>Kazakhstan</t>
  </si>
  <si>
    <t>Slovakia</t>
  </si>
  <si>
    <t>Gibraltar</t>
  </si>
  <si>
    <t>Nigeria</t>
  </si>
  <si>
    <t>MOZAMBIQUE</t>
  </si>
  <si>
    <t>Bulgaria</t>
  </si>
  <si>
    <t>Liberia</t>
  </si>
  <si>
    <t>Romania</t>
  </si>
  <si>
    <t>Uganda</t>
  </si>
  <si>
    <t>Maldives</t>
  </si>
  <si>
    <t>Ukraine</t>
  </si>
  <si>
    <t>Egypt</t>
  </si>
  <si>
    <t>Colombia</t>
  </si>
  <si>
    <t>Barbados</t>
  </si>
  <si>
    <t>Botswana</t>
  </si>
  <si>
    <t>Argentina</t>
  </si>
  <si>
    <t>Reporter Name</t>
  </si>
  <si>
    <t>Partner Name</t>
  </si>
  <si>
    <t>Trade Flow</t>
  </si>
  <si>
    <t>Kyrgyzstan</t>
  </si>
  <si>
    <t>Product Group</t>
  </si>
  <si>
    <t>Indicator</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</si>
  <si>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</si>
  <si>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</si>
  <si>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</si>
  <si>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</si>
  <si>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</si>
  <si>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</si>
  <si>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</si>
  <si>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</si>
  <si>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</si>
  <si>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</si>
  <si>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</si>
  <si>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</si>
  <si>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</si>
  <si>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</si>
  <si>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</si>
  <si>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</si>
  <si>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</si>
  <si>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</si>
  <si>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</si>
  <si>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</si>
  <si>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</si>
  <si>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</si>
  <si>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</si>
  <si>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</si>
  <si>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MARSHALL ISLANDS</t>
  </si>
  <si>
    <t>Import</t>
  </si>
  <si>
    <t>Food Products</t>
  </si>
  <si>
    <t>Import (US$ Thousand)</t>
  </si>
  <si>
    <t xml:space="preserve"> Intermediate goods</t>
  </si>
  <si>
    <t>Myanmar</t>
  </si>
  <si>
    <t>Nepal</t>
  </si>
  <si>
    <t>Miscellaneous</t>
  </si>
  <si>
    <t>Ghana</t>
  </si>
  <si>
    <t>Hides and Skins</t>
  </si>
  <si>
    <t>Belize</t>
  </si>
  <si>
    <t>Stone and Glass</t>
  </si>
  <si>
    <t>Minerals</t>
  </si>
  <si>
    <t>AZERBAIJAN</t>
  </si>
  <si>
    <t>Animal</t>
  </si>
  <si>
    <t>East Africa</t>
  </si>
  <si>
    <t>Transportation</t>
  </si>
  <si>
    <t>CALENAR YEAR-WISE INFLOW OF FOREIGN DIRECT INVESTMENT:</t>
  </si>
  <si>
    <t>Uruguay</t>
  </si>
  <si>
    <t>Metals</t>
  </si>
  <si>
    <t>Calendar Year (January - December)</t>
  </si>
  <si>
    <t>Monaco</t>
  </si>
  <si>
    <t>FDI equity inflow from Singapore</t>
  </si>
  <si>
    <t>FDI equity inflow from Mauritius</t>
  </si>
  <si>
    <t>Plastic or Rubber</t>
  </si>
  <si>
    <t>FDI equity inflow from USA</t>
  </si>
  <si>
    <t>Fiji Island</t>
  </si>
  <si>
    <t>INR in Crore</t>
  </si>
  <si>
    <t>USD in Million</t>
  </si>
  <si>
    <t>Mach and Elec</t>
  </si>
  <si>
    <t>Tunisia</t>
  </si>
  <si>
    <t xml:space="preserve"> Capital goods</t>
  </si>
  <si>
    <t>Trinidad &amp; Tobago</t>
  </si>
  <si>
    <t xml:space="preserve"> Raw materials</t>
  </si>
  <si>
    <t>Estonia</t>
  </si>
  <si>
    <t>Wood</t>
  </si>
  <si>
    <t>Tanzania</t>
  </si>
  <si>
    <t xml:space="preserve"> Consumer goods</t>
  </si>
  <si>
    <t>Georgia</t>
  </si>
  <si>
    <t>Chemicals</t>
  </si>
  <si>
    <t>Textiles and Clothing</t>
  </si>
  <si>
    <t>Peru</t>
  </si>
  <si>
    <t xml:space="preserve">  All Products</t>
  </si>
  <si>
    <t>Lebanon</t>
  </si>
  <si>
    <t>Fuels</t>
  </si>
  <si>
    <t>Vanuatu</t>
  </si>
  <si>
    <t>Vegetable</t>
  </si>
  <si>
    <t>St Lucia</t>
  </si>
  <si>
    <t>Footwear</t>
  </si>
  <si>
    <t>West Africa</t>
  </si>
  <si>
    <t>State of Palestine</t>
  </si>
  <si>
    <t>Export</t>
  </si>
  <si>
    <t>Export (US$ Thousand)</t>
  </si>
  <si>
    <t>Latvia</t>
  </si>
  <si>
    <t>Mongolia</t>
  </si>
  <si>
    <t>1,01,233.01</t>
  </si>
  <si>
    <t>1,05,337.74</t>
  </si>
  <si>
    <t>Afghanistan</t>
  </si>
  <si>
    <t>Lithuania</t>
  </si>
  <si>
    <t>Yemen</t>
  </si>
  <si>
    <t>SAN MARINO</t>
  </si>
  <si>
    <t>TAJIKISTAN</t>
  </si>
  <si>
    <t>Congo (DR)</t>
  </si>
  <si>
    <t>Armenia</t>
  </si>
  <si>
    <t>Cumulative Total</t>
  </si>
  <si>
    <t>Malawi</t>
  </si>
  <si>
    <t>CHAPTER - VI: FDI SYNOPSIS ON COUNTRY, SECTOR &amp; STATE-WISE RECEIVED HIGHEST FDI EQUITY INFLOW</t>
  </si>
  <si>
    <t>Cuba</t>
  </si>
  <si>
    <t>Country Profile: (period from January 2000 to December 2025)</t>
  </si>
  <si>
    <t>Iran</t>
  </si>
  <si>
    <t>Guyana</t>
  </si>
  <si>
    <t>Jamaica</t>
  </si>
  <si>
    <t>Togo Republic</t>
  </si>
  <si>
    <t>Algeria</t>
  </si>
  <si>
    <t>Croatia</t>
  </si>
  <si>
    <t>Swaziland</t>
  </si>
  <si>
    <t>Anguilla</t>
  </si>
  <si>
    <t>BENIN</t>
  </si>
  <si>
    <t>Serbia</t>
  </si>
  <si>
    <t>Puerto Rico</t>
  </si>
  <si>
    <t>MAURITANIA</t>
  </si>
  <si>
    <t>Aruba</t>
  </si>
  <si>
    <t>Zambia</t>
  </si>
  <si>
    <t>Iraq</t>
  </si>
  <si>
    <t>VATICAN CITY</t>
  </si>
  <si>
    <t>GABON</t>
  </si>
  <si>
    <t>Honduras</t>
  </si>
  <si>
    <t>Yugoslavia</t>
  </si>
  <si>
    <t>SURINAME</t>
  </si>
  <si>
    <t>Year</t>
  </si>
  <si>
    <t>Exports to Singapore
(US$ thousand)</t>
  </si>
  <si>
    <t>Exports to Singapore
(US$ million)</t>
  </si>
  <si>
    <t>Imports from Singapore 
(US$ thousand)</t>
  </si>
  <si>
    <t>Imports from Singapore 
(US$ million)</t>
  </si>
  <si>
    <t>FDI Equity Inflow From Singapore 
(US$ million)</t>
  </si>
  <si>
    <t>Costa Rica</t>
  </si>
  <si>
    <t>Sierra Leone</t>
  </si>
  <si>
    <t>Bangladesh</t>
  </si>
  <si>
    <t>Angola</t>
  </si>
  <si>
    <t>Cook Island</t>
  </si>
  <si>
    <t>Turks and Caicos Islands</t>
  </si>
  <si>
    <t>Zimbabwe</t>
  </si>
  <si>
    <t>Libya</t>
  </si>
  <si>
    <t>Djibouti</t>
  </si>
  <si>
    <t>Sudan</t>
  </si>
  <si>
    <t>COTE DIVOIRE</t>
  </si>
  <si>
    <t>Moldova</t>
  </si>
  <si>
    <t>SUMMARY OUTPUT</t>
  </si>
  <si>
    <t>Cape Verde</t>
  </si>
  <si>
    <t>Regression Statistics</t>
  </si>
  <si>
    <t>Multiple R</t>
  </si>
  <si>
    <t>Niue Island</t>
  </si>
  <si>
    <t>R Square</t>
  </si>
  <si>
    <t>Adjusted R Square</t>
  </si>
  <si>
    <t>GUAM</t>
  </si>
  <si>
    <t>Standard Error</t>
  </si>
  <si>
    <t>Observations</t>
  </si>
  <si>
    <t>GUATEMALA</t>
  </si>
  <si>
    <t>ANOVA</t>
  </si>
  <si>
    <t>df</t>
  </si>
  <si>
    <t>SS</t>
  </si>
  <si>
    <t>MS</t>
  </si>
  <si>
    <t>F</t>
  </si>
  <si>
    <t>Venezuela</t>
  </si>
  <si>
    <t>Significance F</t>
  </si>
  <si>
    <t>Regression</t>
  </si>
  <si>
    <t>Residual</t>
  </si>
  <si>
    <t>ETHIOPIA</t>
  </si>
  <si>
    <t>Total</t>
  </si>
  <si>
    <t>Coefficients</t>
  </si>
  <si>
    <t>t Stat</t>
  </si>
  <si>
    <t>P-value</t>
  </si>
  <si>
    <t>Lower 95%</t>
  </si>
  <si>
    <t>Upper 95%</t>
  </si>
  <si>
    <t>Lower 95.0%</t>
  </si>
  <si>
    <t>Upper 95.0%</t>
  </si>
  <si>
    <t>NAMIBIA</t>
  </si>
  <si>
    <t>Intercept</t>
  </si>
  <si>
    <t>DOMINICAN REP</t>
  </si>
  <si>
    <t>Cameroon</t>
  </si>
  <si>
    <t>TURKMENISTAN</t>
  </si>
  <si>
    <t>Bolivia</t>
  </si>
  <si>
    <t>Syria</t>
  </si>
  <si>
    <t>SAN TOME AND PRINCIPE</t>
  </si>
  <si>
    <t>ECUADOR</t>
  </si>
  <si>
    <t>Paraguay</t>
  </si>
  <si>
    <t>SENEGAL</t>
  </si>
  <si>
    <t>ANDORRA</t>
  </si>
  <si>
    <t>MACEDONIA</t>
  </si>
  <si>
    <t>Rwanda</t>
  </si>
  <si>
    <t>Mali Republic</t>
  </si>
  <si>
    <t>Country Details Awaited</t>
  </si>
  <si>
    <t>NRI ***</t>
  </si>
  <si>
    <t>FII's</t>
  </si>
  <si>
    <t>Sub Total:</t>
  </si>
  <si>
    <t>51,88,505.68</t>
  </si>
  <si>
    <t>RBI’s NRI SCHEMES” *”</t>
  </si>
  <si>
    <t>Grand Total:</t>
  </si>
  <si>
    <t>51,89,094.83</t>
  </si>
  <si>
    <t>Note:
 (i) ‘*’ Complete/separate data on NRI investment is not maintained by RBI. However, the above data reflects investments made by NRI’s reported by RBI under the ‘NRI” head. RBI has informed that NRIs, who have not reported their status as NRIs while making investments, are not included in this category.
 (ii) ^ on the basis of clarification received from RBI, the amount of Stock Swap &amp; advance pending issue of shares has been deleted from the cumulative FDI data.
 (iii) ‘**’ RBI’s NRI schemes for the period from 2000 to 2002.</t>
  </si>
  <si>
    <t>Step 1:</t>
  </si>
  <si>
    <t>Go to official DPIIT website: https://www.dpiit.gov.in/documents/publications?page=1</t>
  </si>
  <si>
    <t>Step 2:</t>
  </si>
  <si>
    <t>Click VIEW ALL on FOREIGN DIRECT INVESTMENT IN INDIA - ANNUAL ISSUE 2025</t>
  </si>
  <si>
    <t>Step 3:</t>
  </si>
  <si>
    <t>Scroll down to CHAPTER – III: CUMULATIVEFDI EQUITY INFLOW DATA STATEMENTS (During January 2000 to December 2025)</t>
  </si>
  <si>
    <t>Click VIEW on 2. Statement on Country-wise / Year-wise</t>
  </si>
  <si>
    <t>Step 4:</t>
  </si>
  <si>
    <t>Download the pdf file and convert to excel file</t>
  </si>
  <si>
    <t>All Products</t>
  </si>
  <si>
    <t>Total Trade (US$ Thousand)</t>
  </si>
  <si>
    <t>Growth Rate (%)</t>
  </si>
  <si>
    <t>China Value Added % of Total India Exports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</si>
</sst>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30">
    <font>
      <sz val="11"/>
      <color theme="1"/>
      <name val="Aptos Narrow"/>
      <scheme val="minor"/>
    </font>
    <font>
      <sz val="11"/>
      <color theme="1"/>
      <name val="Aptos Narrow"/>
    </font>
    <font>
      <b/>
      <i/>
      <u/>
      <sz val="11"/>
      <color theme="1"/>
      <name val="Arial"/>
    </font>
    <font>
      <b/>
      <sz val="13"/>
      <color theme="1"/>
      <name val="Calibri"/>
    </font>
    <font>
      <b/>
      <sz val="11"/>
      <color theme="1"/>
      <name val="Calibri"/>
    </font>
    <font>
      <b/>
      <sz val="11"/>
      <color rgb="FF000000"/>
      <name val="Calibri"/>
    </font>
    <font>
      <sz val="11"/>
      <color rgb="FFFF0000"/>
      <name val="Aptos Narrow"/>
    </font>
    <font>
      <b/>
      <sz val="11"/>
      <color rgb="FFFF0000"/>
      <name val="Aptos Narrow"/>
    </font>
    <font>
      <sz val="11"/>
      <name val="Aptos Narrow"/>
    </font>
    <font>
      <sz val="11"/>
      <color rgb="FF000000"/>
      <name val="Times New Roman"/>
    </font>
    <font>
      <sz val="11"/>
      <color rgb="FF0000FF"/>
      <name val="Arial"/>
    </font>
    <font>
      <sz val="11"/>
      <color rgb="FF000000"/>
      <name val="Calibri"/>
    </font>
    <font>
      <sz val="11"/>
      <color theme="1"/>
      <name val="Calibri"/>
    </font>
    <font>
      <sz val="12"/>
      <color rgb="FF0000FF"/>
      <name val="Arial"/>
    </font>
    <font>
      <sz val="12"/>
      <color theme="1"/>
      <name val="Aptos Narrow"/>
    </font>
    <font>
      <sz val="12"/>
      <color theme="1"/>
      <name val="Arial"/>
    </font>
    <font>
      <sz val="11"/>
      <color theme="1"/>
      <name val="Arial"/>
    </font>
    <font>
      <sz val="11"/>
      <color rgb="FFFF0000"/>
      <name val="Arial"/>
    </font>
    <font>
      <sz val="11"/>
      <color theme="1"/>
      <name val="Aptos Narrow"/>
      <scheme val="minor"/>
    </font>
    <font>
      <b/>
      <u/>
      <sz val="11"/>
      <color theme="1"/>
      <name val="Calibri"/>
    </font>
    <font>
      <b/>
      <u/>
      <sz val="11"/>
      <color theme="1"/>
      <name val="Calibri"/>
    </font>
    <font>
      <sz val="11"/>
      <color rgb="FF212121"/>
      <name val="Calibri"/>
    </font>
    <font>
      <sz val="12"/>
      <color rgb="FF150202"/>
      <name val="Noto Sans"/>
    </font>
    <font>
      <sz val="11"/>
      <color rgb="FF150202"/>
      <name val="Noto Sans"/>
    </font>
    <font>
      <sz val="11"/>
      <color rgb="FF212121"/>
      <name val="Arial"/>
    </font>
    <font>
      <sz val="11"/>
      <color rgb="FF000000"/>
      <name val="&quot;Aptos Narrow&quot;"/>
    </font>
    <font>
      <i/>
      <sz val="11"/>
      <color rgb="FF000000"/>
      <name val="&quot;Aptos Narrow&quot;"/>
    </font>
    <font>
      <sz val="12"/>
      <color rgb="FF000000"/>
      <name val="Arial"/>
    </font>
    <font>
      <sz val="11"/>
      <color theme="1"/>
      <name val="Arial"/>
    </font>
    <font>
      <b/>
      <sz val="12"/>
      <color rgb="FF0000FF"/>
      <name val="Arial"/>
    </font>
  </fonts>
  <fills count="9">
    <fill>
      <patternFill patternType="none"/>
    </fill>
    <fill>
      <patternFill patternType="gray125"/>
    </fill>
    <fill>
      <patternFill patternType="solid">
        <fgColor theme="9"/>
        <bgColor theme="9"/>
      </patternFill>
    </fill>
    <fill>
      <patternFill patternType="solid">
        <fgColor rgb="FFD9F2D0"/>
        <bgColor rgb="FFD9F2D0"/>
      </patternFill>
    </fill>
    <fill>
      <patternFill patternType="solid">
        <fgColor rgb="FFB3E5A1"/>
        <bgColor rgb="FFB3E5A1"/>
      </patternFill>
    </fill>
    <fill>
      <patternFill patternType="solid">
        <fgColor rgb="FF3A7D22"/>
        <bgColor rgb="FF3A7D22"/>
      </patternFill>
    </fill>
    <fill>
      <patternFill patternType="solid">
        <fgColor rgb="FFFFFF00"/>
        <bgColor rgb="FFFFFF00"/>
      </patternFill>
    </fill>
    <fill>
      <patternFill patternType="solid">
        <fgColor rgb="FF4EA72E"/>
        <bgColor rgb="FF4EA72E"/>
      </patternFill>
    </fill>
    <fill>
      <patternFill patternType="solid">
        <fgColor rgb="FFFFFFFF"/>
        <bgColor rgb="FFFFFFFF"/>
      </patternFill>
    </fill>
  </fills>
  <borders count="8">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1">
    <xf numFmtId="0" fontId="0" fillId="0" borderId="0"/>
  </cellStyleXfs>
  <cellXfs count="87">
    <xf numFmtId="0" fontId="0" fillId="0" borderId="0" xfId="0"/>
    <xf numFmtId="0" fontId="1" fillId="0" borderId="0" xfId="0" applyFont="1"/>
    <xf numFmtId="0" fontId="1" fillId="0" borderId="0" xfId="0" applyFont="1" applyAlignment="1">
      <alignment horizontal="center" vertical="center" wrapText="1"/>
    </xf>
    <xf numFmtId="49" fontId="1" fillId="0" borderId="0" xfId="0" applyNumberFormat="1" applyFont="1"/>
    <xf numFmtId="0" fontId="1" fillId="2" borderId="1" xfId="0" applyFont="1" applyFill="1" applyBorder="1" applyAlignment="1">
      <alignment horizontal="center" vertical="center" wrapText="1"/>
    </xf>
    <xf numFmtId="2" fontId="1" fillId="0" borderId="0" xfId="0" applyNumberFormat="1" applyFont="1" applyAlignment="1">
      <alignment horizontal="center" vertical="center" wrapText="1"/>
    </xf>
    <xf numFmtId="0" fontId="1" fillId="3" borderId="1" xfId="0" applyFont="1" applyFill="1" applyBorder="1" applyAlignment="1">
      <alignment horizontal="center" vertical="center" wrapText="1"/>
    </xf>
    <xf numFmtId="0" fontId="4" fillId="0" borderId="2" xfId="0" applyFont="1" applyBorder="1" applyAlignment="1">
      <alignment horizontal="center"/>
    </xf>
    <xf numFmtId="0" fontId="4" fillId="0" borderId="2" xfId="0" applyFont="1" applyBorder="1" applyAlignment="1">
      <alignment horizontal="left"/>
    </xf>
    <xf numFmtId="0" fontId="1" fillId="4" borderId="1" xfId="0" applyFont="1" applyFill="1" applyBorder="1" applyAlignment="1">
      <alignment horizontal="center" vertical="center" wrapText="1"/>
    </xf>
    <xf numFmtId="0" fontId="5" fillId="0" borderId="2" xfId="0" applyFont="1" applyBorder="1" applyAlignment="1">
      <alignment horizontal="center"/>
    </xf>
    <xf numFmtId="164" fontId="6" fillId="0" borderId="0" xfId="0" applyNumberFormat="1" applyFont="1" applyAlignment="1">
      <alignment horizontal="center" vertical="center" wrapText="1"/>
    </xf>
    <xf numFmtId="164" fontId="7" fillId="0" borderId="0" xfId="0" applyNumberFormat="1" applyFont="1" applyAlignment="1">
      <alignment horizontal="center" vertical="center" wrapText="1"/>
    </xf>
    <xf numFmtId="10" fontId="1" fillId="5" borderId="1" xfId="0" applyNumberFormat="1" applyFont="1" applyFill="1" applyBorder="1" applyAlignment="1">
      <alignment horizontal="center" vertical="center" wrapText="1"/>
    </xf>
    <xf numFmtId="0" fontId="9" fillId="0" borderId="0" xfId="0" applyFont="1" applyAlignment="1">
      <alignment horizontal="left" vertical="top"/>
    </xf>
    <xf numFmtId="0" fontId="9" fillId="0" borderId="2" xfId="0" applyFont="1" applyBorder="1" applyAlignment="1">
      <alignment horizontal="left"/>
    </xf>
    <xf numFmtId="0" fontId="4" fillId="0" borderId="2" xfId="0" applyFont="1" applyBorder="1" applyAlignment="1">
      <alignment horizontal="left" vertical="top"/>
    </xf>
    <xf numFmtId="0" fontId="6" fillId="0" borderId="0" xfId="0" applyFont="1" applyAlignment="1">
      <alignment horizontal="center" vertical="center" wrapText="1"/>
    </xf>
    <xf numFmtId="0" fontId="4" fillId="0" borderId="2" xfId="0" applyFont="1" applyBorder="1" applyAlignment="1">
      <alignment horizontal="right" vertical="top"/>
    </xf>
    <xf numFmtId="0" fontId="10" fillId="0" borderId="0" xfId="0" applyFont="1" applyAlignment="1">
      <alignment horizontal="left" vertical="center" wrapText="1"/>
    </xf>
    <xf numFmtId="0" fontId="11" fillId="0" borderId="2" xfId="0" applyFont="1" applyBorder="1" applyAlignment="1">
      <alignment horizontal="center" vertical="top"/>
    </xf>
    <xf numFmtId="0" fontId="12" fillId="6" borderId="2" xfId="0" applyFont="1" applyFill="1" applyBorder="1" applyAlignment="1">
      <alignment horizontal="left" vertical="top"/>
    </xf>
    <xf numFmtId="0" fontId="13" fillId="0" borderId="0" xfId="0" applyFont="1" applyAlignment="1">
      <alignment horizontal="left" vertical="top" wrapText="1"/>
    </xf>
    <xf numFmtId="4" fontId="11" fillId="0" borderId="2" xfId="0" applyNumberFormat="1" applyFont="1" applyBorder="1" applyAlignment="1">
      <alignment horizontal="right" vertical="top"/>
    </xf>
    <xf numFmtId="0" fontId="14" fillId="0" borderId="0" xfId="0" applyFont="1" applyAlignment="1">
      <alignment horizontal="center" vertical="center" wrapText="1"/>
    </xf>
    <xf numFmtId="0" fontId="14" fillId="2" borderId="1" xfId="0" applyFont="1" applyFill="1" applyBorder="1" applyAlignment="1">
      <alignment horizontal="center" vertical="center" wrapText="1"/>
    </xf>
    <xf numFmtId="2" fontId="14" fillId="0" borderId="0" xfId="0" applyNumberFormat="1" applyFont="1" applyAlignment="1">
      <alignment horizontal="center" vertical="center" wrapText="1"/>
    </xf>
    <xf numFmtId="0" fontId="12" fillId="0" borderId="2" xfId="0" applyFont="1" applyBorder="1" applyAlignment="1">
      <alignment horizontal="right" vertical="top"/>
    </xf>
    <xf numFmtId="164" fontId="15" fillId="0" borderId="0" xfId="0" applyNumberFormat="1" applyFont="1" applyAlignment="1">
      <alignment horizontal="center" vertical="center" wrapText="1"/>
    </xf>
    <xf numFmtId="0" fontId="14" fillId="3" borderId="1" xfId="0" applyFont="1" applyFill="1" applyBorder="1" applyAlignment="1">
      <alignment horizontal="center" vertical="center" wrapText="1"/>
    </xf>
    <xf numFmtId="0" fontId="14" fillId="4" borderId="1" xfId="0" applyFont="1" applyFill="1" applyBorder="1" applyAlignment="1">
      <alignment horizontal="center" vertical="center" wrapText="1"/>
    </xf>
    <xf numFmtId="164" fontId="14" fillId="0" borderId="0" xfId="0" quotePrefix="1" applyNumberFormat="1" applyFont="1" applyAlignment="1">
      <alignment horizontal="center" vertical="center" wrapText="1"/>
    </xf>
    <xf numFmtId="164" fontId="14" fillId="0" borderId="0" xfId="0" applyNumberFormat="1" applyFont="1" applyAlignment="1">
      <alignment horizontal="center" vertical="center" wrapText="1"/>
    </xf>
    <xf numFmtId="10" fontId="14" fillId="5" borderId="1" xfId="0" applyNumberFormat="1" applyFont="1" applyFill="1" applyBorder="1" applyAlignment="1">
      <alignment horizontal="center" vertical="center" wrapText="1"/>
    </xf>
    <xf numFmtId="0" fontId="14" fillId="0" borderId="0" xfId="0" quotePrefix="1" applyFont="1" applyAlignment="1">
      <alignment horizontal="center" vertical="center" wrapText="1"/>
    </xf>
    <xf numFmtId="0" fontId="16" fillId="0" borderId="0" xfId="0" applyFont="1"/>
    <xf numFmtId="0" fontId="12" fillId="0" borderId="0" xfId="0" applyFont="1"/>
    <xf numFmtId="0" fontId="1" fillId="7" borderId="1" xfId="0" applyFont="1" applyFill="1" applyBorder="1"/>
    <xf numFmtId="0" fontId="12" fillId="0" borderId="2" xfId="0" applyFont="1" applyBorder="1" applyAlignment="1">
      <alignment horizontal="left" vertical="top"/>
    </xf>
    <xf numFmtId="0" fontId="1" fillId="3" borderId="1" xfId="0" applyFont="1" applyFill="1" applyBorder="1"/>
    <xf numFmtId="0" fontId="1" fillId="4" borderId="1" xfId="0" applyFont="1" applyFill="1" applyBorder="1"/>
    <xf numFmtId="0" fontId="1" fillId="5" borderId="1" xfId="0" applyFont="1" applyFill="1" applyBorder="1"/>
    <xf numFmtId="2" fontId="1" fillId="0" borderId="0" xfId="0" applyNumberFormat="1" applyFont="1"/>
    <xf numFmtId="0" fontId="6" fillId="0" borderId="0" xfId="0" applyFont="1"/>
    <xf numFmtId="0" fontId="11" fillId="0" borderId="2" xfId="0" applyFont="1" applyBorder="1" applyAlignment="1">
      <alignment horizontal="right" vertical="top"/>
    </xf>
    <xf numFmtId="0" fontId="12" fillId="0" borderId="0" xfId="0" applyFont="1" applyAlignment="1">
      <alignment horizontal="right"/>
    </xf>
    <xf numFmtId="2" fontId="12" fillId="0" borderId="0" xfId="0" applyNumberFormat="1" applyFont="1" applyAlignment="1">
      <alignment horizontal="right"/>
    </xf>
    <xf numFmtId="0" fontId="17" fillId="0" borderId="0" xfId="0" applyFont="1"/>
    <xf numFmtId="0" fontId="1" fillId="2" borderId="1" xfId="0" applyFont="1" applyFill="1" applyBorder="1"/>
    <xf numFmtId="0" fontId="18" fillId="0" borderId="0" xfId="0" applyFont="1"/>
    <xf numFmtId="0" fontId="21" fillId="0" borderId="2" xfId="0" applyFont="1" applyBorder="1" applyAlignment="1">
      <alignment horizontal="right" vertical="top"/>
    </xf>
    <xf numFmtId="4" fontId="21" fillId="0" borderId="2" xfId="0" applyNumberFormat="1" applyFont="1" applyBorder="1" applyAlignment="1">
      <alignment horizontal="right" vertical="top"/>
    </xf>
    <xf numFmtId="0" fontId="18" fillId="6" borderId="0" xfId="0" applyFont="1" applyFill="1"/>
    <xf numFmtId="0" fontId="4" fillId="0" borderId="2" xfId="0" applyFont="1" applyBorder="1" applyAlignment="1">
      <alignment horizontal="center" vertical="top"/>
    </xf>
    <xf numFmtId="4" fontId="5" fillId="0" borderId="2" xfId="0" applyNumberFormat="1" applyFont="1" applyBorder="1" applyAlignment="1">
      <alignment horizontal="right" vertical="top"/>
    </xf>
    <xf numFmtId="0" fontId="22" fillId="8" borderId="1" xfId="0" applyFont="1" applyFill="1" applyBorder="1"/>
    <xf numFmtId="0" fontId="23" fillId="8" borderId="1" xfId="0" applyFont="1" applyFill="1" applyBorder="1"/>
    <xf numFmtId="0" fontId="1" fillId="0" borderId="0" xfId="0" applyFont="1" applyAlignment="1">
      <alignment horizontal="left" vertical="center"/>
    </xf>
    <xf numFmtId="0" fontId="1" fillId="0" borderId="0" xfId="0" applyFont="1" applyAlignment="1">
      <alignment horizontal="left" vertical="center" wrapText="1"/>
    </xf>
    <xf numFmtId="0" fontId="1" fillId="0" borderId="0" xfId="0" applyFont="1" applyAlignment="1">
      <alignment horizontal="left"/>
    </xf>
    <xf numFmtId="2" fontId="24" fillId="0" borderId="0" xfId="0" applyNumberFormat="1" applyFont="1" applyAlignment="1">
      <alignment horizontal="right" vertical="top" shrinkToFit="1"/>
    </xf>
    <xf numFmtId="4" fontId="24" fillId="0" borderId="0" xfId="0" applyNumberFormat="1" applyFont="1" applyAlignment="1">
      <alignment horizontal="right" vertical="top" shrinkToFit="1"/>
    </xf>
    <xf numFmtId="0" fontId="25" fillId="0" borderId="0" xfId="0" applyFont="1"/>
    <xf numFmtId="0" fontId="26" fillId="0" borderId="3" xfId="0" applyFont="1" applyBorder="1" applyAlignment="1">
      <alignment horizontal="center"/>
    </xf>
    <xf numFmtId="0" fontId="25" fillId="0" borderId="0" xfId="0" applyFont="1" applyAlignment="1">
      <alignment horizontal="right"/>
    </xf>
    <xf numFmtId="0" fontId="25" fillId="0" borderId="5" xfId="0" applyFont="1" applyBorder="1"/>
    <xf numFmtId="0" fontId="25" fillId="0" borderId="5" xfId="0" applyFont="1" applyBorder="1" applyAlignment="1">
      <alignment horizontal="right"/>
    </xf>
    <xf numFmtId="11" fontId="25" fillId="0" borderId="0" xfId="0" applyNumberFormat="1" applyFont="1" applyAlignment="1">
      <alignment horizontal="right"/>
    </xf>
    <xf numFmtId="11" fontId="25" fillId="0" borderId="5" xfId="0" applyNumberFormat="1" applyFont="1" applyBorder="1" applyAlignment="1">
      <alignment horizontal="right"/>
    </xf>
    <xf numFmtId="0" fontId="27" fillId="0" borderId="0" xfId="0" applyFont="1" applyAlignment="1">
      <alignment horizontal="left"/>
    </xf>
    <xf numFmtId="0" fontId="11" fillId="0" borderId="0" xfId="0" applyFont="1"/>
    <xf numFmtId="0" fontId="11" fillId="0" borderId="0" xfId="0" applyFont="1" applyAlignment="1">
      <alignment horizontal="right"/>
    </xf>
    <xf numFmtId="0" fontId="28" fillId="0" borderId="0" xfId="0" applyFont="1"/>
    <xf numFmtId="0" fontId="2" fillId="0" borderId="0" xfId="0" applyFont="1" applyAlignment="1">
      <alignment horizontal="center" vertical="top"/>
    </xf>
    <xf numFmtId="0" fontId="0" fillId="0" borderId="0" xfId="0"/>
    <xf numFmtId="0" fontId="3" fillId="0" borderId="0" xfId="0" applyFont="1" applyAlignment="1">
      <alignment horizontal="center" vertical="top"/>
    </xf>
    <xf numFmtId="0" fontId="4" fillId="0" borderId="3" xfId="0" applyFont="1" applyBorder="1" applyAlignment="1">
      <alignment horizontal="left" vertical="top"/>
    </xf>
    <xf numFmtId="0" fontId="8" fillId="0" borderId="4" xfId="0" applyFont="1" applyBorder="1"/>
    <xf numFmtId="0" fontId="4" fillId="0" borderId="0" xfId="0" applyFont="1" applyAlignment="1">
      <alignment horizontal="left" vertical="top"/>
    </xf>
    <xf numFmtId="0" fontId="4" fillId="0" borderId="5" xfId="0" applyFont="1" applyBorder="1" applyAlignment="1">
      <alignment horizontal="center" vertical="top"/>
    </xf>
    <xf numFmtId="0" fontId="8" fillId="0" borderId="5" xfId="0" applyFont="1" applyBorder="1"/>
    <xf numFmtId="0" fontId="19" fillId="0" borderId="6" xfId="0" applyFont="1" applyBorder="1" applyAlignment="1">
      <alignment horizontal="left" vertical="top"/>
    </xf>
    <xf numFmtId="0" fontId="8" fillId="0" borderId="7" xfId="0" applyFont="1" applyBorder="1"/>
    <xf numFmtId="0" fontId="20" fillId="0" borderId="3" xfId="0" applyFont="1" applyBorder="1" applyAlignment="1">
      <alignment horizontal="left" vertical="top"/>
    </xf>
    <xf numFmtId="0" fontId="25" fillId="0" borderId="0" xfId="0" applyFont="1"/>
    <xf numFmtId="0" fontId="26" fillId="0" borderId="3" xfId="0" applyFont="1" applyBorder="1" applyAlignment="1">
      <alignment horizontal="center"/>
    </xf>
    <xf numFmtId="0" fontId="8" fillId="0" borderId="3"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customschemas.google.com/relationships/workbookmetadata" Target="metadata"/><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lang="en-US" sz="1400" b="0" i="0">
                <a:solidFill>
                  <a:srgbClr val="757575"/>
                </a:solidFill>
                <a:latin typeface="+mn-lt"/>
              </a:rPr>
              <a:t>GDP Growth Rate and FDI Inflows in India (1978-2025)</a:t>
            </a:r>
          </a:p>
        </c:rich>
      </c:tx>
      <c:overlay val="0"/>
    </c:title>
    <c:autoTitleDeleted val="0"/>
    <c:plotArea>
      <c:layout/>
      <c:lineChart>
        <c:grouping val="standard"/>
        <c:varyColors val="0"/>
        <c:ser>
          <c:idx val="0"/>
          <c:order val="0"/>
          <c:tx>
            <c:v>FDI inflow (current US$)</c:v>
          </c:tx>
          <c:spPr>
            <a:ln w="28575" cmpd="sng">
              <a:solidFill>
                <a:schemeClr val="accent1"/>
              </a:solidFill>
            </a:ln>
          </c:spPr>
          <c:marker>
            <c:symbol val="none"/>
          </c:marker>
          <c:trendline>
            <c:name>Linear (FDI inflow (current US$))</c:name>
            <c:spPr>
              <a:ln w="19050">
                <a:solidFill>
                  <a:srgbClr val="000000">
                    <a:alpha val="0"/>
                  </a:srgbClr>
                </a:solidFill>
              </a:ln>
            </c:spPr>
            <c:trendlineType val="linear"/>
            <c:dispRSqr val="0"/>
            <c:dispEq val="0"/>
          </c:trendline>
          <c:cat>
            <c:numRef>
              <c:f>'GDP VS FDI Inflows'!$A$5:$A$52</c:f>
              <c:numCache>
                <c:formatCode>General</c:formatCode>
                <c:ptCount val="48"/>
                <c:pt idx="0">
                  <c:v>1978</c:v>
                </c:pt>
                <c:pt idx="1">
                  <c:v>1979</c:v>
                </c:pt>
                <c:pt idx="2">
                  <c:v>1980</c:v>
                </c:pt>
                <c:pt idx="3">
                  <c:v>1981</c:v>
                </c:pt>
                <c:pt idx="4">
                  <c:v>1982</c:v>
                </c:pt>
                <c:pt idx="5">
                  <c:v>1983</c:v>
                </c:pt>
                <c:pt idx="6">
                  <c:v>1984</c:v>
                </c:pt>
                <c:pt idx="7">
                  <c:v>1985</c:v>
                </c:pt>
                <c:pt idx="8">
                  <c:v>1986</c:v>
                </c:pt>
                <c:pt idx="9">
                  <c:v>1987</c:v>
                </c:pt>
                <c:pt idx="10">
                  <c:v>1988</c:v>
                </c:pt>
                <c:pt idx="11">
                  <c:v>1989</c:v>
                </c:pt>
                <c:pt idx="12">
                  <c:v>1990</c:v>
                </c:pt>
                <c:pt idx="13">
                  <c:v>1991</c:v>
                </c:pt>
                <c:pt idx="14">
                  <c:v>1992</c:v>
                </c:pt>
                <c:pt idx="15">
                  <c:v>1993</c:v>
                </c:pt>
                <c:pt idx="16">
                  <c:v>1994</c:v>
                </c:pt>
                <c:pt idx="17">
                  <c:v>1995</c:v>
                </c:pt>
                <c:pt idx="18">
                  <c:v>1996</c:v>
                </c:pt>
                <c:pt idx="19">
                  <c:v>1997</c:v>
                </c:pt>
                <c:pt idx="20">
                  <c:v>1998</c:v>
                </c:pt>
                <c:pt idx="21">
                  <c:v>1999</c:v>
                </c:pt>
                <c:pt idx="22">
                  <c:v>2000</c:v>
                </c:pt>
                <c:pt idx="23">
                  <c:v>2001</c:v>
                </c:pt>
                <c:pt idx="24">
                  <c:v>2002</c:v>
                </c:pt>
                <c:pt idx="25">
                  <c:v>2003</c:v>
                </c:pt>
                <c:pt idx="26">
                  <c:v>2004</c:v>
                </c:pt>
                <c:pt idx="27">
                  <c:v>2005</c:v>
                </c:pt>
                <c:pt idx="28">
                  <c:v>2006</c:v>
                </c:pt>
                <c:pt idx="29">
                  <c:v>2007</c:v>
                </c:pt>
                <c:pt idx="30">
                  <c:v>2008</c:v>
                </c:pt>
                <c:pt idx="31">
                  <c:v>2009</c:v>
                </c:pt>
                <c:pt idx="32">
                  <c:v>2010</c:v>
                </c:pt>
                <c:pt idx="33">
                  <c:v>2011</c:v>
                </c:pt>
                <c:pt idx="34">
                  <c:v>2012</c:v>
                </c:pt>
                <c:pt idx="35">
                  <c:v>2013</c:v>
                </c:pt>
                <c:pt idx="36">
                  <c:v>2014</c:v>
                </c:pt>
                <c:pt idx="37">
                  <c:v>2015</c:v>
                </c:pt>
                <c:pt idx="38">
                  <c:v>2016</c:v>
                </c:pt>
                <c:pt idx="39">
                  <c:v>2017</c:v>
                </c:pt>
                <c:pt idx="40">
                  <c:v>2018</c:v>
                </c:pt>
                <c:pt idx="41">
                  <c:v>2019</c:v>
                </c:pt>
                <c:pt idx="42">
                  <c:v>2020</c:v>
                </c:pt>
                <c:pt idx="43">
                  <c:v>2021</c:v>
                </c:pt>
                <c:pt idx="44">
                  <c:v>2022</c:v>
                </c:pt>
                <c:pt idx="45">
                  <c:v>2023</c:v>
                </c:pt>
                <c:pt idx="46">
                  <c:v>2024</c:v>
                </c:pt>
                <c:pt idx="47">
                  <c:v>2025</c:v>
                </c:pt>
              </c:numCache>
            </c:numRef>
          </c:cat>
          <c:val>
            <c:numRef>
              <c:f>'GDP VS FDI Inflows'!$C$5:$C$52</c:f>
              <c:numCache>
                <c:formatCode>0.00</c:formatCode>
                <c:ptCount val="48"/>
                <c:pt idx="0">
                  <c:v>18090000</c:v>
                </c:pt>
                <c:pt idx="1">
                  <c:v>48570000</c:v>
                </c:pt>
                <c:pt idx="2">
                  <c:v>79159999.900000006</c:v>
                </c:pt>
                <c:pt idx="3">
                  <c:v>91920000</c:v>
                </c:pt>
                <c:pt idx="4">
                  <c:v>72079999.900000006</c:v>
                </c:pt>
                <c:pt idx="5">
                  <c:v>5639999.9000000004</c:v>
                </c:pt>
                <c:pt idx="6">
                  <c:v>19239999.899999999</c:v>
                </c:pt>
                <c:pt idx="7">
                  <c:v>106090000</c:v>
                </c:pt>
                <c:pt idx="8">
                  <c:v>117730000</c:v>
                </c:pt>
                <c:pt idx="9">
                  <c:v>212319999.90000001</c:v>
                </c:pt>
                <c:pt idx="10">
                  <c:v>91250000</c:v>
                </c:pt>
                <c:pt idx="11">
                  <c:v>252099999.90000001</c:v>
                </c:pt>
                <c:pt idx="12">
                  <c:v>236690000</c:v>
                </c:pt>
                <c:pt idx="13">
                  <c:v>73537638.388532996</c:v>
                </c:pt>
                <c:pt idx="14">
                  <c:v>276512438.97389299</c:v>
                </c:pt>
                <c:pt idx="15">
                  <c:v>550370024.92938304</c:v>
                </c:pt>
                <c:pt idx="16">
                  <c:v>973271468.72287297</c:v>
                </c:pt>
                <c:pt idx="17">
                  <c:v>2143628110.28391</c:v>
                </c:pt>
                <c:pt idx="18">
                  <c:v>2426057021.9109201</c:v>
                </c:pt>
                <c:pt idx="19">
                  <c:v>3577330042.34585</c:v>
                </c:pt>
                <c:pt idx="20">
                  <c:v>2634651657.7714</c:v>
                </c:pt>
                <c:pt idx="21">
                  <c:v>2168591054.37924</c:v>
                </c:pt>
                <c:pt idx="22">
                  <c:v>3584217307.1875501</c:v>
                </c:pt>
                <c:pt idx="23">
                  <c:v>5128093561.6268797</c:v>
                </c:pt>
                <c:pt idx="24">
                  <c:v>5208967106.2789402</c:v>
                </c:pt>
                <c:pt idx="25">
                  <c:v>3681984671.4342799</c:v>
                </c:pt>
                <c:pt idx="26">
                  <c:v>5429250989.8571701</c:v>
                </c:pt>
                <c:pt idx="27">
                  <c:v>7269407225.6143799</c:v>
                </c:pt>
                <c:pt idx="28">
                  <c:v>20029119267.139599</c:v>
                </c:pt>
                <c:pt idx="29">
                  <c:v>25227740886.6819</c:v>
                </c:pt>
                <c:pt idx="30">
                  <c:v>43406277075.810799</c:v>
                </c:pt>
                <c:pt idx="31">
                  <c:v>35581372929.664101</c:v>
                </c:pt>
                <c:pt idx="32">
                  <c:v>27396885033.783798</c:v>
                </c:pt>
                <c:pt idx="33">
                  <c:v>36498654597.858902</c:v>
                </c:pt>
                <c:pt idx="34">
                  <c:v>23995685014.2141</c:v>
                </c:pt>
                <c:pt idx="35">
                  <c:v>28153031270.320202</c:v>
                </c:pt>
                <c:pt idx="36">
                  <c:v>34576643694.138199</c:v>
                </c:pt>
                <c:pt idx="37">
                  <c:v>44009492129.531898</c:v>
                </c:pt>
                <c:pt idx="38">
                  <c:v>44458571545.797997</c:v>
                </c:pt>
                <c:pt idx="39">
                  <c:v>39966091358.738403</c:v>
                </c:pt>
                <c:pt idx="40">
                  <c:v>42117450737.264397</c:v>
                </c:pt>
                <c:pt idx="41">
                  <c:v>50610647353.591103</c:v>
                </c:pt>
                <c:pt idx="42">
                  <c:v>64362364994.375397</c:v>
                </c:pt>
                <c:pt idx="43">
                  <c:v>44727277562.880997</c:v>
                </c:pt>
                <c:pt idx="44">
                  <c:v>49940258404.2659</c:v>
                </c:pt>
                <c:pt idx="45">
                  <c:v>28086193530.3979</c:v>
                </c:pt>
                <c:pt idx="46">
                  <c:v>27139853378.140202</c:v>
                </c:pt>
                <c:pt idx="47">
                  <c:v>39097233086.213303</c:v>
                </c:pt>
              </c:numCache>
            </c:numRef>
          </c:val>
          <c:smooth val="0"/>
          <c:extLst>
            <c:ext xmlns:c16="http://schemas.microsoft.com/office/drawing/2014/chart" uri="{C3380CC4-5D6E-409C-BE32-E72D297353CC}">
              <c16:uniqueId val="{00000001-E70F-49AE-9236-25A3C8F11D3A}"/>
            </c:ext>
          </c:extLst>
        </c:ser>
        <c:dLbls>
          <c:showLegendKey val="0"/>
          <c:showVal val="0"/>
          <c:showCatName val="0"/>
          <c:showSerName val="0"/>
          <c:showPercent val="0"/>
          <c:showBubbleSize val="0"/>
        </c:dLbls>
        <c:marker val="1"/>
        <c:smooth val="0"/>
        <c:axId val="2144615046"/>
        <c:axId val="13719745"/>
      </c:lineChart>
      <c:lineChart>
        <c:grouping val="standard"/>
        <c:varyColors val="0"/>
        <c:ser>
          <c:idx val="1"/>
          <c:order val="1"/>
          <c:tx>
            <c:v>GDP growth (annual %)</c:v>
          </c:tx>
          <c:spPr>
            <a:ln w="28575" cmpd="sng">
              <a:solidFill>
                <a:schemeClr val="accent2"/>
              </a:solidFill>
            </a:ln>
          </c:spPr>
          <c:marker>
            <c:symbol val="none"/>
          </c:marker>
          <c:cat>
            <c:numRef>
              <c:f>'GDP VS FDI Inflows'!$A$5:$A$52</c:f>
              <c:numCache>
                <c:formatCode>General</c:formatCode>
                <c:ptCount val="48"/>
                <c:pt idx="0">
                  <c:v>1978</c:v>
                </c:pt>
                <c:pt idx="1">
                  <c:v>1979</c:v>
                </c:pt>
                <c:pt idx="2">
                  <c:v>1980</c:v>
                </c:pt>
                <c:pt idx="3">
                  <c:v>1981</c:v>
                </c:pt>
                <c:pt idx="4">
                  <c:v>1982</c:v>
                </c:pt>
                <c:pt idx="5">
                  <c:v>1983</c:v>
                </c:pt>
                <c:pt idx="6">
                  <c:v>1984</c:v>
                </c:pt>
                <c:pt idx="7">
                  <c:v>1985</c:v>
                </c:pt>
                <c:pt idx="8">
                  <c:v>1986</c:v>
                </c:pt>
                <c:pt idx="9">
                  <c:v>1987</c:v>
                </c:pt>
                <c:pt idx="10">
                  <c:v>1988</c:v>
                </c:pt>
                <c:pt idx="11">
                  <c:v>1989</c:v>
                </c:pt>
                <c:pt idx="12">
                  <c:v>1990</c:v>
                </c:pt>
                <c:pt idx="13">
                  <c:v>1991</c:v>
                </c:pt>
                <c:pt idx="14">
                  <c:v>1992</c:v>
                </c:pt>
                <c:pt idx="15">
                  <c:v>1993</c:v>
                </c:pt>
                <c:pt idx="16">
                  <c:v>1994</c:v>
                </c:pt>
                <c:pt idx="17">
                  <c:v>1995</c:v>
                </c:pt>
                <c:pt idx="18">
                  <c:v>1996</c:v>
                </c:pt>
                <c:pt idx="19">
                  <c:v>1997</c:v>
                </c:pt>
                <c:pt idx="20">
                  <c:v>1998</c:v>
                </c:pt>
                <c:pt idx="21">
                  <c:v>1999</c:v>
                </c:pt>
                <c:pt idx="22">
                  <c:v>2000</c:v>
                </c:pt>
                <c:pt idx="23">
                  <c:v>2001</c:v>
                </c:pt>
                <c:pt idx="24">
                  <c:v>2002</c:v>
                </c:pt>
                <c:pt idx="25">
                  <c:v>2003</c:v>
                </c:pt>
                <c:pt idx="26">
                  <c:v>2004</c:v>
                </c:pt>
                <c:pt idx="27">
                  <c:v>2005</c:v>
                </c:pt>
                <c:pt idx="28">
                  <c:v>2006</c:v>
                </c:pt>
                <c:pt idx="29">
                  <c:v>2007</c:v>
                </c:pt>
                <c:pt idx="30">
                  <c:v>2008</c:v>
                </c:pt>
                <c:pt idx="31">
                  <c:v>2009</c:v>
                </c:pt>
                <c:pt idx="32">
                  <c:v>2010</c:v>
                </c:pt>
                <c:pt idx="33">
                  <c:v>2011</c:v>
                </c:pt>
                <c:pt idx="34">
                  <c:v>2012</c:v>
                </c:pt>
                <c:pt idx="35">
                  <c:v>2013</c:v>
                </c:pt>
                <c:pt idx="36">
                  <c:v>2014</c:v>
                </c:pt>
                <c:pt idx="37">
                  <c:v>2015</c:v>
                </c:pt>
                <c:pt idx="38">
                  <c:v>2016</c:v>
                </c:pt>
                <c:pt idx="39">
                  <c:v>2017</c:v>
                </c:pt>
                <c:pt idx="40">
                  <c:v>2018</c:v>
                </c:pt>
                <c:pt idx="41">
                  <c:v>2019</c:v>
                </c:pt>
                <c:pt idx="42">
                  <c:v>2020</c:v>
                </c:pt>
                <c:pt idx="43">
                  <c:v>2021</c:v>
                </c:pt>
                <c:pt idx="44">
                  <c:v>2022</c:v>
                </c:pt>
                <c:pt idx="45">
                  <c:v>2023</c:v>
                </c:pt>
                <c:pt idx="46">
                  <c:v>2024</c:v>
                </c:pt>
                <c:pt idx="47">
                  <c:v>2025</c:v>
                </c:pt>
              </c:numCache>
            </c:numRef>
          </c:cat>
          <c:val>
            <c:numRef>
              <c:f>'GDP VS FDI Inflows'!$B$6:$B$52</c:f>
              <c:numCache>
                <c:formatCode>General</c:formatCode>
                <c:ptCount val="47"/>
                <c:pt idx="0">
                  <c:v>-5.2381827027895014</c:v>
                </c:pt>
                <c:pt idx="1">
                  <c:v>6.7358215279984961</c:v>
                </c:pt>
                <c:pt idx="2">
                  <c:v>6.0062036238176688</c:v>
                </c:pt>
                <c:pt idx="3">
                  <c:v>3.4757332403123655</c:v>
                </c:pt>
                <c:pt idx="4">
                  <c:v>7.288892901245859</c:v>
                </c:pt>
                <c:pt idx="5">
                  <c:v>3.8207378559735048</c:v>
                </c:pt>
                <c:pt idx="6">
                  <c:v>5.254299223308891</c:v>
                </c:pt>
                <c:pt idx="7">
                  <c:v>4.7765641704894648</c:v>
                </c:pt>
                <c:pt idx="8">
                  <c:v>3.9653556339057587</c:v>
                </c:pt>
                <c:pt idx="9">
                  <c:v>9.6277829198483431</c:v>
                </c:pt>
                <c:pt idx="10">
                  <c:v>5.9473433282650348</c:v>
                </c:pt>
                <c:pt idx="11">
                  <c:v>5.5334545630649501</c:v>
                </c:pt>
                <c:pt idx="12">
                  <c:v>1.0568314329617863</c:v>
                </c:pt>
                <c:pt idx="13">
                  <c:v>5.4823960216700272</c:v>
                </c:pt>
                <c:pt idx="14">
                  <c:v>4.7507762195799046</c:v>
                </c:pt>
                <c:pt idx="15">
                  <c:v>6.6589240674730661</c:v>
                </c:pt>
                <c:pt idx="16">
                  <c:v>7.5744918402719463</c:v>
                </c:pt>
                <c:pt idx="17">
                  <c:v>7.5495222488882945</c:v>
                </c:pt>
                <c:pt idx="18">
                  <c:v>4.049820849024826</c:v>
                </c:pt>
                <c:pt idx="19">
                  <c:v>6.1844158208035509</c:v>
                </c:pt>
                <c:pt idx="20">
                  <c:v>8.8457555611411607</c:v>
                </c:pt>
                <c:pt idx="21">
                  <c:v>3.8409911568655417</c:v>
                </c:pt>
                <c:pt idx="22">
                  <c:v>4.8239662639730341</c:v>
                </c:pt>
                <c:pt idx="23">
                  <c:v>3.8039753212003831</c:v>
                </c:pt>
                <c:pt idx="24">
                  <c:v>7.8603814754504526</c:v>
                </c:pt>
                <c:pt idx="25">
                  <c:v>7.9229366130797843</c:v>
                </c:pt>
                <c:pt idx="26">
                  <c:v>7.9234306213178911</c:v>
                </c:pt>
                <c:pt idx="27">
                  <c:v>8.0607325730505721</c:v>
                </c:pt>
                <c:pt idx="28">
                  <c:v>7.6608150651076556</c:v>
                </c:pt>
                <c:pt idx="29">
                  <c:v>3.0866980595008187</c:v>
                </c:pt>
                <c:pt idx="30">
                  <c:v>7.8618888330338024</c:v>
                </c:pt>
                <c:pt idx="31">
                  <c:v>8.4975847016562511</c:v>
                </c:pt>
                <c:pt idx="32">
                  <c:v>5.2413162002429345</c:v>
                </c:pt>
                <c:pt idx="33">
                  <c:v>5.4563875516477225</c:v>
                </c:pt>
                <c:pt idx="34">
                  <c:v>6.3861064009171287</c:v>
                </c:pt>
                <c:pt idx="35">
                  <c:v>7.4102276051697658</c:v>
                </c:pt>
                <c:pt idx="36">
                  <c:v>7.996253785679869</c:v>
                </c:pt>
                <c:pt idx="37">
                  <c:v>8.2563055017666187</c:v>
                </c:pt>
                <c:pt idx="38">
                  <c:v>6.7953834190242191</c:v>
                </c:pt>
                <c:pt idx="39">
                  <c:v>6.4538513449529518</c:v>
                </c:pt>
                <c:pt idx="40">
                  <c:v>3.8714369407052374</c:v>
                </c:pt>
                <c:pt idx="41">
                  <c:v>-5.7777247068730304</c:v>
                </c:pt>
                <c:pt idx="42">
                  <c:v>9.6895924919174092</c:v>
                </c:pt>
                <c:pt idx="43">
                  <c:v>7.609364977693204</c:v>
                </c:pt>
                <c:pt idx="44">
                  <c:v>7.2102246293350021</c:v>
                </c:pt>
                <c:pt idx="45">
                  <c:v>7.0992789317651841</c:v>
                </c:pt>
                <c:pt idx="46">
                  <c:v>7.5666617928424387</c:v>
                </c:pt>
              </c:numCache>
            </c:numRef>
          </c:val>
          <c:smooth val="0"/>
          <c:extLst>
            <c:ext xmlns:c16="http://schemas.microsoft.com/office/drawing/2014/chart" uri="{C3380CC4-5D6E-409C-BE32-E72D297353CC}">
              <c16:uniqueId val="{00000002-E70F-49AE-9236-25A3C8F11D3A}"/>
            </c:ext>
          </c:extLst>
        </c:ser>
        <c:dLbls>
          <c:showLegendKey val="0"/>
          <c:showVal val="0"/>
          <c:showCatName val="0"/>
          <c:showSerName val="0"/>
          <c:showPercent val="0"/>
          <c:showBubbleSize val="0"/>
        </c:dLbls>
        <c:marker val="1"/>
        <c:smooth val="0"/>
        <c:axId val="1174401486"/>
        <c:axId val="1587364186"/>
      </c:lineChart>
      <c:catAx>
        <c:axId val="2144615046"/>
        <c:scaling>
          <c:orientation val="minMax"/>
        </c:scaling>
        <c:delete val="0"/>
        <c:axPos val="b"/>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spPr>
          <a:ln>
            <a:noFill/>
          </a:ln>
        </c:spPr>
        <c:txPr>
          <a:bodyPr/>
          <a:lstStyle/>
          <a:p>
            <a:pPr lvl="0">
              <a:defRPr sz="900" b="0" i="0">
                <a:solidFill>
                  <a:srgbClr val="000000"/>
                </a:solidFill>
                <a:latin typeface="+mn-lt"/>
              </a:defRPr>
            </a:pPr>
            <a:endParaRPr lang="en-US"/>
          </a:p>
        </c:txPr>
        <c:crossAx val="13719745"/>
        <c:crosses val="autoZero"/>
        <c:auto val="1"/>
        <c:lblAlgn val="ctr"/>
        <c:lblOffset val="100"/>
        <c:noMultiLvlLbl val="1"/>
      </c:catAx>
      <c:valAx>
        <c:axId val="13719745"/>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en-US"/>
              </a:p>
            </c:rich>
          </c:tx>
          <c:overlay val="0"/>
        </c:title>
        <c:numFmt formatCode="0.00" sourceLinked="1"/>
        <c:majorTickMark val="none"/>
        <c:minorTickMark val="none"/>
        <c:tickLblPos val="nextTo"/>
        <c:spPr>
          <a:ln>
            <a:noFill/>
          </a:ln>
        </c:spPr>
        <c:txPr>
          <a:bodyPr/>
          <a:lstStyle/>
          <a:p>
            <a:pPr lvl="0">
              <a:defRPr sz="900" b="0" i="0">
                <a:solidFill>
                  <a:srgbClr val="000000"/>
                </a:solidFill>
                <a:latin typeface="+mn-lt"/>
              </a:defRPr>
            </a:pPr>
            <a:endParaRPr lang="en-US"/>
          </a:p>
        </c:txPr>
        <c:crossAx val="2144615046"/>
        <c:crosses val="autoZero"/>
        <c:crossBetween val="between"/>
      </c:valAx>
      <c:catAx>
        <c:axId val="1174401486"/>
        <c:scaling>
          <c:orientation val="minMax"/>
        </c:scaling>
        <c:delete val="1"/>
        <c:axPos val="b"/>
        <c:numFmt formatCode="General" sourceLinked="1"/>
        <c:majorTickMark val="none"/>
        <c:minorTickMark val="none"/>
        <c:tickLblPos val="nextTo"/>
        <c:crossAx val="1587364186"/>
        <c:crosses val="autoZero"/>
        <c:auto val="1"/>
        <c:lblAlgn val="ctr"/>
        <c:lblOffset val="100"/>
        <c:noMultiLvlLbl val="1"/>
      </c:catAx>
      <c:valAx>
        <c:axId val="1587364186"/>
        <c:scaling>
          <c:orientation val="minMax"/>
        </c:scaling>
        <c:delete val="0"/>
        <c:axPos val="r"/>
        <c:title>
          <c:tx>
            <c:rich>
              <a:bodyPr/>
              <a:lstStyle/>
              <a:p>
                <a:pPr lvl="0">
                  <a:defRPr b="0">
                    <a:solidFill>
                      <a:srgbClr val="000000"/>
                    </a:solidFill>
                    <a:latin typeface="+mn-lt"/>
                  </a:defRPr>
                </a:pPr>
                <a:endParaRPr lang="en-US"/>
              </a:p>
            </c:rich>
          </c:tx>
          <c:overlay val="0"/>
        </c:title>
        <c:numFmt formatCode="General" sourceLinked="1"/>
        <c:majorTickMark val="out"/>
        <c:minorTickMark val="none"/>
        <c:tickLblPos val="nextTo"/>
        <c:spPr>
          <a:ln/>
        </c:spPr>
        <c:txPr>
          <a:bodyPr/>
          <a:lstStyle/>
          <a:p>
            <a:pPr lvl="0">
              <a:defRPr sz="900" b="0" i="0">
                <a:solidFill>
                  <a:srgbClr val="000000"/>
                </a:solidFill>
                <a:latin typeface="+mn-lt"/>
              </a:defRPr>
            </a:pPr>
            <a:endParaRPr lang="en-US"/>
          </a:p>
        </c:txPr>
        <c:crossAx val="1174401486"/>
        <c:crosses val="max"/>
        <c:crossBetween val="between"/>
      </c:valAx>
    </c:plotArea>
    <c:legend>
      <c:legendPos val="r"/>
      <c:layout>
        <c:manualLayout>
          <c:xMode val="edge"/>
          <c:yMode val="edge"/>
          <c:x val="0.68239841254782907"/>
          <c:y val="0.25682498286440308"/>
        </c:manualLayout>
      </c:layout>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sz="1400" b="0" i="0">
                <a:solidFill>
                  <a:srgbClr val="757575"/>
                </a:solidFill>
                <a:latin typeface="+mn-lt"/>
              </a:rPr>
              <a:t>Top 3 Sources of FDI Equity Inflows into India (2000–2025)</a:t>
            </a:r>
          </a:p>
        </c:rich>
      </c:tx>
      <c:overlay val="0"/>
    </c:title>
    <c:autoTitleDeleted val="0"/>
    <c:plotArea>
      <c:layout/>
      <c:barChart>
        <c:barDir val="bar"/>
        <c:grouping val="stacked"/>
        <c:varyColors val="1"/>
        <c:ser>
          <c:idx val="0"/>
          <c:order val="0"/>
          <c:tx>
            <c:v>Singapore</c:v>
          </c:tx>
          <c:spPr>
            <a:solidFill>
              <a:schemeClr val="accent1"/>
            </a:solidFill>
            <a:ln cmpd="sng">
              <a:noFill/>
            </a:ln>
          </c:spPr>
          <c:invertIfNegative val="1"/>
          <c:cat>
            <c:numRef>
              <c:f>'India Top 3 FDI Inflows'!$A$4:$A$29</c:f>
              <c:numCache>
                <c:formatCode>General</c:formatCode>
                <c:ptCount val="26"/>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numCache>
            </c:numRef>
          </c:cat>
          <c:val>
            <c:numRef>
              <c:f>'India Top 3 FDI Inflows'!$C$4:$C$29</c:f>
              <c:numCache>
                <c:formatCode>General</c:formatCode>
                <c:ptCount val="26"/>
                <c:pt idx="0">
                  <c:v>116.63</c:v>
                </c:pt>
                <c:pt idx="1">
                  <c:v>35.700000000000003</c:v>
                </c:pt>
                <c:pt idx="2">
                  <c:v>47.13</c:v>
                </c:pt>
                <c:pt idx="3">
                  <c:v>36.53</c:v>
                </c:pt>
                <c:pt idx="4">
                  <c:v>62.07</c:v>
                </c:pt>
                <c:pt idx="5">
                  <c:v>321.48</c:v>
                </c:pt>
                <c:pt idx="6">
                  <c:v>620.66</c:v>
                </c:pt>
                <c:pt idx="7" formatCode="#,##0.00">
                  <c:v>1455.72</c:v>
                </c:pt>
                <c:pt idx="8" formatCode="#,##0.00">
                  <c:v>3763.49</c:v>
                </c:pt>
                <c:pt idx="9" formatCode="#,##0.00">
                  <c:v>3059.54</c:v>
                </c:pt>
                <c:pt idx="10" formatCode="#,##0.00">
                  <c:v>2121.3200000000002</c:v>
                </c:pt>
                <c:pt idx="11" formatCode="#,##0.00">
                  <c:v>4255.09</c:v>
                </c:pt>
                <c:pt idx="12" formatCode="#,##0.00">
                  <c:v>2897.2</c:v>
                </c:pt>
                <c:pt idx="13" formatCode="#,##0.00">
                  <c:v>3874.14</c:v>
                </c:pt>
                <c:pt idx="14" formatCode="#,##0.00">
                  <c:v>7092.38</c:v>
                </c:pt>
                <c:pt idx="15" formatCode="#,##0.00">
                  <c:v>13414.32</c:v>
                </c:pt>
                <c:pt idx="16" formatCode="#,##0.00">
                  <c:v>9822.18</c:v>
                </c:pt>
                <c:pt idx="17" formatCode="#,##0.00">
                  <c:v>10808.82</c:v>
                </c:pt>
                <c:pt idx="18" formatCode="#,##0.00">
                  <c:v>15943.36</c:v>
                </c:pt>
                <c:pt idx="19" formatCode="#,##0.00">
                  <c:v>14904.18</c:v>
                </c:pt>
                <c:pt idx="20" formatCode="#,##0.00">
                  <c:v>18735.439999999999</c:v>
                </c:pt>
                <c:pt idx="21" formatCode="#,##0.00">
                  <c:v>13392</c:v>
                </c:pt>
                <c:pt idx="22" formatCode="#,##0.00">
                  <c:v>17265.57</c:v>
                </c:pt>
                <c:pt idx="23" formatCode="#,##0.00">
                  <c:v>11568.46</c:v>
                </c:pt>
                <c:pt idx="24" formatCode="#,##0.00">
                  <c:v>16310.16</c:v>
                </c:pt>
                <c:pt idx="25" formatCode="#,##0.00">
                  <c:v>20615.52</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0-4C73-43B5-8964-F720901D4B3D}"/>
            </c:ext>
          </c:extLst>
        </c:ser>
        <c:ser>
          <c:idx val="1"/>
          <c:order val="1"/>
          <c:tx>
            <c:v>Mauritius</c:v>
          </c:tx>
          <c:spPr>
            <a:solidFill>
              <a:schemeClr val="accent2"/>
            </a:solidFill>
            <a:ln cmpd="sng">
              <a:noFill/>
            </a:ln>
          </c:spPr>
          <c:invertIfNegative val="1"/>
          <c:cat>
            <c:numRef>
              <c:f>'India Top 3 FDI Inflows'!$A$4:$A$29</c:f>
              <c:numCache>
                <c:formatCode>General</c:formatCode>
                <c:ptCount val="26"/>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numCache>
            </c:numRef>
          </c:cat>
          <c:val>
            <c:numRef>
              <c:f>'India Top 3 FDI Inflows'!$E$4:$E$29</c:f>
              <c:numCache>
                <c:formatCode>#,##0.00</c:formatCode>
                <c:ptCount val="26"/>
                <c:pt idx="0" formatCode="General">
                  <c:v>829.92</c:v>
                </c:pt>
                <c:pt idx="1">
                  <c:v>1667.47</c:v>
                </c:pt>
                <c:pt idx="2">
                  <c:v>1517.6</c:v>
                </c:pt>
                <c:pt idx="3" formatCode="General">
                  <c:v>562.16</c:v>
                </c:pt>
                <c:pt idx="4">
                  <c:v>1003.52</c:v>
                </c:pt>
                <c:pt idx="5">
                  <c:v>2115.19</c:v>
                </c:pt>
                <c:pt idx="6">
                  <c:v>4883.54</c:v>
                </c:pt>
                <c:pt idx="7">
                  <c:v>7711.66</c:v>
                </c:pt>
                <c:pt idx="8">
                  <c:v>14138.01</c:v>
                </c:pt>
                <c:pt idx="9">
                  <c:v>11536.23</c:v>
                </c:pt>
                <c:pt idx="10">
                  <c:v>7207.85</c:v>
                </c:pt>
                <c:pt idx="11">
                  <c:v>9485.16</c:v>
                </c:pt>
                <c:pt idx="12">
                  <c:v>9150.64</c:v>
                </c:pt>
                <c:pt idx="13">
                  <c:v>5722.39</c:v>
                </c:pt>
                <c:pt idx="14">
                  <c:v>7073.12</c:v>
                </c:pt>
                <c:pt idx="15">
                  <c:v>8049.56</c:v>
                </c:pt>
                <c:pt idx="16">
                  <c:v>15069.46</c:v>
                </c:pt>
                <c:pt idx="17">
                  <c:v>16256.73</c:v>
                </c:pt>
                <c:pt idx="18">
                  <c:v>8615.61</c:v>
                </c:pt>
                <c:pt idx="19">
                  <c:v>9516.61</c:v>
                </c:pt>
                <c:pt idx="20">
                  <c:v>4260.71</c:v>
                </c:pt>
                <c:pt idx="21">
                  <c:v>8744.23</c:v>
                </c:pt>
                <c:pt idx="22">
                  <c:v>7543.24</c:v>
                </c:pt>
                <c:pt idx="23">
                  <c:v>8444.6200000000008</c:v>
                </c:pt>
                <c:pt idx="24">
                  <c:v>7892.58</c:v>
                </c:pt>
                <c:pt idx="25">
                  <c:v>6210.3</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1-4C73-43B5-8964-F720901D4B3D}"/>
            </c:ext>
          </c:extLst>
        </c:ser>
        <c:ser>
          <c:idx val="2"/>
          <c:order val="2"/>
          <c:tx>
            <c:v>USA</c:v>
          </c:tx>
          <c:spPr>
            <a:solidFill>
              <a:schemeClr val="accent3"/>
            </a:solidFill>
            <a:ln cmpd="sng">
              <a:noFill/>
            </a:ln>
          </c:spPr>
          <c:invertIfNegative val="1"/>
          <c:cat>
            <c:numRef>
              <c:f>'India Top 3 FDI Inflows'!$A$4:$A$29</c:f>
              <c:numCache>
                <c:formatCode>General</c:formatCode>
                <c:ptCount val="26"/>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numCache>
            </c:numRef>
          </c:cat>
          <c:val>
            <c:numRef>
              <c:f>'India Top 3 FDI Inflows'!$G$4:$G$29</c:f>
              <c:numCache>
                <c:formatCode>General</c:formatCode>
                <c:ptCount val="26"/>
                <c:pt idx="0">
                  <c:v>418.44</c:v>
                </c:pt>
                <c:pt idx="1">
                  <c:v>367.59</c:v>
                </c:pt>
                <c:pt idx="2">
                  <c:v>282.75</c:v>
                </c:pt>
                <c:pt idx="3">
                  <c:v>413.93</c:v>
                </c:pt>
                <c:pt idx="4">
                  <c:v>647.65</c:v>
                </c:pt>
                <c:pt idx="5">
                  <c:v>472.15</c:v>
                </c:pt>
                <c:pt idx="6">
                  <c:v>732.34</c:v>
                </c:pt>
                <c:pt idx="7">
                  <c:v>875.5</c:v>
                </c:pt>
                <c:pt idx="8" formatCode="#,##0.00">
                  <c:v>1797.18</c:v>
                </c:pt>
                <c:pt idx="9" formatCode="#,##0.00">
                  <c:v>2051.0100000000002</c:v>
                </c:pt>
                <c:pt idx="10" formatCode="#,##0.00">
                  <c:v>1414.19</c:v>
                </c:pt>
                <c:pt idx="11" formatCode="#,##0.00">
                  <c:v>1000.08</c:v>
                </c:pt>
                <c:pt idx="12">
                  <c:v>639.09</c:v>
                </c:pt>
                <c:pt idx="13">
                  <c:v>771.9</c:v>
                </c:pt>
                <c:pt idx="14" formatCode="#,##0.00">
                  <c:v>1663.45</c:v>
                </c:pt>
                <c:pt idx="15" formatCode="#,##0.00">
                  <c:v>3855.07</c:v>
                </c:pt>
                <c:pt idx="16" formatCode="#,##0.00">
                  <c:v>2621.2199999999998</c:v>
                </c:pt>
                <c:pt idx="17" formatCode="#,##0.00">
                  <c:v>2183.16</c:v>
                </c:pt>
                <c:pt idx="18" formatCode="#,##0.00">
                  <c:v>2692.58</c:v>
                </c:pt>
                <c:pt idx="19" formatCode="#,##0.00">
                  <c:v>3589.88</c:v>
                </c:pt>
                <c:pt idx="20" formatCode="#,##0.00">
                  <c:v>14257.8</c:v>
                </c:pt>
                <c:pt idx="21" formatCode="#,##0.00">
                  <c:v>8517.81</c:v>
                </c:pt>
                <c:pt idx="22" formatCode="#,##0.00">
                  <c:v>7983.22</c:v>
                </c:pt>
                <c:pt idx="23" formatCode="#,##0.00">
                  <c:v>3922.92</c:v>
                </c:pt>
                <c:pt idx="24" formatCode="#,##0.00">
                  <c:v>5900.74</c:v>
                </c:pt>
                <c:pt idx="25" formatCode="#,##0.00">
                  <c:v>9527.2900000000009</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2-4C73-43B5-8964-F720901D4B3D}"/>
            </c:ext>
          </c:extLst>
        </c:ser>
        <c:dLbls>
          <c:showLegendKey val="0"/>
          <c:showVal val="0"/>
          <c:showCatName val="0"/>
          <c:showSerName val="0"/>
          <c:showPercent val="0"/>
          <c:showBubbleSize val="0"/>
        </c:dLbls>
        <c:gapWidth val="150"/>
        <c:overlap val="100"/>
        <c:axId val="932048149"/>
        <c:axId val="739389878"/>
      </c:barChart>
      <c:catAx>
        <c:axId val="932048149"/>
        <c:scaling>
          <c:orientation val="maxMin"/>
        </c:scaling>
        <c:delete val="0"/>
        <c:axPos val="l"/>
        <c:title>
          <c:tx>
            <c:rich>
              <a:bodyPr/>
              <a:lstStyle/>
              <a:p>
                <a:pPr lvl="0">
                  <a:defRPr sz="1000" b="1" i="0">
                    <a:solidFill>
                      <a:srgbClr val="000000"/>
                    </a:solidFill>
                    <a:latin typeface="+mn-lt"/>
                  </a:defRPr>
                </a:pPr>
                <a:r>
                  <a:rPr sz="1000" b="1" i="0">
                    <a:solidFill>
                      <a:srgbClr val="000000"/>
                    </a:solidFill>
                    <a:latin typeface="+mn-lt"/>
                  </a:rPr>
                  <a:t>Years</a:t>
                </a:r>
              </a:p>
            </c:rich>
          </c:tx>
          <c:overlay val="0"/>
        </c:title>
        <c:numFmt formatCode="General" sourceLinked="1"/>
        <c:majorTickMark val="none"/>
        <c:minorTickMark val="none"/>
        <c:tickLblPos val="nextTo"/>
        <c:spPr>
          <a:ln>
            <a:noFill/>
          </a:ln>
        </c:spPr>
        <c:txPr>
          <a:bodyPr/>
          <a:lstStyle/>
          <a:p>
            <a:pPr lvl="0">
              <a:defRPr sz="900" b="0" i="0">
                <a:solidFill>
                  <a:srgbClr val="000000"/>
                </a:solidFill>
                <a:latin typeface="+mn-lt"/>
              </a:defRPr>
            </a:pPr>
            <a:endParaRPr lang="en-US"/>
          </a:p>
        </c:txPr>
        <c:crossAx val="739389878"/>
        <c:crosses val="autoZero"/>
        <c:auto val="1"/>
        <c:lblAlgn val="ctr"/>
        <c:lblOffset val="100"/>
        <c:noMultiLvlLbl val="1"/>
      </c:catAx>
      <c:valAx>
        <c:axId val="739389878"/>
        <c:scaling>
          <c:orientation val="minMax"/>
        </c:scaling>
        <c:delete val="0"/>
        <c:axPos val="b"/>
        <c:majorGridlines>
          <c:spPr>
            <a:ln>
              <a:solidFill>
                <a:srgbClr val="B7B7B7"/>
              </a:solidFill>
            </a:ln>
          </c:spPr>
        </c:majorGridlines>
        <c:title>
          <c:tx>
            <c:rich>
              <a:bodyPr/>
              <a:lstStyle/>
              <a:p>
                <a:pPr lvl="0">
                  <a:defRPr sz="1000" b="0" i="0">
                    <a:solidFill>
                      <a:srgbClr val="000000"/>
                    </a:solidFill>
                    <a:latin typeface="+mn-lt"/>
                  </a:defRPr>
                </a:pPr>
                <a:r>
                  <a:rPr sz="1000" b="0" i="0">
                    <a:solidFill>
                      <a:srgbClr val="000000"/>
                    </a:solidFill>
                    <a:latin typeface="+mn-lt"/>
                  </a:rPr>
                  <a:t>USD in Million </a:t>
                </a:r>
              </a:p>
            </c:rich>
          </c:tx>
          <c:overlay val="0"/>
        </c:title>
        <c:numFmt formatCode="General" sourceLinked="1"/>
        <c:majorTickMark val="none"/>
        <c:minorTickMark val="none"/>
        <c:tickLblPos val="nextTo"/>
        <c:spPr>
          <a:ln>
            <a:noFill/>
          </a:ln>
        </c:spPr>
        <c:txPr>
          <a:bodyPr/>
          <a:lstStyle/>
          <a:p>
            <a:pPr lvl="0">
              <a:defRPr sz="900" b="0" i="0">
                <a:solidFill>
                  <a:srgbClr val="000000"/>
                </a:solidFill>
                <a:latin typeface="+mn-lt"/>
              </a:defRPr>
            </a:pPr>
            <a:endParaRPr lang="en-US"/>
          </a:p>
        </c:txPr>
        <c:crossAx val="932048149"/>
        <c:crosses val="max"/>
        <c:crossBetween val="between"/>
      </c:valAx>
    </c:plotArea>
    <c:legend>
      <c:legendPos val="b"/>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sz="1400" b="0" i="0">
                <a:solidFill>
                  <a:srgbClr val="757575"/>
                </a:solidFill>
                <a:latin typeface="+mn-lt"/>
              </a:rPr>
              <a:t>Chart 1: Structural Transformation of Employment By Sector in (India)</a:t>
            </a:r>
          </a:p>
        </c:rich>
      </c:tx>
      <c:overlay val="0"/>
    </c:title>
    <c:autoTitleDeleted val="0"/>
    <c:plotArea>
      <c:layout/>
      <c:barChart>
        <c:barDir val="col"/>
        <c:grouping val="percentStacked"/>
        <c:varyColors val="1"/>
        <c:ser>
          <c:idx val="0"/>
          <c:order val="0"/>
          <c:tx>
            <c:v>Employment in Agriculture</c:v>
          </c:tx>
          <c:spPr>
            <a:solidFill>
              <a:srgbClr val="E97132"/>
            </a:solidFill>
            <a:ln cmpd="sng">
              <a:noFill/>
            </a:ln>
          </c:spPr>
          <c:invertIfNegative val="1"/>
          <c:cat>
            <c:numRef>
              <c:f>'host country (india)'!$B$18:$B$52</c:f>
              <c:numCache>
                <c:formatCode>General</c:formatCode>
                <c:ptCount val="35"/>
                <c:pt idx="0">
                  <c:v>1991</c:v>
                </c:pt>
                <c:pt idx="1">
                  <c:v>1992</c:v>
                </c:pt>
                <c:pt idx="2">
                  <c:v>1993</c:v>
                </c:pt>
                <c:pt idx="3">
                  <c:v>1994</c:v>
                </c:pt>
                <c:pt idx="4">
                  <c:v>1995</c:v>
                </c:pt>
                <c:pt idx="5">
                  <c:v>1996</c:v>
                </c:pt>
                <c:pt idx="6">
                  <c:v>1997</c:v>
                </c:pt>
                <c:pt idx="7">
                  <c:v>1998</c:v>
                </c:pt>
                <c:pt idx="8">
                  <c:v>1999</c:v>
                </c:pt>
                <c:pt idx="9">
                  <c:v>2000</c:v>
                </c:pt>
                <c:pt idx="10">
                  <c:v>2001</c:v>
                </c:pt>
                <c:pt idx="11">
                  <c:v>2002</c:v>
                </c:pt>
                <c:pt idx="12">
                  <c:v>2003</c:v>
                </c:pt>
                <c:pt idx="13">
                  <c:v>2004</c:v>
                </c:pt>
                <c:pt idx="14">
                  <c:v>2005</c:v>
                </c:pt>
                <c:pt idx="15">
                  <c:v>2006</c:v>
                </c:pt>
                <c:pt idx="16">
                  <c:v>2007</c:v>
                </c:pt>
                <c:pt idx="17">
                  <c:v>2008</c:v>
                </c:pt>
                <c:pt idx="18">
                  <c:v>2009</c:v>
                </c:pt>
                <c:pt idx="19">
                  <c:v>2010</c:v>
                </c:pt>
                <c:pt idx="20">
                  <c:v>2011</c:v>
                </c:pt>
                <c:pt idx="21">
                  <c:v>2012</c:v>
                </c:pt>
                <c:pt idx="22">
                  <c:v>2013</c:v>
                </c:pt>
                <c:pt idx="23">
                  <c:v>2014</c:v>
                </c:pt>
                <c:pt idx="24">
                  <c:v>2015</c:v>
                </c:pt>
                <c:pt idx="25">
                  <c:v>2016</c:v>
                </c:pt>
                <c:pt idx="26">
                  <c:v>2017</c:v>
                </c:pt>
                <c:pt idx="27">
                  <c:v>2018</c:v>
                </c:pt>
                <c:pt idx="28">
                  <c:v>2019</c:v>
                </c:pt>
                <c:pt idx="29">
                  <c:v>2020</c:v>
                </c:pt>
                <c:pt idx="30">
                  <c:v>2021</c:v>
                </c:pt>
                <c:pt idx="31">
                  <c:v>2022</c:v>
                </c:pt>
                <c:pt idx="32">
                  <c:v>2023</c:v>
                </c:pt>
                <c:pt idx="33">
                  <c:v>2024</c:v>
                </c:pt>
                <c:pt idx="34">
                  <c:v>2025</c:v>
                </c:pt>
              </c:numCache>
            </c:numRef>
          </c:cat>
          <c:val>
            <c:numRef>
              <c:f>'host country (india)'!$X$18:$X$52</c:f>
              <c:numCache>
                <c:formatCode>General</c:formatCode>
                <c:ptCount val="35"/>
                <c:pt idx="0">
                  <c:v>63.128319537359097</c:v>
                </c:pt>
                <c:pt idx="1">
                  <c:v>62.898333636700102</c:v>
                </c:pt>
                <c:pt idx="2">
                  <c:v>62.6630638065269</c:v>
                </c:pt>
                <c:pt idx="3">
                  <c:v>62.371240378322298</c:v>
                </c:pt>
                <c:pt idx="4">
                  <c:v>61.974428476754099</c:v>
                </c:pt>
                <c:pt idx="5">
                  <c:v>61.513380855523799</c:v>
                </c:pt>
                <c:pt idx="6">
                  <c:v>61.158625445787699</c:v>
                </c:pt>
                <c:pt idx="7">
                  <c:v>60.647957461240999</c:v>
                </c:pt>
                <c:pt idx="8">
                  <c:v>59.878026680172397</c:v>
                </c:pt>
                <c:pt idx="9">
                  <c:v>59.607310099103998</c:v>
                </c:pt>
                <c:pt idx="10">
                  <c:v>58.890809220715099</c:v>
                </c:pt>
                <c:pt idx="11">
                  <c:v>58.2078564520654</c:v>
                </c:pt>
                <c:pt idx="12">
                  <c:v>57.164650542938602</c:v>
                </c:pt>
                <c:pt idx="13">
                  <c:v>55.999457323776298</c:v>
                </c:pt>
                <c:pt idx="14">
                  <c:v>55.020453312310899</c:v>
                </c:pt>
                <c:pt idx="15">
                  <c:v>54.273017899929599</c:v>
                </c:pt>
                <c:pt idx="16">
                  <c:v>53.368868437721702</c:v>
                </c:pt>
                <c:pt idx="17">
                  <c:v>52.879188395900101</c:v>
                </c:pt>
                <c:pt idx="18">
                  <c:v>51.944426618063801</c:v>
                </c:pt>
                <c:pt idx="19">
                  <c:v>51.056070239904997</c:v>
                </c:pt>
                <c:pt idx="20">
                  <c:v>49.075305915587599</c:v>
                </c:pt>
                <c:pt idx="21">
                  <c:v>47.088154462332199</c:v>
                </c:pt>
                <c:pt idx="22">
                  <c:v>46.241883981632697</c:v>
                </c:pt>
                <c:pt idx="23">
                  <c:v>45.254711115223699</c:v>
                </c:pt>
                <c:pt idx="24">
                  <c:v>44.2796936892031</c:v>
                </c:pt>
                <c:pt idx="25">
                  <c:v>43.204850592630699</c:v>
                </c:pt>
                <c:pt idx="26">
                  <c:v>42.267106468212397</c:v>
                </c:pt>
                <c:pt idx="27">
                  <c:v>41.294998924914097</c:v>
                </c:pt>
                <c:pt idx="28">
                  <c:v>40.651814999322703</c:v>
                </c:pt>
                <c:pt idx="29">
                  <c:v>44.6754951957099</c:v>
                </c:pt>
                <c:pt idx="30">
                  <c:v>44.079186886638198</c:v>
                </c:pt>
                <c:pt idx="31">
                  <c:v>42.8609991503088</c:v>
                </c:pt>
                <c:pt idx="32">
                  <c:v>43.513581124579296</c:v>
                </c:pt>
                <c:pt idx="33">
                  <c:v>42.3547738876441</c:v>
                </c:pt>
                <c:pt idx="34">
                  <c:v>41.625128087757297</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0-F82F-4D58-A022-98915A4AEF64}"/>
            </c:ext>
          </c:extLst>
        </c:ser>
        <c:ser>
          <c:idx val="1"/>
          <c:order val="1"/>
          <c:tx>
            <c:v>Employment in Industry</c:v>
          </c:tx>
          <c:spPr>
            <a:solidFill>
              <a:srgbClr val="196B24"/>
            </a:solidFill>
            <a:ln cmpd="sng">
              <a:noFill/>
            </a:ln>
          </c:spPr>
          <c:invertIfNegative val="1"/>
          <c:cat>
            <c:numRef>
              <c:f>'host country (india)'!$B$18:$B$52</c:f>
              <c:numCache>
                <c:formatCode>General</c:formatCode>
                <c:ptCount val="35"/>
                <c:pt idx="0">
                  <c:v>1991</c:v>
                </c:pt>
                <c:pt idx="1">
                  <c:v>1992</c:v>
                </c:pt>
                <c:pt idx="2">
                  <c:v>1993</c:v>
                </c:pt>
                <c:pt idx="3">
                  <c:v>1994</c:v>
                </c:pt>
                <c:pt idx="4">
                  <c:v>1995</c:v>
                </c:pt>
                <c:pt idx="5">
                  <c:v>1996</c:v>
                </c:pt>
                <c:pt idx="6">
                  <c:v>1997</c:v>
                </c:pt>
                <c:pt idx="7">
                  <c:v>1998</c:v>
                </c:pt>
                <c:pt idx="8">
                  <c:v>1999</c:v>
                </c:pt>
                <c:pt idx="9">
                  <c:v>2000</c:v>
                </c:pt>
                <c:pt idx="10">
                  <c:v>2001</c:v>
                </c:pt>
                <c:pt idx="11">
                  <c:v>2002</c:v>
                </c:pt>
                <c:pt idx="12">
                  <c:v>2003</c:v>
                </c:pt>
                <c:pt idx="13">
                  <c:v>2004</c:v>
                </c:pt>
                <c:pt idx="14">
                  <c:v>2005</c:v>
                </c:pt>
                <c:pt idx="15">
                  <c:v>2006</c:v>
                </c:pt>
                <c:pt idx="16">
                  <c:v>2007</c:v>
                </c:pt>
                <c:pt idx="17">
                  <c:v>2008</c:v>
                </c:pt>
                <c:pt idx="18">
                  <c:v>2009</c:v>
                </c:pt>
                <c:pt idx="19">
                  <c:v>2010</c:v>
                </c:pt>
                <c:pt idx="20">
                  <c:v>2011</c:v>
                </c:pt>
                <c:pt idx="21">
                  <c:v>2012</c:v>
                </c:pt>
                <c:pt idx="22">
                  <c:v>2013</c:v>
                </c:pt>
                <c:pt idx="23">
                  <c:v>2014</c:v>
                </c:pt>
                <c:pt idx="24">
                  <c:v>2015</c:v>
                </c:pt>
                <c:pt idx="25">
                  <c:v>2016</c:v>
                </c:pt>
                <c:pt idx="26">
                  <c:v>2017</c:v>
                </c:pt>
                <c:pt idx="27">
                  <c:v>2018</c:v>
                </c:pt>
                <c:pt idx="28">
                  <c:v>2019</c:v>
                </c:pt>
                <c:pt idx="29">
                  <c:v>2020</c:v>
                </c:pt>
                <c:pt idx="30">
                  <c:v>2021</c:v>
                </c:pt>
                <c:pt idx="31">
                  <c:v>2022</c:v>
                </c:pt>
                <c:pt idx="32">
                  <c:v>2023</c:v>
                </c:pt>
                <c:pt idx="33">
                  <c:v>2024</c:v>
                </c:pt>
                <c:pt idx="34">
                  <c:v>2025</c:v>
                </c:pt>
              </c:numCache>
            </c:numRef>
          </c:cat>
          <c:val>
            <c:numRef>
              <c:f>'host country (india)'!$Y$18:$Y$52</c:f>
              <c:numCache>
                <c:formatCode>General</c:formatCode>
                <c:ptCount val="35"/>
                <c:pt idx="0">
                  <c:v>14.584937300157501</c:v>
                </c:pt>
                <c:pt idx="1">
                  <c:v>14.6628055390629</c:v>
                </c:pt>
                <c:pt idx="2">
                  <c:v>14.7602607112643</c:v>
                </c:pt>
                <c:pt idx="3">
                  <c:v>14.851350268644399</c:v>
                </c:pt>
                <c:pt idx="4">
                  <c:v>15.000483006233299</c:v>
                </c:pt>
                <c:pt idx="5">
                  <c:v>15.2712590554772</c:v>
                </c:pt>
                <c:pt idx="6">
                  <c:v>15.4726082964194</c:v>
                </c:pt>
                <c:pt idx="7">
                  <c:v>15.7949095027609</c:v>
                </c:pt>
                <c:pt idx="8">
                  <c:v>16.309428466052999</c:v>
                </c:pt>
                <c:pt idx="9">
                  <c:v>16.341359744203</c:v>
                </c:pt>
                <c:pt idx="10">
                  <c:v>16.7528345033409</c:v>
                </c:pt>
                <c:pt idx="11">
                  <c:v>17.056726884100499</c:v>
                </c:pt>
                <c:pt idx="12">
                  <c:v>17.6938066486046</c:v>
                </c:pt>
                <c:pt idx="13">
                  <c:v>18.418479484316101</c:v>
                </c:pt>
                <c:pt idx="14">
                  <c:v>19.0012317655898</c:v>
                </c:pt>
                <c:pt idx="15">
                  <c:v>19.5238914291204</c:v>
                </c:pt>
                <c:pt idx="16">
                  <c:v>20.3219145451672</c:v>
                </c:pt>
                <c:pt idx="17">
                  <c:v>20.751447752882001</c:v>
                </c:pt>
                <c:pt idx="18">
                  <c:v>21.5635579497653</c:v>
                </c:pt>
                <c:pt idx="19">
                  <c:v>22.377888837294201</c:v>
                </c:pt>
                <c:pt idx="20">
                  <c:v>23.547382125569602</c:v>
                </c:pt>
                <c:pt idx="21">
                  <c:v>24.692037963598398</c:v>
                </c:pt>
                <c:pt idx="22">
                  <c:v>24.754673840533499</c:v>
                </c:pt>
                <c:pt idx="23">
                  <c:v>24.896015202228199</c:v>
                </c:pt>
                <c:pt idx="24">
                  <c:v>24.9480704919335</c:v>
                </c:pt>
                <c:pt idx="25">
                  <c:v>25.189478375845301</c:v>
                </c:pt>
                <c:pt idx="26">
                  <c:v>25.265722733605099</c:v>
                </c:pt>
                <c:pt idx="27">
                  <c:v>25.3658737784355</c:v>
                </c:pt>
                <c:pt idx="28">
                  <c:v>25.251113046720999</c:v>
                </c:pt>
                <c:pt idx="29">
                  <c:v>23.703647531851601</c:v>
                </c:pt>
                <c:pt idx="30">
                  <c:v>24.4704786231875</c:v>
                </c:pt>
                <c:pt idx="31">
                  <c:v>26.1203341573875</c:v>
                </c:pt>
                <c:pt idx="32">
                  <c:v>25.029211598620101</c:v>
                </c:pt>
                <c:pt idx="33">
                  <c:v>25.370925971161199</c:v>
                </c:pt>
                <c:pt idx="34">
                  <c:v>25.817307380638098</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1-F82F-4D58-A022-98915A4AEF64}"/>
            </c:ext>
          </c:extLst>
        </c:ser>
        <c:ser>
          <c:idx val="2"/>
          <c:order val="2"/>
          <c:tx>
            <c:v>Employment in Services</c:v>
          </c:tx>
          <c:spPr>
            <a:solidFill>
              <a:srgbClr val="0F9ED5"/>
            </a:solidFill>
            <a:ln cmpd="sng">
              <a:noFill/>
            </a:ln>
          </c:spPr>
          <c:invertIfNegative val="1"/>
          <c:cat>
            <c:numRef>
              <c:f>'host country (india)'!$B$18:$B$52</c:f>
              <c:numCache>
                <c:formatCode>General</c:formatCode>
                <c:ptCount val="35"/>
                <c:pt idx="0">
                  <c:v>1991</c:v>
                </c:pt>
                <c:pt idx="1">
                  <c:v>1992</c:v>
                </c:pt>
                <c:pt idx="2">
                  <c:v>1993</c:v>
                </c:pt>
                <c:pt idx="3">
                  <c:v>1994</c:v>
                </c:pt>
                <c:pt idx="4">
                  <c:v>1995</c:v>
                </c:pt>
                <c:pt idx="5">
                  <c:v>1996</c:v>
                </c:pt>
                <c:pt idx="6">
                  <c:v>1997</c:v>
                </c:pt>
                <c:pt idx="7">
                  <c:v>1998</c:v>
                </c:pt>
                <c:pt idx="8">
                  <c:v>1999</c:v>
                </c:pt>
                <c:pt idx="9">
                  <c:v>2000</c:v>
                </c:pt>
                <c:pt idx="10">
                  <c:v>2001</c:v>
                </c:pt>
                <c:pt idx="11">
                  <c:v>2002</c:v>
                </c:pt>
                <c:pt idx="12">
                  <c:v>2003</c:v>
                </c:pt>
                <c:pt idx="13">
                  <c:v>2004</c:v>
                </c:pt>
                <c:pt idx="14">
                  <c:v>2005</c:v>
                </c:pt>
                <c:pt idx="15">
                  <c:v>2006</c:v>
                </c:pt>
                <c:pt idx="16">
                  <c:v>2007</c:v>
                </c:pt>
                <c:pt idx="17">
                  <c:v>2008</c:v>
                </c:pt>
                <c:pt idx="18">
                  <c:v>2009</c:v>
                </c:pt>
                <c:pt idx="19">
                  <c:v>2010</c:v>
                </c:pt>
                <c:pt idx="20">
                  <c:v>2011</c:v>
                </c:pt>
                <c:pt idx="21">
                  <c:v>2012</c:v>
                </c:pt>
                <c:pt idx="22">
                  <c:v>2013</c:v>
                </c:pt>
                <c:pt idx="23">
                  <c:v>2014</c:v>
                </c:pt>
                <c:pt idx="24">
                  <c:v>2015</c:v>
                </c:pt>
                <c:pt idx="25">
                  <c:v>2016</c:v>
                </c:pt>
                <c:pt idx="26">
                  <c:v>2017</c:v>
                </c:pt>
                <c:pt idx="27">
                  <c:v>2018</c:v>
                </c:pt>
                <c:pt idx="28">
                  <c:v>2019</c:v>
                </c:pt>
                <c:pt idx="29">
                  <c:v>2020</c:v>
                </c:pt>
                <c:pt idx="30">
                  <c:v>2021</c:v>
                </c:pt>
                <c:pt idx="31">
                  <c:v>2022</c:v>
                </c:pt>
                <c:pt idx="32">
                  <c:v>2023</c:v>
                </c:pt>
                <c:pt idx="33">
                  <c:v>2024</c:v>
                </c:pt>
                <c:pt idx="34">
                  <c:v>2025</c:v>
                </c:pt>
              </c:numCache>
            </c:numRef>
          </c:cat>
          <c:val>
            <c:numRef>
              <c:f>'host country (india)'!$Z$18:$Z$52</c:f>
              <c:numCache>
                <c:formatCode>General</c:formatCode>
                <c:ptCount val="35"/>
                <c:pt idx="0">
                  <c:v>22.286736307130901</c:v>
                </c:pt>
                <c:pt idx="1">
                  <c:v>22.4388544747388</c:v>
                </c:pt>
                <c:pt idx="2">
                  <c:v>22.576675808073102</c:v>
                </c:pt>
                <c:pt idx="3">
                  <c:v>22.777409353033299</c:v>
                </c:pt>
                <c:pt idx="4">
                  <c:v>23.025088517012598</c:v>
                </c:pt>
                <c:pt idx="5">
                  <c:v>23.215360088998899</c:v>
                </c:pt>
                <c:pt idx="6">
                  <c:v>23.368766257792899</c:v>
                </c:pt>
                <c:pt idx="7">
                  <c:v>23.557133035998099</c:v>
                </c:pt>
                <c:pt idx="8">
                  <c:v>23.8125410413714</c:v>
                </c:pt>
                <c:pt idx="9">
                  <c:v>24.051330156692899</c:v>
                </c:pt>
                <c:pt idx="10">
                  <c:v>24.356356017475999</c:v>
                </c:pt>
                <c:pt idx="11">
                  <c:v>24.735416917017901</c:v>
                </c:pt>
                <c:pt idx="12">
                  <c:v>25.1415353719471</c:v>
                </c:pt>
                <c:pt idx="13">
                  <c:v>25.582063191907601</c:v>
                </c:pt>
                <c:pt idx="14">
                  <c:v>25.978314922099301</c:v>
                </c:pt>
                <c:pt idx="15">
                  <c:v>26.203090670950001</c:v>
                </c:pt>
                <c:pt idx="16">
                  <c:v>26.309209260168</c:v>
                </c:pt>
                <c:pt idx="17">
                  <c:v>26.369363851217901</c:v>
                </c:pt>
                <c:pt idx="18">
                  <c:v>26.4920231164018</c:v>
                </c:pt>
                <c:pt idx="19">
                  <c:v>26.5660351341417</c:v>
                </c:pt>
                <c:pt idx="20">
                  <c:v>27.3773195279181</c:v>
                </c:pt>
                <c:pt idx="21">
                  <c:v>28.219815079124601</c:v>
                </c:pt>
                <c:pt idx="22">
                  <c:v>29.003443966457802</c:v>
                </c:pt>
                <c:pt idx="23">
                  <c:v>29.849273682548102</c:v>
                </c:pt>
                <c:pt idx="24">
                  <c:v>30.7722358188634</c:v>
                </c:pt>
                <c:pt idx="25">
                  <c:v>31.605663371419499</c:v>
                </c:pt>
                <c:pt idx="26">
                  <c:v>32.467165141529698</c:v>
                </c:pt>
                <c:pt idx="27">
                  <c:v>33.339127296650503</c:v>
                </c:pt>
                <c:pt idx="28">
                  <c:v>34.097073966908198</c:v>
                </c:pt>
                <c:pt idx="29">
                  <c:v>31.620857272438499</c:v>
                </c:pt>
                <c:pt idx="30">
                  <c:v>31.450327114961201</c:v>
                </c:pt>
                <c:pt idx="31">
                  <c:v>31.0186666923037</c:v>
                </c:pt>
                <c:pt idx="32">
                  <c:v>31.457207276800599</c:v>
                </c:pt>
                <c:pt idx="33">
                  <c:v>32.274309744917801</c:v>
                </c:pt>
                <c:pt idx="34">
                  <c:v>32.557562503110901</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2-F82F-4D58-A022-98915A4AEF64}"/>
            </c:ext>
          </c:extLst>
        </c:ser>
        <c:dLbls>
          <c:showLegendKey val="0"/>
          <c:showVal val="0"/>
          <c:showCatName val="0"/>
          <c:showSerName val="0"/>
          <c:showPercent val="0"/>
          <c:showBubbleSize val="0"/>
        </c:dLbls>
        <c:gapWidth val="150"/>
        <c:overlap val="100"/>
        <c:axId val="1550835368"/>
        <c:axId val="154268281"/>
      </c:barChart>
      <c:catAx>
        <c:axId val="1550835368"/>
        <c:scaling>
          <c:orientation val="minMax"/>
        </c:scaling>
        <c:delete val="0"/>
        <c:axPos val="b"/>
        <c:title>
          <c:tx>
            <c:rich>
              <a:bodyPr/>
              <a:lstStyle/>
              <a:p>
                <a:pPr lvl="0">
                  <a:defRPr sz="1000" b="0" i="0">
                    <a:solidFill>
                      <a:srgbClr val="000000"/>
                    </a:solidFill>
                    <a:latin typeface="+mn-lt"/>
                  </a:defRPr>
                </a:pPr>
                <a:r>
                  <a:rPr sz="1000" b="0" i="0">
                    <a:solidFill>
                      <a:srgbClr val="000000"/>
                    </a:solidFill>
                    <a:latin typeface="+mn-lt"/>
                  </a:rPr>
                  <a:t>Years (1991 - 2025)</a:t>
                </a:r>
              </a:p>
            </c:rich>
          </c:tx>
          <c:overlay val="0"/>
        </c:title>
        <c:numFmt formatCode="General" sourceLinked="1"/>
        <c:majorTickMark val="none"/>
        <c:minorTickMark val="none"/>
        <c:tickLblPos val="nextTo"/>
        <c:spPr>
          <a:ln>
            <a:noFill/>
          </a:ln>
        </c:spPr>
        <c:txPr>
          <a:bodyPr/>
          <a:lstStyle/>
          <a:p>
            <a:pPr lvl="0">
              <a:defRPr sz="900" b="0" i="0">
                <a:solidFill>
                  <a:srgbClr val="000000"/>
                </a:solidFill>
                <a:latin typeface="+mn-lt"/>
              </a:defRPr>
            </a:pPr>
            <a:endParaRPr lang="en-US"/>
          </a:p>
        </c:txPr>
        <c:crossAx val="154268281"/>
        <c:crosses val="autoZero"/>
        <c:auto val="1"/>
        <c:lblAlgn val="ctr"/>
        <c:lblOffset val="100"/>
        <c:noMultiLvlLbl val="1"/>
      </c:catAx>
      <c:valAx>
        <c:axId val="154268281"/>
        <c:scaling>
          <c:orientation val="minMax"/>
        </c:scaling>
        <c:delete val="0"/>
        <c:axPos val="l"/>
        <c:majorGridlines>
          <c:spPr>
            <a:ln>
              <a:solidFill>
                <a:srgbClr val="B7B7B7"/>
              </a:solidFill>
            </a:ln>
          </c:spPr>
        </c:majorGridlines>
        <c:title>
          <c:tx>
            <c:rich>
              <a:bodyPr/>
              <a:lstStyle/>
              <a:p>
                <a:pPr lvl="0">
                  <a:defRPr sz="1000" b="0" i="0">
                    <a:solidFill>
                      <a:srgbClr val="000000"/>
                    </a:solidFill>
                    <a:latin typeface="+mn-lt"/>
                  </a:defRPr>
                </a:pPr>
                <a:r>
                  <a:rPr sz="1000" b="0" i="0">
                    <a:solidFill>
                      <a:srgbClr val="000000"/>
                    </a:solidFill>
                    <a:latin typeface="+mn-lt"/>
                  </a:rPr>
                  <a:t>Employment Rate (%)</a:t>
                </a:r>
              </a:p>
            </c:rich>
          </c:tx>
          <c:overlay val="0"/>
        </c:title>
        <c:numFmt formatCode="0%" sourceLinked="1"/>
        <c:majorTickMark val="none"/>
        <c:minorTickMark val="none"/>
        <c:tickLblPos val="nextTo"/>
        <c:spPr>
          <a:ln>
            <a:noFill/>
          </a:ln>
        </c:spPr>
        <c:txPr>
          <a:bodyPr/>
          <a:lstStyle/>
          <a:p>
            <a:pPr lvl="0">
              <a:defRPr sz="900" b="0" i="0">
                <a:solidFill>
                  <a:srgbClr val="000000"/>
                </a:solidFill>
                <a:latin typeface="+mn-lt"/>
              </a:defRPr>
            </a:pPr>
            <a:endParaRPr lang="en-US"/>
          </a:p>
        </c:txPr>
        <c:crossAx val="1550835368"/>
        <c:crosses val="autoZero"/>
        <c:crossBetween val="between"/>
      </c:valAx>
    </c:plotArea>
    <c:legend>
      <c:legendPos val="b"/>
      <c:layout>
        <c:manualLayout>
          <c:xMode val="edge"/>
          <c:yMode val="edge"/>
          <c:x val="0.13543135579464469"/>
          <c:y val="0.90990052438871338"/>
        </c:manualLayout>
      </c:layout>
      <c:overlay val="0"/>
      <c:txPr>
        <a:bodyPr/>
        <a:lstStyle/>
        <a:p>
          <a:pPr lvl="0">
            <a:defRPr sz="12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sz="1400" b="0" i="0">
                <a:solidFill>
                  <a:srgbClr val="757575"/>
                </a:solidFill>
                <a:latin typeface="+mn-lt"/>
              </a:rPr>
              <a:t>Labour Productivity vs Manufacturing Growth (1991–2025)</a:t>
            </a:r>
          </a:p>
        </c:rich>
      </c:tx>
      <c:overlay val="0"/>
    </c:title>
    <c:autoTitleDeleted val="0"/>
    <c:plotArea>
      <c:layout>
        <c:manualLayout>
          <c:xMode val="edge"/>
          <c:yMode val="edge"/>
          <c:x val="0.12896570855472334"/>
          <c:y val="0.12972139753022677"/>
          <c:w val="0.80409690658586375"/>
          <c:h val="0.53936340949184636"/>
        </c:manualLayout>
      </c:layout>
      <c:scatterChart>
        <c:scatterStyle val="lineMarker"/>
        <c:varyColors val="0"/>
        <c:ser>
          <c:idx val="0"/>
          <c:order val="0"/>
          <c:tx>
            <c:v>Labour Productivity vs Manufacturing Growth (1991–2025)</c:v>
          </c:tx>
          <c:spPr>
            <a:ln>
              <a:noFill/>
            </a:ln>
          </c:spPr>
          <c:marker>
            <c:symbol val="circle"/>
            <c:size val="7"/>
            <c:spPr>
              <a:solidFill>
                <a:schemeClr val="accent1"/>
              </a:solidFill>
              <a:ln cmpd="sng">
                <a:solidFill>
                  <a:schemeClr val="accent1"/>
                </a:solidFill>
              </a:ln>
            </c:spPr>
          </c:marker>
          <c:trendline>
            <c:name>Linear (Labour Productivity vs Manufacturing Growth (1991–2025))</c:name>
            <c:spPr>
              <a:ln w="19050">
                <a:solidFill>
                  <a:srgbClr val="000000">
                    <a:alpha val="0"/>
                  </a:srgbClr>
                </a:solidFill>
              </a:ln>
            </c:spPr>
            <c:trendlineType val="linear"/>
            <c:dispRSqr val="0"/>
            <c:dispEq val="0"/>
          </c:trendline>
          <c:xVal>
            <c:numRef>
              <c:f>'host country (india)'!$P$18:$P$52</c:f>
              <c:numCache>
                <c:formatCode>General</c:formatCode>
                <c:ptCount val="35"/>
                <c:pt idx="0">
                  <c:v>1611.573240168538</c:v>
                </c:pt>
                <c:pt idx="1">
                  <c:v>1657.3327659305828</c:v>
                </c:pt>
                <c:pt idx="2">
                  <c:v>1692.8605842862344</c:v>
                </c:pt>
                <c:pt idx="3">
                  <c:v>1759.4330903999862</c:v>
                </c:pt>
                <c:pt idx="4">
                  <c:v>1835.5247698138769</c:v>
                </c:pt>
                <c:pt idx="5">
                  <c:v>1913.4823383058394</c:v>
                </c:pt>
                <c:pt idx="6">
                  <c:v>1931.3103062842606</c:v>
                </c:pt>
                <c:pt idx="7">
                  <c:v>1989.0978607477293</c:v>
                </c:pt>
                <c:pt idx="8">
                  <c:v>2099.3346239843527</c:v>
                </c:pt>
                <c:pt idx="9">
                  <c:v>2114.8403223013479</c:v>
                </c:pt>
                <c:pt idx="10">
                  <c:v>2168.9526353599404</c:v>
                </c:pt>
                <c:pt idx="11">
                  <c:v>2205.4297562025085</c:v>
                </c:pt>
                <c:pt idx="12">
                  <c:v>2328.9661937178694</c:v>
                </c:pt>
                <c:pt idx="13">
                  <c:v>2461.408525459628</c:v>
                </c:pt>
                <c:pt idx="14">
                  <c:v>2602.5098648732155</c:v>
                </c:pt>
                <c:pt idx="15">
                  <c:v>2795.2731771491076</c:v>
                </c:pt>
                <c:pt idx="16">
                  <c:v>2992.6115343011502</c:v>
                </c:pt>
                <c:pt idx="17">
                  <c:v>3071.7999046753007</c:v>
                </c:pt>
                <c:pt idx="18">
                  <c:v>3296.3262308370158</c:v>
                </c:pt>
                <c:pt idx="19">
                  <c:v>3556.2879334468016</c:v>
                </c:pt>
                <c:pt idx="20">
                  <c:v>3707.4594469246931</c:v>
                </c:pt>
                <c:pt idx="21">
                  <c:v>3876.6949238326238</c:v>
                </c:pt>
                <c:pt idx="22">
                  <c:v>4054.4988321475198</c:v>
                </c:pt>
                <c:pt idx="23">
                  <c:v>4281.3219187260511</c:v>
                </c:pt>
                <c:pt idx="24">
                  <c:v>4548.8229238013009</c:v>
                </c:pt>
                <c:pt idx="25">
                  <c:v>4845.6041437431477</c:v>
                </c:pt>
                <c:pt idx="26">
                  <c:v>5095.261672542686</c:v>
                </c:pt>
                <c:pt idx="27">
                  <c:v>5347.1993215903403</c:v>
                </c:pt>
                <c:pt idx="28">
                  <c:v>5413.2614821636535</c:v>
                </c:pt>
                <c:pt idx="29">
                  <c:v>5163.9483242133047</c:v>
                </c:pt>
                <c:pt idx="30">
                  <c:v>5394.2750920018307</c:v>
                </c:pt>
                <c:pt idx="31">
                  <c:v>5521.0953208257888</c:v>
                </c:pt>
                <c:pt idx="32">
                  <c:v>5676.2654131508198</c:v>
                </c:pt>
                <c:pt idx="33">
                  <c:v>5889.3415316188593</c:v>
                </c:pt>
                <c:pt idx="34">
                  <c:v>6244.3754923770211</c:v>
                </c:pt>
              </c:numCache>
            </c:numRef>
          </c:xVal>
          <c:yVal>
            <c:numRef>
              <c:f>'host country (india)'!$V$18:$V$52</c:f>
              <c:numCache>
                <c:formatCode>General</c:formatCode>
                <c:ptCount val="35"/>
                <c:pt idx="0">
                  <c:v>-2.3984638002645369</c:v>
                </c:pt>
                <c:pt idx="1">
                  <c:v>3.0901834659496927</c:v>
                </c:pt>
                <c:pt idx="2">
                  <c:v>8.5913410736169169</c:v>
                </c:pt>
                <c:pt idx="3">
                  <c:v>10.821183243712213</c:v>
                </c:pt>
                <c:pt idx="4">
                  <c:v>15.461462926030748</c:v>
                </c:pt>
                <c:pt idx="5">
                  <c:v>9.5012767788913948</c:v>
                </c:pt>
                <c:pt idx="6">
                  <c:v>5.1186909042598927E-2</c:v>
                </c:pt>
                <c:pt idx="7">
                  <c:v>3.1318435932712987</c:v>
                </c:pt>
                <c:pt idx="8">
                  <c:v>5.3937745157569168</c:v>
                </c:pt>
                <c:pt idx="9">
                  <c:v>7.2990978490111296</c:v>
                </c:pt>
                <c:pt idx="10">
                  <c:v>2.2703251937848563</c:v>
                </c:pt>
                <c:pt idx="11">
                  <c:v>6.8667636076502419</c:v>
                </c:pt>
                <c:pt idx="12">
                  <c:v>6.3366103225509107</c:v>
                </c:pt>
                <c:pt idx="13">
                  <c:v>7.3832533106597253</c:v>
                </c:pt>
                <c:pt idx="14">
                  <c:v>9.3490886911469175</c:v>
                </c:pt>
                <c:pt idx="15">
                  <c:v>17.787792317977249</c:v>
                </c:pt>
                <c:pt idx="16">
                  <c:v>6.98058873129321</c:v>
                </c:pt>
                <c:pt idx="17">
                  <c:v>4.6636154823950164</c:v>
                </c:pt>
                <c:pt idx="18">
                  <c:v>10.967629778823465</c:v>
                </c:pt>
                <c:pt idx="19">
                  <c:v>7.6951064643586449</c:v>
                </c:pt>
                <c:pt idx="20">
                  <c:v>3.1250562390001875</c:v>
                </c:pt>
                <c:pt idx="21">
                  <c:v>5.4530833068635332</c:v>
                </c:pt>
                <c:pt idx="22">
                  <c:v>4.9658474395659624</c:v>
                </c:pt>
                <c:pt idx="23">
                  <c:v>7.8956697662977433</c:v>
                </c:pt>
                <c:pt idx="24">
                  <c:v>13.059393581395867</c:v>
                </c:pt>
                <c:pt idx="25">
                  <c:v>7.9268214208403975</c:v>
                </c:pt>
                <c:pt idx="26">
                  <c:v>7.5270636029121931</c:v>
                </c:pt>
                <c:pt idx="27">
                  <c:v>5.4115568850371574</c:v>
                </c:pt>
                <c:pt idx="28">
                  <c:v>-2.9749629420838488</c:v>
                </c:pt>
                <c:pt idx="29">
                  <c:v>3.0736109935103286</c:v>
                </c:pt>
                <c:pt idx="30">
                  <c:v>9.9552196717495889</c:v>
                </c:pt>
                <c:pt idx="31">
                  <c:v>-1.744196563454409</c:v>
                </c:pt>
                <c:pt idx="32">
                  <c:v>12.707025648704672</c:v>
                </c:pt>
                <c:pt idx="33">
                  <c:v>9.2890336559855626</c:v>
                </c:pt>
                <c:pt idx="34">
                  <c:v>11.531872924542057</c:v>
                </c:pt>
              </c:numCache>
            </c:numRef>
          </c:yVal>
          <c:smooth val="1"/>
          <c:extLst>
            <c:ext xmlns:c16="http://schemas.microsoft.com/office/drawing/2014/chart" uri="{C3380CC4-5D6E-409C-BE32-E72D297353CC}">
              <c16:uniqueId val="{00000001-7FE3-4D90-ACC0-BED907FD89D6}"/>
            </c:ext>
          </c:extLst>
        </c:ser>
        <c:dLbls>
          <c:showLegendKey val="0"/>
          <c:showVal val="0"/>
          <c:showCatName val="0"/>
          <c:showSerName val="0"/>
          <c:showPercent val="0"/>
          <c:showBubbleSize val="0"/>
        </c:dLbls>
        <c:axId val="916312704"/>
        <c:axId val="2030112195"/>
      </c:scatterChart>
      <c:valAx>
        <c:axId val="916312704"/>
        <c:scaling>
          <c:orientation val="minMax"/>
        </c:scaling>
        <c:delete val="0"/>
        <c:axPos val="b"/>
        <c:majorGridlines>
          <c:spPr>
            <a:ln>
              <a:solidFill>
                <a:srgbClr val="B7B7B7"/>
              </a:solidFill>
            </a:ln>
          </c:spPr>
        </c:majorGridlines>
        <c:title>
          <c:tx>
            <c:rich>
              <a:bodyPr/>
              <a:lstStyle/>
              <a:p>
                <a:pPr lvl="0">
                  <a:defRPr sz="1000" b="0" i="0">
                    <a:solidFill>
                      <a:srgbClr val="000000"/>
                    </a:solidFill>
                    <a:latin typeface="+mn-lt"/>
                  </a:defRPr>
                </a:pPr>
                <a:r>
                  <a:rPr sz="1000" b="0" i="0">
                    <a:solidFill>
                      <a:srgbClr val="000000"/>
                    </a:solidFill>
                    <a:latin typeface="+mn-lt"/>
                  </a:rPr>
                  <a:t>Labour Productivity (constant 2015 US$ per employed person)</a:t>
                </a:r>
              </a:p>
            </c:rich>
          </c:tx>
          <c:layout>
            <c:manualLayout>
              <c:xMode val="edge"/>
              <c:yMode val="edge"/>
              <c:x val="0.25994679792528702"/>
              <c:y val="0.70196988534327931"/>
            </c:manualLayout>
          </c:layout>
          <c:overlay val="0"/>
        </c:title>
        <c:numFmt formatCode="General" sourceLinked="1"/>
        <c:majorTickMark val="none"/>
        <c:minorTickMark val="none"/>
        <c:tickLblPos val="nextTo"/>
        <c:spPr>
          <a:ln>
            <a:noFill/>
          </a:ln>
        </c:spPr>
        <c:txPr>
          <a:bodyPr/>
          <a:lstStyle/>
          <a:p>
            <a:pPr lvl="0">
              <a:defRPr sz="900" b="0" i="0">
                <a:solidFill>
                  <a:srgbClr val="000000"/>
                </a:solidFill>
                <a:latin typeface="+mn-lt"/>
              </a:defRPr>
            </a:pPr>
            <a:endParaRPr lang="en-US"/>
          </a:p>
        </c:txPr>
        <c:crossAx val="2030112195"/>
        <c:crosses val="autoZero"/>
        <c:crossBetween val="midCat"/>
      </c:valAx>
      <c:valAx>
        <c:axId val="2030112195"/>
        <c:scaling>
          <c:orientation val="minMax"/>
        </c:scaling>
        <c:delete val="0"/>
        <c:axPos val="l"/>
        <c:majorGridlines>
          <c:spPr>
            <a:ln>
              <a:solidFill>
                <a:srgbClr val="B7B7B7"/>
              </a:solidFill>
            </a:ln>
          </c:spPr>
        </c:majorGridlines>
        <c:title>
          <c:tx>
            <c:rich>
              <a:bodyPr/>
              <a:lstStyle/>
              <a:p>
                <a:pPr lvl="0">
                  <a:defRPr sz="1000" b="0" i="0">
                    <a:solidFill>
                      <a:srgbClr val="000000"/>
                    </a:solidFill>
                    <a:latin typeface="+mn-lt"/>
                  </a:defRPr>
                </a:pPr>
                <a:r>
                  <a:rPr sz="1000" b="0" i="0">
                    <a:solidFill>
                      <a:srgbClr val="000000"/>
                    </a:solidFill>
                    <a:latin typeface="+mn-lt"/>
                  </a:rPr>
                  <a:t>Manufacturing Growth (%)</a:t>
                </a:r>
              </a:p>
            </c:rich>
          </c:tx>
          <c:overlay val="0"/>
        </c:title>
        <c:numFmt formatCode="General" sourceLinked="1"/>
        <c:majorTickMark val="none"/>
        <c:minorTickMark val="none"/>
        <c:tickLblPos val="nextTo"/>
        <c:spPr>
          <a:ln>
            <a:noFill/>
          </a:ln>
        </c:spPr>
        <c:txPr>
          <a:bodyPr/>
          <a:lstStyle/>
          <a:p>
            <a:pPr lvl="0">
              <a:defRPr sz="900" b="0" i="0">
                <a:solidFill>
                  <a:srgbClr val="000000"/>
                </a:solidFill>
                <a:latin typeface="+mn-lt"/>
              </a:defRPr>
            </a:pPr>
            <a:endParaRPr lang="en-US"/>
          </a:p>
        </c:txPr>
        <c:crossAx val="916312704"/>
        <c:crosses val="autoZero"/>
        <c:crossBetween val="midCat"/>
      </c:valAx>
    </c:plotArea>
    <c:legend>
      <c:legendPos val="r"/>
      <c:legendEntry>
        <c:idx val="0"/>
        <c:txPr>
          <a:bodyPr/>
          <a:lstStyle/>
          <a:p>
            <a:pPr lvl="0">
              <a:defRPr sz="1200" b="0" i="0">
                <a:latin typeface="+mn-lt"/>
              </a:defRPr>
            </a:pPr>
            <a:endParaRPr lang="en-US"/>
          </a:p>
        </c:txPr>
      </c:legendEntry>
      <c:layout>
        <c:manualLayout>
          <c:xMode val="edge"/>
          <c:yMode val="edge"/>
          <c:x val="0.26670977103471821"/>
          <c:y val="0.76637666193365173"/>
        </c:manualLayout>
      </c:layout>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sz="1400" b="0" i="0">
                <a:solidFill>
                  <a:srgbClr val="757575"/>
                </a:solidFill>
                <a:latin typeface="+mn-lt"/>
              </a:rPr>
              <a:t>Relationship Between Capital per Worker Growth and Manufacturing Growth in India (1992–2025)</a:t>
            </a:r>
          </a:p>
        </c:rich>
      </c:tx>
      <c:overlay val="0"/>
    </c:title>
    <c:autoTitleDeleted val="0"/>
    <c:plotArea>
      <c:layout>
        <c:manualLayout>
          <c:xMode val="edge"/>
          <c:yMode val="edge"/>
          <c:x val="5.1831750339213029E-2"/>
          <c:y val="0.17925553642809208"/>
          <c:w val="0.60107032243657588"/>
          <c:h val="0.68345289665644049"/>
        </c:manualLayout>
      </c:layout>
      <c:scatterChart>
        <c:scatterStyle val="lineMarker"/>
        <c:varyColors val="0"/>
        <c:ser>
          <c:idx val="0"/>
          <c:order val="0"/>
          <c:tx>
            <c:v>Relationship Between Capital per Worker Growth and Manufacturing Growth in India (1992–2025)</c:v>
          </c:tx>
          <c:spPr>
            <a:ln>
              <a:noFill/>
            </a:ln>
          </c:spPr>
          <c:marker>
            <c:symbol val="circle"/>
            <c:size val="7"/>
            <c:spPr>
              <a:solidFill>
                <a:schemeClr val="accent1"/>
              </a:solidFill>
              <a:ln cmpd="sng">
                <a:solidFill>
                  <a:schemeClr val="accent1"/>
                </a:solidFill>
              </a:ln>
            </c:spPr>
          </c:marker>
          <c:trendline>
            <c:name>Linear (Relationship Between Capital per Worker Growth and Manufacturing Growth in India (1992–2025))</c:name>
            <c:spPr>
              <a:ln w="19050">
                <a:solidFill>
                  <a:srgbClr val="000000">
                    <a:alpha val="0"/>
                  </a:srgbClr>
                </a:solidFill>
              </a:ln>
            </c:spPr>
            <c:trendlineType val="linear"/>
            <c:dispRSqr val="0"/>
            <c:dispEq val="0"/>
          </c:trendline>
          <c:xVal>
            <c:numRef>
              <c:f>'host country (india)'!$S$19:$S$52</c:f>
              <c:numCache>
                <c:formatCode>General</c:formatCode>
                <c:ptCount val="34"/>
                <c:pt idx="0">
                  <c:v>7.8288140428024038</c:v>
                </c:pt>
                <c:pt idx="1">
                  <c:v>-3.2944607678232347</c:v>
                </c:pt>
                <c:pt idx="2">
                  <c:v>3.0556214388439291</c:v>
                </c:pt>
                <c:pt idx="3">
                  <c:v>8.7330960177334376</c:v>
                </c:pt>
                <c:pt idx="4">
                  <c:v>1.4880896446096055</c:v>
                </c:pt>
                <c:pt idx="5">
                  <c:v>5.8290116577961193</c:v>
                </c:pt>
                <c:pt idx="6">
                  <c:v>7.2933075503791969</c:v>
                </c:pt>
                <c:pt idx="7">
                  <c:v>13.19784429189694</c:v>
                </c:pt>
                <c:pt idx="8">
                  <c:v>-4.7280199267805703</c:v>
                </c:pt>
                <c:pt idx="9">
                  <c:v>19.549665187247779</c:v>
                </c:pt>
                <c:pt idx="10">
                  <c:v>-2.7471096052982684</c:v>
                </c:pt>
                <c:pt idx="11">
                  <c:v>2.9145658178641169</c:v>
                </c:pt>
                <c:pt idx="12">
                  <c:v>9.1446146081960737</c:v>
                </c:pt>
                <c:pt idx="13">
                  <c:v>14.077431231950326</c:v>
                </c:pt>
                <c:pt idx="14">
                  <c:v>13.185023602367703</c:v>
                </c:pt>
                <c:pt idx="15">
                  <c:v>15.679403700932792</c:v>
                </c:pt>
                <c:pt idx="16">
                  <c:v>2.7582898970766538</c:v>
                </c:pt>
                <c:pt idx="17">
                  <c:v>7.1252145490358645</c:v>
                </c:pt>
                <c:pt idx="18">
                  <c:v>10.420611879508833</c:v>
                </c:pt>
                <c:pt idx="19">
                  <c:v>11.037972119489178</c:v>
                </c:pt>
                <c:pt idx="20">
                  <c:v>4.0517921524330918</c:v>
                </c:pt>
                <c:pt idx="21">
                  <c:v>-0.1562130706715556</c:v>
                </c:pt>
                <c:pt idx="22">
                  <c:v>0.86864210182348323</c:v>
                </c:pt>
                <c:pt idx="23">
                  <c:v>4.8063934370451555</c:v>
                </c:pt>
                <c:pt idx="24">
                  <c:v>6.7232625939447423</c:v>
                </c:pt>
                <c:pt idx="25">
                  <c:v>6.1435182238880373</c:v>
                </c:pt>
                <c:pt idx="26">
                  <c:v>9.6264305974305344</c:v>
                </c:pt>
                <c:pt idx="27">
                  <c:v>-1.4200572980792965</c:v>
                </c:pt>
                <c:pt idx="28">
                  <c:v>-5.9403908886824563</c:v>
                </c:pt>
                <c:pt idx="29">
                  <c:v>11.918631678332252</c:v>
                </c:pt>
                <c:pt idx="30">
                  <c:v>3.1459520795846401</c:v>
                </c:pt>
                <c:pt idx="31">
                  <c:v>2.851449512093295</c:v>
                </c:pt>
                <c:pt idx="32">
                  <c:v>3.0859293700615971</c:v>
                </c:pt>
                <c:pt idx="33">
                  <c:v>5.5514673997552739</c:v>
                </c:pt>
              </c:numCache>
            </c:numRef>
          </c:xVal>
          <c:yVal>
            <c:numRef>
              <c:f>'host country (india)'!$V$19:$V$52</c:f>
              <c:numCache>
                <c:formatCode>General</c:formatCode>
                <c:ptCount val="34"/>
                <c:pt idx="0">
                  <c:v>3.0901834659496927</c:v>
                </c:pt>
                <c:pt idx="1">
                  <c:v>8.5913410736169169</c:v>
                </c:pt>
                <c:pt idx="2">
                  <c:v>10.821183243712213</c:v>
                </c:pt>
                <c:pt idx="3">
                  <c:v>15.461462926030748</c:v>
                </c:pt>
                <c:pt idx="4">
                  <c:v>9.5012767788913948</c:v>
                </c:pt>
                <c:pt idx="5">
                  <c:v>5.1186909042598927E-2</c:v>
                </c:pt>
                <c:pt idx="6">
                  <c:v>3.1318435932712987</c:v>
                </c:pt>
                <c:pt idx="7">
                  <c:v>5.3937745157569168</c:v>
                </c:pt>
                <c:pt idx="8">
                  <c:v>7.2990978490111296</c:v>
                </c:pt>
                <c:pt idx="9">
                  <c:v>2.2703251937848563</c:v>
                </c:pt>
                <c:pt idx="10">
                  <c:v>6.8667636076502419</c:v>
                </c:pt>
                <c:pt idx="11">
                  <c:v>6.3366103225509107</c:v>
                </c:pt>
                <c:pt idx="12">
                  <c:v>7.3832533106597253</c:v>
                </c:pt>
                <c:pt idx="13">
                  <c:v>9.3490886911469175</c:v>
                </c:pt>
                <c:pt idx="14">
                  <c:v>17.787792317977249</c:v>
                </c:pt>
                <c:pt idx="15">
                  <c:v>6.98058873129321</c:v>
                </c:pt>
                <c:pt idx="16">
                  <c:v>4.6636154823950164</c:v>
                </c:pt>
                <c:pt idx="17">
                  <c:v>10.967629778823465</c:v>
                </c:pt>
                <c:pt idx="18">
                  <c:v>7.6951064643586449</c:v>
                </c:pt>
                <c:pt idx="19">
                  <c:v>3.1250562390001875</c:v>
                </c:pt>
                <c:pt idx="20">
                  <c:v>5.4530833068635332</c:v>
                </c:pt>
                <c:pt idx="21">
                  <c:v>4.9658474395659624</c:v>
                </c:pt>
                <c:pt idx="22">
                  <c:v>7.8956697662977433</c:v>
                </c:pt>
                <c:pt idx="23">
                  <c:v>13.059393581395867</c:v>
                </c:pt>
                <c:pt idx="24">
                  <c:v>7.9268214208403975</c:v>
                </c:pt>
                <c:pt idx="25">
                  <c:v>7.5270636029121931</c:v>
                </c:pt>
                <c:pt idx="26">
                  <c:v>5.4115568850371574</c:v>
                </c:pt>
                <c:pt idx="27">
                  <c:v>-2.9749629420838488</c:v>
                </c:pt>
                <c:pt idx="28">
                  <c:v>3.0736109935103286</c:v>
                </c:pt>
                <c:pt idx="29">
                  <c:v>9.9552196717495889</c:v>
                </c:pt>
                <c:pt idx="30">
                  <c:v>-1.744196563454409</c:v>
                </c:pt>
                <c:pt idx="31">
                  <c:v>12.707025648704672</c:v>
                </c:pt>
                <c:pt idx="32">
                  <c:v>9.2890336559855626</c:v>
                </c:pt>
                <c:pt idx="33">
                  <c:v>11.531872924542057</c:v>
                </c:pt>
              </c:numCache>
            </c:numRef>
          </c:yVal>
          <c:smooth val="1"/>
          <c:extLst>
            <c:ext xmlns:c16="http://schemas.microsoft.com/office/drawing/2014/chart" uri="{C3380CC4-5D6E-409C-BE32-E72D297353CC}">
              <c16:uniqueId val="{00000001-6C05-447A-83C9-3419ECABBE12}"/>
            </c:ext>
          </c:extLst>
        </c:ser>
        <c:dLbls>
          <c:showLegendKey val="0"/>
          <c:showVal val="0"/>
          <c:showCatName val="0"/>
          <c:showSerName val="0"/>
          <c:showPercent val="0"/>
          <c:showBubbleSize val="0"/>
        </c:dLbls>
        <c:axId val="378772252"/>
        <c:axId val="1834202288"/>
      </c:scatterChart>
      <c:valAx>
        <c:axId val="378772252"/>
        <c:scaling>
          <c:orientation val="minMax"/>
        </c:scaling>
        <c:delete val="0"/>
        <c:axPos val="b"/>
        <c:majorGridlines>
          <c:spPr>
            <a:ln>
              <a:solidFill>
                <a:srgbClr val="B7B7B7"/>
              </a:solidFill>
            </a:ln>
          </c:spPr>
        </c:majorGridlines>
        <c:title>
          <c:tx>
            <c:rich>
              <a:bodyPr/>
              <a:lstStyle/>
              <a:p>
                <a:pPr lvl="0">
                  <a:defRPr sz="1000" b="0" i="0">
                    <a:solidFill>
                      <a:srgbClr val="000000"/>
                    </a:solidFill>
                    <a:latin typeface="+mn-lt"/>
                  </a:defRPr>
                </a:pPr>
                <a:r>
                  <a:rPr sz="1000" b="0" i="0">
                    <a:solidFill>
                      <a:srgbClr val="000000"/>
                    </a:solidFill>
                    <a:latin typeface="+mn-lt"/>
                  </a:rPr>
                  <a:t>Capital per Worker Growth (%)</a:t>
                </a:r>
              </a:p>
            </c:rich>
          </c:tx>
          <c:layout>
            <c:manualLayout>
              <c:xMode val="edge"/>
              <c:yMode val="edge"/>
              <c:x val="0.23687162409261112"/>
              <c:y val="0.88429936817830623"/>
            </c:manualLayout>
          </c:layout>
          <c:overlay val="0"/>
        </c:title>
        <c:numFmt formatCode="General" sourceLinked="1"/>
        <c:majorTickMark val="none"/>
        <c:minorTickMark val="none"/>
        <c:tickLblPos val="nextTo"/>
        <c:spPr>
          <a:ln>
            <a:noFill/>
          </a:ln>
        </c:spPr>
        <c:txPr>
          <a:bodyPr/>
          <a:lstStyle/>
          <a:p>
            <a:pPr lvl="0">
              <a:defRPr sz="900" b="0" i="0">
                <a:solidFill>
                  <a:srgbClr val="000000"/>
                </a:solidFill>
                <a:latin typeface="+mn-lt"/>
              </a:defRPr>
            </a:pPr>
            <a:endParaRPr lang="en-US"/>
          </a:p>
        </c:txPr>
        <c:crossAx val="1834202288"/>
        <c:crosses val="autoZero"/>
        <c:crossBetween val="midCat"/>
      </c:valAx>
      <c:valAx>
        <c:axId val="1834202288"/>
        <c:scaling>
          <c:orientation val="minMax"/>
        </c:scaling>
        <c:delete val="0"/>
        <c:axPos val="l"/>
        <c:majorGridlines>
          <c:spPr>
            <a:ln>
              <a:solidFill>
                <a:srgbClr val="B7B7B7"/>
              </a:solidFill>
            </a:ln>
          </c:spPr>
        </c:majorGridlines>
        <c:title>
          <c:tx>
            <c:rich>
              <a:bodyPr/>
              <a:lstStyle/>
              <a:p>
                <a:pPr lvl="0">
                  <a:defRPr sz="1000" b="0" i="0">
                    <a:solidFill>
                      <a:srgbClr val="000000"/>
                    </a:solidFill>
                    <a:latin typeface="+mn-lt"/>
                  </a:defRPr>
                </a:pPr>
                <a:r>
                  <a:rPr sz="1000" b="0" i="0">
                    <a:solidFill>
                      <a:srgbClr val="000000"/>
                    </a:solidFill>
                    <a:latin typeface="+mn-lt"/>
                  </a:rPr>
                  <a:t>Manufacturing Growth (%)</a:t>
                </a:r>
              </a:p>
            </c:rich>
          </c:tx>
          <c:layout>
            <c:manualLayout>
              <c:xMode val="edge"/>
              <c:yMode val="edge"/>
              <c:x val="1.0243277848911651E-2"/>
              <c:y val="0.28826352479895789"/>
            </c:manualLayout>
          </c:layout>
          <c:overlay val="0"/>
        </c:title>
        <c:numFmt formatCode="General" sourceLinked="1"/>
        <c:majorTickMark val="none"/>
        <c:minorTickMark val="none"/>
        <c:tickLblPos val="nextTo"/>
        <c:spPr>
          <a:ln>
            <a:noFill/>
          </a:ln>
        </c:spPr>
        <c:txPr>
          <a:bodyPr/>
          <a:lstStyle/>
          <a:p>
            <a:pPr lvl="0">
              <a:defRPr sz="900" b="0" i="0">
                <a:solidFill>
                  <a:srgbClr val="000000"/>
                </a:solidFill>
                <a:latin typeface="+mn-lt"/>
              </a:defRPr>
            </a:pPr>
            <a:endParaRPr lang="en-US"/>
          </a:p>
        </c:txPr>
        <c:crossAx val="378772252"/>
        <c:crosses val="autoZero"/>
        <c:crossBetween val="midCat"/>
      </c:valAx>
    </c:plotArea>
    <c:legend>
      <c:legendPos val="r"/>
      <c:overlay val="0"/>
      <c:txPr>
        <a:bodyPr/>
        <a:lstStyle/>
        <a:p>
          <a:pPr lvl="0">
            <a:defRPr sz="12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sz="1400" b="0" i="0">
                <a:solidFill>
                  <a:srgbClr val="757575"/>
                </a:solidFill>
                <a:latin typeface="+mn-lt"/>
              </a:rPr>
              <a:t>Relationship between FDI as % of GDP and Labour Productivity Growth (%) in India(1992-2025)</a:t>
            </a:r>
          </a:p>
        </c:rich>
      </c:tx>
      <c:overlay val="0"/>
    </c:title>
    <c:autoTitleDeleted val="0"/>
    <c:plotArea>
      <c:layout>
        <c:manualLayout>
          <c:xMode val="edge"/>
          <c:yMode val="edge"/>
          <c:x val="7.7041487729719624E-2"/>
          <c:y val="0.20916666666666667"/>
          <c:w val="0.59046718227400241"/>
          <c:h val="0.7352777777777777"/>
        </c:manualLayout>
      </c:layout>
      <c:scatterChart>
        <c:scatterStyle val="lineMarker"/>
        <c:varyColors val="1"/>
        <c:ser>
          <c:idx val="0"/>
          <c:order val="0"/>
          <c:tx>
            <c:v>Relationship between FDI as % of GDP and Labour Productivity Growth (%) in India</c:v>
          </c:tx>
          <c:spPr>
            <a:ln>
              <a:noFill/>
            </a:ln>
          </c:spPr>
          <c:marker>
            <c:symbol val="circle"/>
            <c:size val="7"/>
            <c:spPr>
              <a:solidFill>
                <a:schemeClr val="accent1"/>
              </a:solidFill>
              <a:ln cmpd="sng">
                <a:solidFill>
                  <a:schemeClr val="accent1"/>
                </a:solidFill>
              </a:ln>
            </c:spPr>
          </c:marker>
          <c:trendline>
            <c:name>Linear (Relationship between FDI as % of GDP and Labour Productivity Growth (%) in India)</c:name>
            <c:spPr>
              <a:ln w="19050">
                <a:solidFill>
                  <a:srgbClr val="000000">
                    <a:alpha val="0"/>
                  </a:srgbClr>
                </a:solidFill>
              </a:ln>
            </c:spPr>
            <c:trendlineType val="linear"/>
            <c:dispRSqr val="0"/>
            <c:dispEq val="0"/>
          </c:trendline>
          <c:yVal>
            <c:numRef>
              <c:f>'host country (india)'!$Q$19:$Q$46</c:f>
              <c:numCache>
                <c:formatCode>General</c:formatCode>
                <c:ptCount val="28"/>
                <c:pt idx="0">
                  <c:v>2.8394319675635304</c:v>
                </c:pt>
                <c:pt idx="1">
                  <c:v>2.1436744078189327</c:v>
                </c:pt>
                <c:pt idx="2">
                  <c:v>3.9325451092489692</c:v>
                </c:pt>
                <c:pt idx="3">
                  <c:v>4.3247839221093738</c:v>
                </c:pt>
                <c:pt idx="4">
                  <c:v>4.2471542620406852</c:v>
                </c:pt>
                <c:pt idx="5">
                  <c:v>0.93170277151372605</c:v>
                </c:pt>
                <c:pt idx="6">
                  <c:v>2.9921423955246702</c:v>
                </c:pt>
                <c:pt idx="7">
                  <c:v>5.5420482527281907</c:v>
                </c:pt>
                <c:pt idx="8">
                  <c:v>0.73860060896660529</c:v>
                </c:pt>
                <c:pt idx="9">
                  <c:v>2.5586949751226604</c:v>
                </c:pt>
                <c:pt idx="10">
                  <c:v>1.6817850352234529</c:v>
                </c:pt>
                <c:pt idx="11">
                  <c:v>5.6014677941081237</c:v>
                </c:pt>
                <c:pt idx="12">
                  <c:v>5.686743418560873</c:v>
                </c:pt>
                <c:pt idx="13">
                  <c:v>5.7325445148216163</c:v>
                </c:pt>
                <c:pt idx="14">
                  <c:v>7.4068235005627061</c:v>
                </c:pt>
                <c:pt idx="15">
                  <c:v>7.0597163370382106</c:v>
                </c:pt>
                <c:pt idx="16">
                  <c:v>2.6461292909720395</c:v>
                </c:pt>
                <c:pt idx="17">
                  <c:v>7.3092757708594398</c:v>
                </c:pt>
                <c:pt idx="18">
                  <c:v>7.8864069999459758</c:v>
                </c:pt>
                <c:pt idx="19">
                  <c:v>4.2508232265483086</c:v>
                </c:pt>
                <c:pt idx="20">
                  <c:v>4.564729010004684</c:v>
                </c:pt>
                <c:pt idx="21">
                  <c:v>4.5864818307423958</c:v>
                </c:pt>
                <c:pt idx="22">
                  <c:v>5.594355701377558</c:v>
                </c:pt>
                <c:pt idx="23">
                  <c:v>6.2480936998740653</c:v>
                </c:pt>
                <c:pt idx="24">
                  <c:v>6.52435201179114</c:v>
                </c:pt>
                <c:pt idx="25">
                  <c:v>5.1522477155280395</c:v>
                </c:pt>
                <c:pt idx="26">
                  <c:v>4.9445478022315186</c:v>
                </c:pt>
                <c:pt idx="27">
                  <c:v>1.2354534888305828</c:v>
                </c:pt>
              </c:numCache>
            </c:numRef>
          </c:yVal>
          <c:smooth val="1"/>
          <c:extLst>
            <c:ext xmlns:c16="http://schemas.microsoft.com/office/drawing/2014/chart" uri="{C3380CC4-5D6E-409C-BE32-E72D297353CC}">
              <c16:uniqueId val="{00000001-3EA2-4337-9D27-A6A9A915A9CA}"/>
            </c:ext>
          </c:extLst>
        </c:ser>
        <c:ser>
          <c:idx val="1"/>
          <c:order val="1"/>
          <c:spPr>
            <a:ln>
              <a:noFill/>
            </a:ln>
          </c:spPr>
          <c:marker>
            <c:symbol val="circle"/>
            <c:size val="7"/>
            <c:spPr>
              <a:solidFill>
                <a:schemeClr val="accent2"/>
              </a:solidFill>
              <a:ln cmpd="sng">
                <a:solidFill>
                  <a:schemeClr val="accent2"/>
                </a:solidFill>
              </a:ln>
            </c:spPr>
          </c:marker>
          <c:yVal>
            <c:numRef>
              <c:f>'host country (india)'!$Q$48:$Q$52</c:f>
              <c:numCache>
                <c:formatCode>General</c:formatCode>
                <c:ptCount val="5"/>
                <c:pt idx="0">
                  <c:v>4.4602841339163648</c:v>
                </c:pt>
                <c:pt idx="1">
                  <c:v>2.3510152274583902</c:v>
                </c:pt>
                <c:pt idx="2">
                  <c:v>2.8104947172298091</c:v>
                </c:pt>
                <c:pt idx="3">
                  <c:v>3.7538082340967178</c:v>
                </c:pt>
                <c:pt idx="4">
                  <c:v>6.0284152116504996</c:v>
                </c:pt>
              </c:numCache>
            </c:numRef>
          </c:yVal>
          <c:smooth val="1"/>
          <c:extLst>
            <c:ext xmlns:c16="http://schemas.microsoft.com/office/drawing/2014/chart" uri="{C3380CC4-5D6E-409C-BE32-E72D297353CC}">
              <c16:uniqueId val="{00000002-3EA2-4337-9D27-A6A9A915A9CA}"/>
            </c:ext>
          </c:extLst>
        </c:ser>
        <c:dLbls>
          <c:showLegendKey val="0"/>
          <c:showVal val="0"/>
          <c:showCatName val="0"/>
          <c:showSerName val="0"/>
          <c:showPercent val="0"/>
          <c:showBubbleSize val="0"/>
        </c:dLbls>
        <c:axId val="1588991290"/>
        <c:axId val="576900895"/>
      </c:scatterChart>
      <c:valAx>
        <c:axId val="1588991290"/>
        <c:scaling>
          <c:orientation val="minMax"/>
        </c:scaling>
        <c:delete val="0"/>
        <c:axPos val="b"/>
        <c:majorGridlines>
          <c:spPr>
            <a:ln>
              <a:solidFill>
                <a:srgbClr val="B7B7B7"/>
              </a:solidFill>
            </a:ln>
          </c:spPr>
        </c:majorGridlines>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a:noFill/>
          </a:ln>
        </c:spPr>
        <c:txPr>
          <a:bodyPr/>
          <a:lstStyle/>
          <a:p>
            <a:pPr lvl="0">
              <a:defRPr sz="900" b="0" i="0">
                <a:solidFill>
                  <a:srgbClr val="000000"/>
                </a:solidFill>
                <a:latin typeface="+mn-lt"/>
              </a:defRPr>
            </a:pPr>
            <a:endParaRPr lang="en-US"/>
          </a:p>
        </c:txPr>
        <c:crossAx val="576900895"/>
        <c:crosses val="autoZero"/>
        <c:crossBetween val="midCat"/>
      </c:valAx>
      <c:valAx>
        <c:axId val="576900895"/>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a:noFill/>
          </a:ln>
        </c:spPr>
        <c:txPr>
          <a:bodyPr/>
          <a:lstStyle/>
          <a:p>
            <a:pPr lvl="0">
              <a:defRPr sz="900" b="0" i="0">
                <a:solidFill>
                  <a:srgbClr val="000000"/>
                </a:solidFill>
                <a:latin typeface="+mn-lt"/>
              </a:defRPr>
            </a:pPr>
            <a:endParaRPr lang="en-US"/>
          </a:p>
        </c:txPr>
        <c:crossAx val="1588991290"/>
        <c:crosses val="autoZero"/>
        <c:crossBetween val="midCat"/>
      </c:valAx>
    </c:plotArea>
    <c:legend>
      <c:legendPos val="r"/>
      <c:layout>
        <c:manualLayout>
          <c:xMode val="edge"/>
          <c:yMode val="edge"/>
          <c:x val="0.66789869411110503"/>
          <c:y val="0.3034467045785943"/>
        </c:manualLayout>
      </c:layout>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sz="1400" b="0" i="0">
                <a:solidFill>
                  <a:srgbClr val="757575"/>
                </a:solidFill>
                <a:latin typeface="+mn-lt"/>
              </a:rPr>
              <a:t>GDP Growth Rate and FDI Inflows in India (1978-2025)</a:t>
            </a:r>
          </a:p>
        </c:rich>
      </c:tx>
      <c:overlay val="0"/>
    </c:title>
    <c:autoTitleDeleted val="0"/>
    <c:plotArea>
      <c:layout/>
      <c:lineChart>
        <c:grouping val="standard"/>
        <c:varyColors val="0"/>
        <c:ser>
          <c:idx val="0"/>
          <c:order val="0"/>
          <c:tx>
            <c:v>FDI inflow (current US$)</c:v>
          </c:tx>
          <c:spPr>
            <a:ln w="28575" cmpd="sng">
              <a:solidFill>
                <a:schemeClr val="accent1"/>
              </a:solidFill>
            </a:ln>
          </c:spPr>
          <c:marker>
            <c:symbol val="none"/>
          </c:marker>
          <c:trendline>
            <c:name>Linear (FDI inflow (current US$))</c:name>
            <c:spPr>
              <a:ln w="19050">
                <a:solidFill>
                  <a:srgbClr val="000000">
                    <a:alpha val="0"/>
                  </a:srgbClr>
                </a:solidFill>
              </a:ln>
            </c:spPr>
            <c:trendlineType val="linear"/>
            <c:dispRSqr val="0"/>
            <c:dispEq val="0"/>
          </c:trendline>
          <c:cat>
            <c:numRef>
              <c:f>'GDP VS FDI Inflows'!$A$5:$A$52</c:f>
              <c:numCache>
                <c:formatCode>General</c:formatCode>
                <c:ptCount val="48"/>
                <c:pt idx="0">
                  <c:v>1978</c:v>
                </c:pt>
                <c:pt idx="1">
                  <c:v>1979</c:v>
                </c:pt>
                <c:pt idx="2">
                  <c:v>1980</c:v>
                </c:pt>
                <c:pt idx="3">
                  <c:v>1981</c:v>
                </c:pt>
                <c:pt idx="4">
                  <c:v>1982</c:v>
                </c:pt>
                <c:pt idx="5">
                  <c:v>1983</c:v>
                </c:pt>
                <c:pt idx="6">
                  <c:v>1984</c:v>
                </c:pt>
                <c:pt idx="7">
                  <c:v>1985</c:v>
                </c:pt>
                <c:pt idx="8">
                  <c:v>1986</c:v>
                </c:pt>
                <c:pt idx="9">
                  <c:v>1987</c:v>
                </c:pt>
                <c:pt idx="10">
                  <c:v>1988</c:v>
                </c:pt>
                <c:pt idx="11">
                  <c:v>1989</c:v>
                </c:pt>
                <c:pt idx="12">
                  <c:v>1990</c:v>
                </c:pt>
                <c:pt idx="13">
                  <c:v>1991</c:v>
                </c:pt>
                <c:pt idx="14">
                  <c:v>1992</c:v>
                </c:pt>
                <c:pt idx="15">
                  <c:v>1993</c:v>
                </c:pt>
                <c:pt idx="16">
                  <c:v>1994</c:v>
                </c:pt>
                <c:pt idx="17">
                  <c:v>1995</c:v>
                </c:pt>
                <c:pt idx="18">
                  <c:v>1996</c:v>
                </c:pt>
                <c:pt idx="19">
                  <c:v>1997</c:v>
                </c:pt>
                <c:pt idx="20">
                  <c:v>1998</c:v>
                </c:pt>
                <c:pt idx="21">
                  <c:v>1999</c:v>
                </c:pt>
                <c:pt idx="22">
                  <c:v>2000</c:v>
                </c:pt>
                <c:pt idx="23">
                  <c:v>2001</c:v>
                </c:pt>
                <c:pt idx="24">
                  <c:v>2002</c:v>
                </c:pt>
                <c:pt idx="25">
                  <c:v>2003</c:v>
                </c:pt>
                <c:pt idx="26">
                  <c:v>2004</c:v>
                </c:pt>
                <c:pt idx="27">
                  <c:v>2005</c:v>
                </c:pt>
                <c:pt idx="28">
                  <c:v>2006</c:v>
                </c:pt>
                <c:pt idx="29">
                  <c:v>2007</c:v>
                </c:pt>
                <c:pt idx="30">
                  <c:v>2008</c:v>
                </c:pt>
                <c:pt idx="31">
                  <c:v>2009</c:v>
                </c:pt>
                <c:pt idx="32">
                  <c:v>2010</c:v>
                </c:pt>
                <c:pt idx="33">
                  <c:v>2011</c:v>
                </c:pt>
                <c:pt idx="34">
                  <c:v>2012</c:v>
                </c:pt>
                <c:pt idx="35">
                  <c:v>2013</c:v>
                </c:pt>
                <c:pt idx="36">
                  <c:v>2014</c:v>
                </c:pt>
                <c:pt idx="37">
                  <c:v>2015</c:v>
                </c:pt>
                <c:pt idx="38">
                  <c:v>2016</c:v>
                </c:pt>
                <c:pt idx="39">
                  <c:v>2017</c:v>
                </c:pt>
                <c:pt idx="40">
                  <c:v>2018</c:v>
                </c:pt>
                <c:pt idx="41">
                  <c:v>2019</c:v>
                </c:pt>
                <c:pt idx="42">
                  <c:v>2020</c:v>
                </c:pt>
                <c:pt idx="43">
                  <c:v>2021</c:v>
                </c:pt>
                <c:pt idx="44">
                  <c:v>2022</c:v>
                </c:pt>
                <c:pt idx="45">
                  <c:v>2023</c:v>
                </c:pt>
                <c:pt idx="46">
                  <c:v>2024</c:v>
                </c:pt>
                <c:pt idx="47">
                  <c:v>2025</c:v>
                </c:pt>
              </c:numCache>
            </c:numRef>
          </c:cat>
          <c:val>
            <c:numRef>
              <c:f>'GDP VS FDI Inflows'!$C$5:$C$52</c:f>
              <c:numCache>
                <c:formatCode>0.00</c:formatCode>
                <c:ptCount val="48"/>
                <c:pt idx="0">
                  <c:v>18090000</c:v>
                </c:pt>
                <c:pt idx="1">
                  <c:v>48570000</c:v>
                </c:pt>
                <c:pt idx="2">
                  <c:v>79159999.900000006</c:v>
                </c:pt>
                <c:pt idx="3">
                  <c:v>91920000</c:v>
                </c:pt>
                <c:pt idx="4">
                  <c:v>72079999.900000006</c:v>
                </c:pt>
                <c:pt idx="5">
                  <c:v>5639999.9000000004</c:v>
                </c:pt>
                <c:pt idx="6">
                  <c:v>19239999.899999999</c:v>
                </c:pt>
                <c:pt idx="7">
                  <c:v>106090000</c:v>
                </c:pt>
                <c:pt idx="8">
                  <c:v>117730000</c:v>
                </c:pt>
                <c:pt idx="9">
                  <c:v>212319999.90000001</c:v>
                </c:pt>
                <c:pt idx="10">
                  <c:v>91250000</c:v>
                </c:pt>
                <c:pt idx="11">
                  <c:v>252099999.90000001</c:v>
                </c:pt>
                <c:pt idx="12">
                  <c:v>236690000</c:v>
                </c:pt>
                <c:pt idx="13">
                  <c:v>73537638.388532996</c:v>
                </c:pt>
                <c:pt idx="14">
                  <c:v>276512438.97389299</c:v>
                </c:pt>
                <c:pt idx="15">
                  <c:v>550370024.92938304</c:v>
                </c:pt>
                <c:pt idx="16">
                  <c:v>973271468.72287297</c:v>
                </c:pt>
                <c:pt idx="17">
                  <c:v>2143628110.28391</c:v>
                </c:pt>
                <c:pt idx="18">
                  <c:v>2426057021.9109201</c:v>
                </c:pt>
                <c:pt idx="19">
                  <c:v>3577330042.34585</c:v>
                </c:pt>
                <c:pt idx="20">
                  <c:v>2634651657.7714</c:v>
                </c:pt>
                <c:pt idx="21">
                  <c:v>2168591054.37924</c:v>
                </c:pt>
                <c:pt idx="22">
                  <c:v>3584217307.1875501</c:v>
                </c:pt>
                <c:pt idx="23">
                  <c:v>5128093561.6268797</c:v>
                </c:pt>
                <c:pt idx="24">
                  <c:v>5208967106.2789402</c:v>
                </c:pt>
                <c:pt idx="25">
                  <c:v>3681984671.4342799</c:v>
                </c:pt>
                <c:pt idx="26">
                  <c:v>5429250989.8571701</c:v>
                </c:pt>
                <c:pt idx="27">
                  <c:v>7269407225.6143799</c:v>
                </c:pt>
                <c:pt idx="28">
                  <c:v>20029119267.139599</c:v>
                </c:pt>
                <c:pt idx="29">
                  <c:v>25227740886.6819</c:v>
                </c:pt>
                <c:pt idx="30">
                  <c:v>43406277075.810799</c:v>
                </c:pt>
                <c:pt idx="31">
                  <c:v>35581372929.664101</c:v>
                </c:pt>
                <c:pt idx="32">
                  <c:v>27396885033.783798</c:v>
                </c:pt>
                <c:pt idx="33">
                  <c:v>36498654597.858902</c:v>
                </c:pt>
                <c:pt idx="34">
                  <c:v>23995685014.2141</c:v>
                </c:pt>
                <c:pt idx="35">
                  <c:v>28153031270.320202</c:v>
                </c:pt>
                <c:pt idx="36">
                  <c:v>34576643694.138199</c:v>
                </c:pt>
                <c:pt idx="37">
                  <c:v>44009492129.531898</c:v>
                </c:pt>
                <c:pt idx="38">
                  <c:v>44458571545.797997</c:v>
                </c:pt>
                <c:pt idx="39">
                  <c:v>39966091358.738403</c:v>
                </c:pt>
                <c:pt idx="40">
                  <c:v>42117450737.264397</c:v>
                </c:pt>
                <c:pt idx="41">
                  <c:v>50610647353.591103</c:v>
                </c:pt>
                <c:pt idx="42">
                  <c:v>64362364994.375397</c:v>
                </c:pt>
                <c:pt idx="43">
                  <c:v>44727277562.880997</c:v>
                </c:pt>
                <c:pt idx="44">
                  <c:v>49940258404.2659</c:v>
                </c:pt>
                <c:pt idx="45">
                  <c:v>28086193530.3979</c:v>
                </c:pt>
                <c:pt idx="46">
                  <c:v>27139853378.140202</c:v>
                </c:pt>
                <c:pt idx="47">
                  <c:v>39097233086.213303</c:v>
                </c:pt>
              </c:numCache>
            </c:numRef>
          </c:val>
          <c:smooth val="0"/>
          <c:extLst>
            <c:ext xmlns:c16="http://schemas.microsoft.com/office/drawing/2014/chart" uri="{C3380CC4-5D6E-409C-BE32-E72D297353CC}">
              <c16:uniqueId val="{00000001-12F0-4E05-B1E5-0E32B8CD442E}"/>
            </c:ext>
          </c:extLst>
        </c:ser>
        <c:dLbls>
          <c:showLegendKey val="0"/>
          <c:showVal val="0"/>
          <c:showCatName val="0"/>
          <c:showSerName val="0"/>
          <c:showPercent val="0"/>
          <c:showBubbleSize val="0"/>
        </c:dLbls>
        <c:marker val="1"/>
        <c:smooth val="0"/>
        <c:axId val="802144026"/>
        <c:axId val="1288268148"/>
      </c:lineChart>
      <c:lineChart>
        <c:grouping val="standard"/>
        <c:varyColors val="0"/>
        <c:ser>
          <c:idx val="1"/>
          <c:order val="1"/>
          <c:tx>
            <c:v>GDP growth (annual %)</c:v>
          </c:tx>
          <c:spPr>
            <a:ln w="28575" cmpd="sng">
              <a:solidFill>
                <a:schemeClr val="accent2"/>
              </a:solidFill>
            </a:ln>
          </c:spPr>
          <c:marker>
            <c:symbol val="none"/>
          </c:marker>
          <c:cat>
            <c:numRef>
              <c:f>'GDP VS FDI Inflows'!$A$5:$A$52</c:f>
              <c:numCache>
                <c:formatCode>General</c:formatCode>
                <c:ptCount val="48"/>
                <c:pt idx="0">
                  <c:v>1978</c:v>
                </c:pt>
                <c:pt idx="1">
                  <c:v>1979</c:v>
                </c:pt>
                <c:pt idx="2">
                  <c:v>1980</c:v>
                </c:pt>
                <c:pt idx="3">
                  <c:v>1981</c:v>
                </c:pt>
                <c:pt idx="4">
                  <c:v>1982</c:v>
                </c:pt>
                <c:pt idx="5">
                  <c:v>1983</c:v>
                </c:pt>
                <c:pt idx="6">
                  <c:v>1984</c:v>
                </c:pt>
                <c:pt idx="7">
                  <c:v>1985</c:v>
                </c:pt>
                <c:pt idx="8">
                  <c:v>1986</c:v>
                </c:pt>
                <c:pt idx="9">
                  <c:v>1987</c:v>
                </c:pt>
                <c:pt idx="10">
                  <c:v>1988</c:v>
                </c:pt>
                <c:pt idx="11">
                  <c:v>1989</c:v>
                </c:pt>
                <c:pt idx="12">
                  <c:v>1990</c:v>
                </c:pt>
                <c:pt idx="13">
                  <c:v>1991</c:v>
                </c:pt>
                <c:pt idx="14">
                  <c:v>1992</c:v>
                </c:pt>
                <c:pt idx="15">
                  <c:v>1993</c:v>
                </c:pt>
                <c:pt idx="16">
                  <c:v>1994</c:v>
                </c:pt>
                <c:pt idx="17">
                  <c:v>1995</c:v>
                </c:pt>
                <c:pt idx="18">
                  <c:v>1996</c:v>
                </c:pt>
                <c:pt idx="19">
                  <c:v>1997</c:v>
                </c:pt>
                <c:pt idx="20">
                  <c:v>1998</c:v>
                </c:pt>
                <c:pt idx="21">
                  <c:v>1999</c:v>
                </c:pt>
                <c:pt idx="22">
                  <c:v>2000</c:v>
                </c:pt>
                <c:pt idx="23">
                  <c:v>2001</c:v>
                </c:pt>
                <c:pt idx="24">
                  <c:v>2002</c:v>
                </c:pt>
                <c:pt idx="25">
                  <c:v>2003</c:v>
                </c:pt>
                <c:pt idx="26">
                  <c:v>2004</c:v>
                </c:pt>
                <c:pt idx="27">
                  <c:v>2005</c:v>
                </c:pt>
                <c:pt idx="28">
                  <c:v>2006</c:v>
                </c:pt>
                <c:pt idx="29">
                  <c:v>2007</c:v>
                </c:pt>
                <c:pt idx="30">
                  <c:v>2008</c:v>
                </c:pt>
                <c:pt idx="31">
                  <c:v>2009</c:v>
                </c:pt>
                <c:pt idx="32">
                  <c:v>2010</c:v>
                </c:pt>
                <c:pt idx="33">
                  <c:v>2011</c:v>
                </c:pt>
                <c:pt idx="34">
                  <c:v>2012</c:v>
                </c:pt>
                <c:pt idx="35">
                  <c:v>2013</c:v>
                </c:pt>
                <c:pt idx="36">
                  <c:v>2014</c:v>
                </c:pt>
                <c:pt idx="37">
                  <c:v>2015</c:v>
                </c:pt>
                <c:pt idx="38">
                  <c:v>2016</c:v>
                </c:pt>
                <c:pt idx="39">
                  <c:v>2017</c:v>
                </c:pt>
                <c:pt idx="40">
                  <c:v>2018</c:v>
                </c:pt>
                <c:pt idx="41">
                  <c:v>2019</c:v>
                </c:pt>
                <c:pt idx="42">
                  <c:v>2020</c:v>
                </c:pt>
                <c:pt idx="43">
                  <c:v>2021</c:v>
                </c:pt>
                <c:pt idx="44">
                  <c:v>2022</c:v>
                </c:pt>
                <c:pt idx="45">
                  <c:v>2023</c:v>
                </c:pt>
                <c:pt idx="46">
                  <c:v>2024</c:v>
                </c:pt>
                <c:pt idx="47">
                  <c:v>2025</c:v>
                </c:pt>
              </c:numCache>
            </c:numRef>
          </c:cat>
          <c:val>
            <c:numRef>
              <c:f>'GDP VS FDI Inflows'!$B$6:$B$52</c:f>
              <c:numCache>
                <c:formatCode>General</c:formatCode>
                <c:ptCount val="47"/>
                <c:pt idx="0">
                  <c:v>-5.2381827027895014</c:v>
                </c:pt>
                <c:pt idx="1">
                  <c:v>6.7358215279984961</c:v>
                </c:pt>
                <c:pt idx="2">
                  <c:v>6.0062036238176688</c:v>
                </c:pt>
                <c:pt idx="3">
                  <c:v>3.4757332403123655</c:v>
                </c:pt>
                <c:pt idx="4">
                  <c:v>7.288892901245859</c:v>
                </c:pt>
                <c:pt idx="5">
                  <c:v>3.8207378559735048</c:v>
                </c:pt>
                <c:pt idx="6">
                  <c:v>5.254299223308891</c:v>
                </c:pt>
                <c:pt idx="7">
                  <c:v>4.7765641704894648</c:v>
                </c:pt>
                <c:pt idx="8">
                  <c:v>3.9653556339057587</c:v>
                </c:pt>
                <c:pt idx="9">
                  <c:v>9.6277829198483431</c:v>
                </c:pt>
                <c:pt idx="10">
                  <c:v>5.9473433282650348</c:v>
                </c:pt>
                <c:pt idx="11">
                  <c:v>5.5334545630649501</c:v>
                </c:pt>
                <c:pt idx="12">
                  <c:v>1.0568314329617863</c:v>
                </c:pt>
                <c:pt idx="13">
                  <c:v>5.4823960216700272</c:v>
                </c:pt>
                <c:pt idx="14">
                  <c:v>4.7507762195799046</c:v>
                </c:pt>
                <c:pt idx="15">
                  <c:v>6.6589240674730661</c:v>
                </c:pt>
                <c:pt idx="16">
                  <c:v>7.5744918402719463</c:v>
                </c:pt>
                <c:pt idx="17">
                  <c:v>7.5495222488882945</c:v>
                </c:pt>
                <c:pt idx="18">
                  <c:v>4.049820849024826</c:v>
                </c:pt>
                <c:pt idx="19">
                  <c:v>6.1844158208035509</c:v>
                </c:pt>
                <c:pt idx="20">
                  <c:v>8.8457555611411607</c:v>
                </c:pt>
                <c:pt idx="21">
                  <c:v>3.8409911568655417</c:v>
                </c:pt>
                <c:pt idx="22">
                  <c:v>4.8239662639730341</c:v>
                </c:pt>
                <c:pt idx="23">
                  <c:v>3.8039753212003831</c:v>
                </c:pt>
                <c:pt idx="24">
                  <c:v>7.8603814754504526</c:v>
                </c:pt>
                <c:pt idx="25">
                  <c:v>7.9229366130797843</c:v>
                </c:pt>
                <c:pt idx="26">
                  <c:v>7.9234306213178911</c:v>
                </c:pt>
                <c:pt idx="27">
                  <c:v>8.0607325730505721</c:v>
                </c:pt>
                <c:pt idx="28">
                  <c:v>7.6608150651076556</c:v>
                </c:pt>
                <c:pt idx="29">
                  <c:v>3.0866980595008187</c:v>
                </c:pt>
                <c:pt idx="30">
                  <c:v>7.8618888330338024</c:v>
                </c:pt>
                <c:pt idx="31">
                  <c:v>8.4975847016562511</c:v>
                </c:pt>
                <c:pt idx="32">
                  <c:v>5.2413162002429345</c:v>
                </c:pt>
                <c:pt idx="33">
                  <c:v>5.4563875516477225</c:v>
                </c:pt>
                <c:pt idx="34">
                  <c:v>6.3861064009171287</c:v>
                </c:pt>
                <c:pt idx="35">
                  <c:v>7.4102276051697658</c:v>
                </c:pt>
                <c:pt idx="36">
                  <c:v>7.996253785679869</c:v>
                </c:pt>
                <c:pt idx="37">
                  <c:v>8.2563055017666187</c:v>
                </c:pt>
                <c:pt idx="38">
                  <c:v>6.7953834190242191</c:v>
                </c:pt>
                <c:pt idx="39">
                  <c:v>6.4538513449529518</c:v>
                </c:pt>
                <c:pt idx="40">
                  <c:v>3.8714369407052374</c:v>
                </c:pt>
                <c:pt idx="41">
                  <c:v>-5.7777247068730304</c:v>
                </c:pt>
                <c:pt idx="42">
                  <c:v>9.6895924919174092</c:v>
                </c:pt>
                <c:pt idx="43">
                  <c:v>7.609364977693204</c:v>
                </c:pt>
                <c:pt idx="44">
                  <c:v>7.2102246293350021</c:v>
                </c:pt>
                <c:pt idx="45">
                  <c:v>7.0992789317651841</c:v>
                </c:pt>
                <c:pt idx="46">
                  <c:v>7.5666617928424387</c:v>
                </c:pt>
              </c:numCache>
            </c:numRef>
          </c:val>
          <c:smooth val="0"/>
          <c:extLst>
            <c:ext xmlns:c16="http://schemas.microsoft.com/office/drawing/2014/chart" uri="{C3380CC4-5D6E-409C-BE32-E72D297353CC}">
              <c16:uniqueId val="{00000002-12F0-4E05-B1E5-0E32B8CD442E}"/>
            </c:ext>
          </c:extLst>
        </c:ser>
        <c:dLbls>
          <c:showLegendKey val="0"/>
          <c:showVal val="0"/>
          <c:showCatName val="0"/>
          <c:showSerName val="0"/>
          <c:showPercent val="0"/>
          <c:showBubbleSize val="0"/>
        </c:dLbls>
        <c:marker val="1"/>
        <c:smooth val="0"/>
        <c:axId val="1408426431"/>
        <c:axId val="1215717272"/>
      </c:lineChart>
      <c:catAx>
        <c:axId val="802144026"/>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a:noFill/>
          </a:ln>
        </c:spPr>
        <c:txPr>
          <a:bodyPr/>
          <a:lstStyle/>
          <a:p>
            <a:pPr lvl="0">
              <a:defRPr sz="900" b="0" i="0">
                <a:solidFill>
                  <a:srgbClr val="000000"/>
                </a:solidFill>
                <a:latin typeface="+mn-lt"/>
              </a:defRPr>
            </a:pPr>
            <a:endParaRPr lang="en-US"/>
          </a:p>
        </c:txPr>
        <c:crossAx val="1288268148"/>
        <c:crosses val="autoZero"/>
        <c:auto val="1"/>
        <c:lblAlgn val="ctr"/>
        <c:lblOffset val="100"/>
        <c:noMultiLvlLbl val="1"/>
      </c:catAx>
      <c:valAx>
        <c:axId val="1288268148"/>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a:p>
            </c:rich>
          </c:tx>
          <c:overlay val="0"/>
        </c:title>
        <c:numFmt formatCode="0.00" sourceLinked="1"/>
        <c:majorTickMark val="none"/>
        <c:minorTickMark val="none"/>
        <c:tickLblPos val="nextTo"/>
        <c:spPr>
          <a:ln>
            <a:noFill/>
          </a:ln>
        </c:spPr>
        <c:txPr>
          <a:bodyPr/>
          <a:lstStyle/>
          <a:p>
            <a:pPr lvl="0">
              <a:defRPr sz="900" b="0" i="0">
                <a:solidFill>
                  <a:srgbClr val="000000"/>
                </a:solidFill>
                <a:latin typeface="+mn-lt"/>
              </a:defRPr>
            </a:pPr>
            <a:endParaRPr lang="en-US"/>
          </a:p>
        </c:txPr>
        <c:crossAx val="802144026"/>
        <c:crosses val="autoZero"/>
        <c:crossBetween val="between"/>
      </c:valAx>
      <c:catAx>
        <c:axId val="1408426431"/>
        <c:scaling>
          <c:orientation val="minMax"/>
        </c:scaling>
        <c:delete val="1"/>
        <c:axPos val="b"/>
        <c:numFmt formatCode="General" sourceLinked="1"/>
        <c:majorTickMark val="none"/>
        <c:minorTickMark val="none"/>
        <c:tickLblPos val="nextTo"/>
        <c:crossAx val="1215717272"/>
        <c:crosses val="autoZero"/>
        <c:auto val="1"/>
        <c:lblAlgn val="ctr"/>
        <c:lblOffset val="100"/>
        <c:noMultiLvlLbl val="1"/>
      </c:catAx>
      <c:valAx>
        <c:axId val="1215717272"/>
        <c:scaling>
          <c:orientation val="minMax"/>
        </c:scaling>
        <c:delete val="0"/>
        <c:axPos val="r"/>
        <c:title>
          <c:tx>
            <c:rich>
              <a:bodyPr/>
              <a:lstStyle/>
              <a:p>
                <a:pPr lvl="0">
                  <a:defRPr b="0">
                    <a:solidFill>
                      <a:srgbClr val="000000"/>
                    </a:solidFill>
                    <a:latin typeface="+mn-lt"/>
                  </a:defRPr>
                </a:pPr>
                <a:endParaRPr/>
              </a:p>
            </c:rich>
          </c:tx>
          <c:overlay val="0"/>
        </c:title>
        <c:numFmt formatCode="General" sourceLinked="1"/>
        <c:majorTickMark val="out"/>
        <c:minorTickMark val="none"/>
        <c:tickLblPos val="nextTo"/>
        <c:spPr>
          <a:ln/>
        </c:spPr>
        <c:txPr>
          <a:bodyPr/>
          <a:lstStyle/>
          <a:p>
            <a:pPr lvl="0">
              <a:defRPr sz="900" b="0" i="0">
                <a:solidFill>
                  <a:srgbClr val="000000"/>
                </a:solidFill>
                <a:latin typeface="+mn-lt"/>
              </a:defRPr>
            </a:pPr>
            <a:endParaRPr lang="en-US"/>
          </a:p>
        </c:txPr>
        <c:crossAx val="1408426431"/>
        <c:crosses val="max"/>
        <c:crossBetween val="between"/>
      </c:valAx>
    </c:plotArea>
    <c:legend>
      <c:legendPos val="r"/>
      <c:layout>
        <c:manualLayout>
          <c:xMode val="edge"/>
          <c:yMode val="edge"/>
          <c:x val="0.68239841254782907"/>
          <c:y val="0.25682498286440308"/>
        </c:manualLayout>
      </c:layout>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sz="1400" b="0" i="0">
                <a:solidFill>
                  <a:srgbClr val="757575"/>
                </a:solidFill>
                <a:latin typeface="+mn-lt"/>
              </a:rPr>
              <a:t>Top 3 Sources of FDI Equity Inflows into India (2000–2025)</a:t>
            </a:r>
          </a:p>
        </c:rich>
      </c:tx>
      <c:overlay val="0"/>
    </c:title>
    <c:autoTitleDeleted val="0"/>
    <c:plotArea>
      <c:layout/>
      <c:barChart>
        <c:barDir val="bar"/>
        <c:grouping val="stacked"/>
        <c:varyColors val="1"/>
        <c:ser>
          <c:idx val="0"/>
          <c:order val="0"/>
          <c:tx>
            <c:v>Singapore</c:v>
          </c:tx>
          <c:spPr>
            <a:solidFill>
              <a:schemeClr val="accent1"/>
            </a:solidFill>
            <a:ln cmpd="sng">
              <a:noFill/>
            </a:ln>
          </c:spPr>
          <c:invertIfNegative val="1"/>
          <c:cat>
            <c:numRef>
              <c:f>'India Top 3 FDI Inflows'!$A$4:$A$29</c:f>
              <c:numCache>
                <c:formatCode>General</c:formatCode>
                <c:ptCount val="26"/>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numCache>
            </c:numRef>
          </c:cat>
          <c:val>
            <c:numRef>
              <c:f>'India Top 3 FDI Inflows'!$C$4:$C$29</c:f>
              <c:numCache>
                <c:formatCode>General</c:formatCode>
                <c:ptCount val="26"/>
                <c:pt idx="0">
                  <c:v>116.63</c:v>
                </c:pt>
                <c:pt idx="1">
                  <c:v>35.700000000000003</c:v>
                </c:pt>
                <c:pt idx="2">
                  <c:v>47.13</c:v>
                </c:pt>
                <c:pt idx="3">
                  <c:v>36.53</c:v>
                </c:pt>
                <c:pt idx="4">
                  <c:v>62.07</c:v>
                </c:pt>
                <c:pt idx="5">
                  <c:v>321.48</c:v>
                </c:pt>
                <c:pt idx="6">
                  <c:v>620.66</c:v>
                </c:pt>
                <c:pt idx="7" formatCode="#,##0.00">
                  <c:v>1455.72</c:v>
                </c:pt>
                <c:pt idx="8" formatCode="#,##0.00">
                  <c:v>3763.49</c:v>
                </c:pt>
                <c:pt idx="9" formatCode="#,##0.00">
                  <c:v>3059.54</c:v>
                </c:pt>
                <c:pt idx="10" formatCode="#,##0.00">
                  <c:v>2121.3200000000002</c:v>
                </c:pt>
                <c:pt idx="11" formatCode="#,##0.00">
                  <c:v>4255.09</c:v>
                </c:pt>
                <c:pt idx="12" formatCode="#,##0.00">
                  <c:v>2897.2</c:v>
                </c:pt>
                <c:pt idx="13" formatCode="#,##0.00">
                  <c:v>3874.14</c:v>
                </c:pt>
                <c:pt idx="14" formatCode="#,##0.00">
                  <c:v>7092.38</c:v>
                </c:pt>
                <c:pt idx="15" formatCode="#,##0.00">
                  <c:v>13414.32</c:v>
                </c:pt>
                <c:pt idx="16" formatCode="#,##0.00">
                  <c:v>9822.18</c:v>
                </c:pt>
                <c:pt idx="17" formatCode="#,##0.00">
                  <c:v>10808.82</c:v>
                </c:pt>
                <c:pt idx="18" formatCode="#,##0.00">
                  <c:v>15943.36</c:v>
                </c:pt>
                <c:pt idx="19" formatCode="#,##0.00">
                  <c:v>14904.18</c:v>
                </c:pt>
                <c:pt idx="20" formatCode="#,##0.00">
                  <c:v>18735.439999999999</c:v>
                </c:pt>
                <c:pt idx="21" formatCode="#,##0.00">
                  <c:v>13392</c:v>
                </c:pt>
                <c:pt idx="22" formatCode="#,##0.00">
                  <c:v>17265.57</c:v>
                </c:pt>
                <c:pt idx="23" formatCode="#,##0.00">
                  <c:v>11568.46</c:v>
                </c:pt>
                <c:pt idx="24" formatCode="#,##0.00">
                  <c:v>16310.16</c:v>
                </c:pt>
                <c:pt idx="25" formatCode="#,##0.00">
                  <c:v>20615.52</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0-7257-4BD4-A840-74C00E5383B9}"/>
            </c:ext>
          </c:extLst>
        </c:ser>
        <c:ser>
          <c:idx val="1"/>
          <c:order val="1"/>
          <c:tx>
            <c:v>Mauritius</c:v>
          </c:tx>
          <c:spPr>
            <a:solidFill>
              <a:schemeClr val="accent2"/>
            </a:solidFill>
            <a:ln cmpd="sng">
              <a:noFill/>
            </a:ln>
          </c:spPr>
          <c:invertIfNegative val="1"/>
          <c:cat>
            <c:numRef>
              <c:f>'India Top 3 FDI Inflows'!$A$4:$A$29</c:f>
              <c:numCache>
                <c:formatCode>General</c:formatCode>
                <c:ptCount val="26"/>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numCache>
            </c:numRef>
          </c:cat>
          <c:val>
            <c:numRef>
              <c:f>'India Top 3 FDI Inflows'!$E$4:$E$29</c:f>
              <c:numCache>
                <c:formatCode>#,##0.00</c:formatCode>
                <c:ptCount val="26"/>
                <c:pt idx="0" formatCode="General">
                  <c:v>829.92</c:v>
                </c:pt>
                <c:pt idx="1">
                  <c:v>1667.47</c:v>
                </c:pt>
                <c:pt idx="2">
                  <c:v>1517.6</c:v>
                </c:pt>
                <c:pt idx="3" formatCode="General">
                  <c:v>562.16</c:v>
                </c:pt>
                <c:pt idx="4">
                  <c:v>1003.52</c:v>
                </c:pt>
                <c:pt idx="5">
                  <c:v>2115.19</c:v>
                </c:pt>
                <c:pt idx="6">
                  <c:v>4883.54</c:v>
                </c:pt>
                <c:pt idx="7">
                  <c:v>7711.66</c:v>
                </c:pt>
                <c:pt idx="8">
                  <c:v>14138.01</c:v>
                </c:pt>
                <c:pt idx="9">
                  <c:v>11536.23</c:v>
                </c:pt>
                <c:pt idx="10">
                  <c:v>7207.85</c:v>
                </c:pt>
                <c:pt idx="11">
                  <c:v>9485.16</c:v>
                </c:pt>
                <c:pt idx="12">
                  <c:v>9150.64</c:v>
                </c:pt>
                <c:pt idx="13">
                  <c:v>5722.39</c:v>
                </c:pt>
                <c:pt idx="14">
                  <c:v>7073.12</c:v>
                </c:pt>
                <c:pt idx="15">
                  <c:v>8049.56</c:v>
                </c:pt>
                <c:pt idx="16">
                  <c:v>15069.46</c:v>
                </c:pt>
                <c:pt idx="17">
                  <c:v>16256.73</c:v>
                </c:pt>
                <c:pt idx="18">
                  <c:v>8615.61</c:v>
                </c:pt>
                <c:pt idx="19">
                  <c:v>9516.61</c:v>
                </c:pt>
                <c:pt idx="20">
                  <c:v>4260.71</c:v>
                </c:pt>
                <c:pt idx="21">
                  <c:v>8744.23</c:v>
                </c:pt>
                <c:pt idx="22">
                  <c:v>7543.24</c:v>
                </c:pt>
                <c:pt idx="23">
                  <c:v>8444.6200000000008</c:v>
                </c:pt>
                <c:pt idx="24">
                  <c:v>7892.58</c:v>
                </c:pt>
                <c:pt idx="25">
                  <c:v>6210.3</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1-7257-4BD4-A840-74C00E5383B9}"/>
            </c:ext>
          </c:extLst>
        </c:ser>
        <c:ser>
          <c:idx val="2"/>
          <c:order val="2"/>
          <c:tx>
            <c:v>USA</c:v>
          </c:tx>
          <c:spPr>
            <a:solidFill>
              <a:schemeClr val="accent3"/>
            </a:solidFill>
            <a:ln cmpd="sng">
              <a:noFill/>
            </a:ln>
          </c:spPr>
          <c:invertIfNegative val="1"/>
          <c:cat>
            <c:numRef>
              <c:f>'India Top 3 FDI Inflows'!$A$4:$A$29</c:f>
              <c:numCache>
                <c:formatCode>General</c:formatCode>
                <c:ptCount val="26"/>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numCache>
            </c:numRef>
          </c:cat>
          <c:val>
            <c:numRef>
              <c:f>'India Top 3 FDI Inflows'!$G$4:$G$29</c:f>
              <c:numCache>
                <c:formatCode>General</c:formatCode>
                <c:ptCount val="26"/>
                <c:pt idx="0">
                  <c:v>418.44</c:v>
                </c:pt>
                <c:pt idx="1">
                  <c:v>367.59</c:v>
                </c:pt>
                <c:pt idx="2">
                  <c:v>282.75</c:v>
                </c:pt>
                <c:pt idx="3">
                  <c:v>413.93</c:v>
                </c:pt>
                <c:pt idx="4">
                  <c:v>647.65</c:v>
                </c:pt>
                <c:pt idx="5">
                  <c:v>472.15</c:v>
                </c:pt>
                <c:pt idx="6">
                  <c:v>732.34</c:v>
                </c:pt>
                <c:pt idx="7">
                  <c:v>875.5</c:v>
                </c:pt>
                <c:pt idx="8" formatCode="#,##0.00">
                  <c:v>1797.18</c:v>
                </c:pt>
                <c:pt idx="9" formatCode="#,##0.00">
                  <c:v>2051.0100000000002</c:v>
                </c:pt>
                <c:pt idx="10" formatCode="#,##0.00">
                  <c:v>1414.19</c:v>
                </c:pt>
                <c:pt idx="11" formatCode="#,##0.00">
                  <c:v>1000.08</c:v>
                </c:pt>
                <c:pt idx="12">
                  <c:v>639.09</c:v>
                </c:pt>
                <c:pt idx="13">
                  <c:v>771.9</c:v>
                </c:pt>
                <c:pt idx="14" formatCode="#,##0.00">
                  <c:v>1663.45</c:v>
                </c:pt>
                <c:pt idx="15" formatCode="#,##0.00">
                  <c:v>3855.07</c:v>
                </c:pt>
                <c:pt idx="16" formatCode="#,##0.00">
                  <c:v>2621.2199999999998</c:v>
                </c:pt>
                <c:pt idx="17" formatCode="#,##0.00">
                  <c:v>2183.16</c:v>
                </c:pt>
                <c:pt idx="18" formatCode="#,##0.00">
                  <c:v>2692.58</c:v>
                </c:pt>
                <c:pt idx="19" formatCode="#,##0.00">
                  <c:v>3589.88</c:v>
                </c:pt>
                <c:pt idx="20" formatCode="#,##0.00">
                  <c:v>14257.8</c:v>
                </c:pt>
                <c:pt idx="21" formatCode="#,##0.00">
                  <c:v>8517.81</c:v>
                </c:pt>
                <c:pt idx="22" formatCode="#,##0.00">
                  <c:v>7983.22</c:v>
                </c:pt>
                <c:pt idx="23" formatCode="#,##0.00">
                  <c:v>3922.92</c:v>
                </c:pt>
                <c:pt idx="24" formatCode="#,##0.00">
                  <c:v>5900.74</c:v>
                </c:pt>
                <c:pt idx="25" formatCode="#,##0.00">
                  <c:v>9527.2900000000009</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2-7257-4BD4-A840-74C00E5383B9}"/>
            </c:ext>
          </c:extLst>
        </c:ser>
        <c:dLbls>
          <c:showLegendKey val="0"/>
          <c:showVal val="0"/>
          <c:showCatName val="0"/>
          <c:showSerName val="0"/>
          <c:showPercent val="0"/>
          <c:showBubbleSize val="0"/>
        </c:dLbls>
        <c:gapWidth val="150"/>
        <c:overlap val="100"/>
        <c:axId val="1919045444"/>
        <c:axId val="1948775362"/>
      </c:barChart>
      <c:catAx>
        <c:axId val="1919045444"/>
        <c:scaling>
          <c:orientation val="maxMin"/>
        </c:scaling>
        <c:delete val="0"/>
        <c:axPos val="l"/>
        <c:title>
          <c:tx>
            <c:rich>
              <a:bodyPr/>
              <a:lstStyle/>
              <a:p>
                <a:pPr lvl="0">
                  <a:defRPr sz="1000" b="1" i="0">
                    <a:solidFill>
                      <a:srgbClr val="000000"/>
                    </a:solidFill>
                    <a:latin typeface="+mn-lt"/>
                  </a:defRPr>
                </a:pPr>
                <a:r>
                  <a:rPr sz="1000" b="1" i="0">
                    <a:solidFill>
                      <a:srgbClr val="000000"/>
                    </a:solidFill>
                    <a:latin typeface="+mn-lt"/>
                  </a:rPr>
                  <a:t>Years</a:t>
                </a:r>
              </a:p>
            </c:rich>
          </c:tx>
          <c:overlay val="0"/>
        </c:title>
        <c:numFmt formatCode="General" sourceLinked="1"/>
        <c:majorTickMark val="none"/>
        <c:minorTickMark val="none"/>
        <c:tickLblPos val="nextTo"/>
        <c:spPr>
          <a:ln>
            <a:noFill/>
          </a:ln>
        </c:spPr>
        <c:txPr>
          <a:bodyPr/>
          <a:lstStyle/>
          <a:p>
            <a:pPr lvl="0">
              <a:defRPr sz="900" b="0" i="0">
                <a:solidFill>
                  <a:srgbClr val="000000"/>
                </a:solidFill>
                <a:latin typeface="+mn-lt"/>
              </a:defRPr>
            </a:pPr>
            <a:endParaRPr lang="en-US"/>
          </a:p>
        </c:txPr>
        <c:crossAx val="1948775362"/>
        <c:crosses val="autoZero"/>
        <c:auto val="1"/>
        <c:lblAlgn val="ctr"/>
        <c:lblOffset val="100"/>
        <c:noMultiLvlLbl val="1"/>
      </c:catAx>
      <c:valAx>
        <c:axId val="1948775362"/>
        <c:scaling>
          <c:orientation val="minMax"/>
        </c:scaling>
        <c:delete val="0"/>
        <c:axPos val="b"/>
        <c:majorGridlines>
          <c:spPr>
            <a:ln>
              <a:solidFill>
                <a:srgbClr val="B7B7B7"/>
              </a:solidFill>
            </a:ln>
          </c:spPr>
        </c:majorGridlines>
        <c:title>
          <c:tx>
            <c:rich>
              <a:bodyPr/>
              <a:lstStyle/>
              <a:p>
                <a:pPr lvl="0">
                  <a:defRPr sz="1000" b="0" i="0">
                    <a:solidFill>
                      <a:srgbClr val="000000"/>
                    </a:solidFill>
                    <a:latin typeface="+mn-lt"/>
                  </a:defRPr>
                </a:pPr>
                <a:r>
                  <a:rPr sz="1000" b="0" i="0">
                    <a:solidFill>
                      <a:srgbClr val="000000"/>
                    </a:solidFill>
                    <a:latin typeface="+mn-lt"/>
                  </a:rPr>
                  <a:t>USD in Million </a:t>
                </a:r>
              </a:p>
            </c:rich>
          </c:tx>
          <c:overlay val="0"/>
        </c:title>
        <c:numFmt formatCode="General" sourceLinked="1"/>
        <c:majorTickMark val="none"/>
        <c:minorTickMark val="none"/>
        <c:tickLblPos val="nextTo"/>
        <c:spPr>
          <a:ln>
            <a:noFill/>
          </a:ln>
        </c:spPr>
        <c:txPr>
          <a:bodyPr/>
          <a:lstStyle/>
          <a:p>
            <a:pPr lvl="0">
              <a:defRPr sz="900" b="0" i="0">
                <a:solidFill>
                  <a:srgbClr val="000000"/>
                </a:solidFill>
                <a:latin typeface="+mn-lt"/>
              </a:defRPr>
            </a:pPr>
            <a:endParaRPr lang="en-US"/>
          </a:p>
        </c:txPr>
        <c:crossAx val="1919045444"/>
        <c:crosses val="max"/>
        <c:crossBetween val="between"/>
      </c:valAx>
    </c:plotArea>
    <c:legend>
      <c:legendPos val="b"/>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sz="1400" b="0" i="0">
                <a:solidFill>
                  <a:srgbClr val="757575"/>
                </a:solidFill>
                <a:latin typeface="+mn-lt"/>
              </a:rPr>
              <a:t>India–Singapore Trade and FDI Relationship (2000–2023)</a:t>
            </a:r>
          </a:p>
        </c:rich>
      </c:tx>
      <c:overlay val="0"/>
    </c:title>
    <c:autoTitleDeleted val="0"/>
    <c:plotArea>
      <c:layout/>
      <c:lineChart>
        <c:grouping val="standard"/>
        <c:varyColors val="1"/>
        <c:ser>
          <c:idx val="0"/>
          <c:order val="0"/>
          <c:tx>
            <c:v>Exports to Singapore
(US$ million)</c:v>
          </c:tx>
          <c:spPr>
            <a:ln w="28575" cmpd="sng">
              <a:solidFill>
                <a:schemeClr val="accent2"/>
              </a:solidFill>
            </a:ln>
          </c:spPr>
          <c:marker>
            <c:symbol val="none"/>
          </c:marker>
          <c:cat>
            <c:numRef>
              <c:f>'India-SG Import, Export &amp; FDI'!$A$2:$A$25</c:f>
              <c:numCache>
                <c:formatCode>General</c:formatCode>
                <c:ptCount val="24"/>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numCache>
            </c:numRef>
          </c:cat>
          <c:val>
            <c:numRef>
              <c:f>'India-SG Import, Export &amp; FDI'!$F$2:$F$25</c:f>
              <c:numCache>
                <c:formatCode>General</c:formatCode>
                <c:ptCount val="24"/>
                <c:pt idx="0">
                  <c:v>787.04812000000004</c:v>
                </c:pt>
                <c:pt idx="1">
                  <c:v>926.00160199999993</c:v>
                </c:pt>
                <c:pt idx="2">
                  <c:v>1380.3937559999999</c:v>
                </c:pt>
                <c:pt idx="3">
                  <c:v>1701.905229</c:v>
                </c:pt>
                <c:pt idx="4">
                  <c:v>3416.4593990000003</c:v>
                </c:pt>
                <c:pt idx="5">
                  <c:v>5427.5547240000005</c:v>
                </c:pt>
                <c:pt idx="6">
                  <c:v>6127.2499150000003</c:v>
                </c:pt>
                <c:pt idx="7">
                  <c:v>6390.0679650000002</c:v>
                </c:pt>
                <c:pt idx="8">
                  <c:v>8853.8996079999997</c:v>
                </c:pt>
                <c:pt idx="9">
                  <c:v>6827.539205</c:v>
                </c:pt>
                <c:pt idx="10">
                  <c:v>9066.2300799999994</c:v>
                </c:pt>
                <c:pt idx="11">
                  <c:v>15627.481315999999</c:v>
                </c:pt>
                <c:pt idx="12">
                  <c:v>13552.71081</c:v>
                </c:pt>
                <c:pt idx="13">
                  <c:v>14189.021907</c:v>
                </c:pt>
                <c:pt idx="14">
                  <c:v>9676.6160240000008</c:v>
                </c:pt>
                <c:pt idx="15">
                  <c:v>7805.0839930000002</c:v>
                </c:pt>
                <c:pt idx="16">
                  <c:v>7354.8551459999999</c:v>
                </c:pt>
                <c:pt idx="17">
                  <c:v>11559.9406680704</c:v>
                </c:pt>
                <c:pt idx="18">
                  <c:v>10450.884382922</c:v>
                </c:pt>
                <c:pt idx="19">
                  <c:v>10738.6886032972</c:v>
                </c:pt>
                <c:pt idx="20">
                  <c:v>8295.02016616131</c:v>
                </c:pt>
                <c:pt idx="21">
                  <c:v>10650.086591573401</c:v>
                </c:pt>
                <c:pt idx="22">
                  <c:v>11830.795241580998</c:v>
                </c:pt>
                <c:pt idx="23">
                  <c:v>12035.71927894</c:v>
                </c:pt>
              </c:numCache>
            </c:numRef>
          </c:val>
          <c:smooth val="0"/>
          <c:extLst>
            <c:ext xmlns:c16="http://schemas.microsoft.com/office/drawing/2014/chart" uri="{C3380CC4-5D6E-409C-BE32-E72D297353CC}">
              <c16:uniqueId val="{00000000-350D-4E3D-8827-B5BAD4723B50}"/>
            </c:ext>
          </c:extLst>
        </c:ser>
        <c:ser>
          <c:idx val="1"/>
          <c:order val="1"/>
          <c:tx>
            <c:v>Imports from Singapore 
(US$ million)</c:v>
          </c:tx>
          <c:spPr>
            <a:ln w="28575" cmpd="sng">
              <a:solidFill>
                <a:schemeClr val="accent3"/>
              </a:solidFill>
            </a:ln>
          </c:spPr>
          <c:marker>
            <c:symbol val="none"/>
          </c:marker>
          <c:cat>
            <c:numRef>
              <c:f>'India-SG Import, Export &amp; FDI'!$A$2:$A$25</c:f>
              <c:numCache>
                <c:formatCode>General</c:formatCode>
                <c:ptCount val="24"/>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numCache>
            </c:numRef>
          </c:cat>
          <c:val>
            <c:numRef>
              <c:f>'India-SG Import, Export &amp; FDI'!$H$2:$H$25</c:f>
              <c:numCache>
                <c:formatCode>General</c:formatCode>
                <c:ptCount val="24"/>
                <c:pt idx="0">
                  <c:v>1401.5597890000001</c:v>
                </c:pt>
                <c:pt idx="1">
                  <c:v>1354.741831</c:v>
                </c:pt>
                <c:pt idx="2">
                  <c:v>1333.6909539999999</c:v>
                </c:pt>
                <c:pt idx="3">
                  <c:v>1867.0286540000002</c:v>
                </c:pt>
                <c:pt idx="4">
                  <c:v>2492.1549100000002</c:v>
                </c:pt>
                <c:pt idx="5">
                  <c:v>3159.4158629999997</c:v>
                </c:pt>
                <c:pt idx="6">
                  <c:v>5184.5618679999998</c:v>
                </c:pt>
                <c:pt idx="7">
                  <c:v>6901.607086</c:v>
                </c:pt>
                <c:pt idx="8">
                  <c:v>8304.7506890000004</c:v>
                </c:pt>
                <c:pt idx="9">
                  <c:v>6141.6342340000001</c:v>
                </c:pt>
                <c:pt idx="10">
                  <c:v>7263.1362429999999</c:v>
                </c:pt>
                <c:pt idx="11">
                  <c:v>8155.3020390000001</c:v>
                </c:pt>
                <c:pt idx="12">
                  <c:v>7797.3272219999999</c:v>
                </c:pt>
                <c:pt idx="13">
                  <c:v>7026.6365140000007</c:v>
                </c:pt>
                <c:pt idx="14">
                  <c:v>7069.4166660000001</c:v>
                </c:pt>
                <c:pt idx="15">
                  <c:v>7395.997582</c:v>
                </c:pt>
                <c:pt idx="16">
                  <c:v>6719.4792450000004</c:v>
                </c:pt>
                <c:pt idx="17">
                  <c:v>7235.4162966757904</c:v>
                </c:pt>
                <c:pt idx="18">
                  <c:v>14436.507548189</c:v>
                </c:pt>
                <c:pt idx="19">
                  <c:v>14893.8918553071</c:v>
                </c:pt>
                <c:pt idx="20">
                  <c:v>12306.746977528199</c:v>
                </c:pt>
                <c:pt idx="21">
                  <c:v>18201.531477632801</c:v>
                </c:pt>
                <c:pt idx="22">
                  <c:v>24418.725272813001</c:v>
                </c:pt>
                <c:pt idx="23">
                  <c:v>6934.7884869769996</c:v>
                </c:pt>
              </c:numCache>
            </c:numRef>
          </c:val>
          <c:smooth val="0"/>
          <c:extLst>
            <c:ext xmlns:c16="http://schemas.microsoft.com/office/drawing/2014/chart" uri="{C3380CC4-5D6E-409C-BE32-E72D297353CC}">
              <c16:uniqueId val="{00000001-350D-4E3D-8827-B5BAD4723B50}"/>
            </c:ext>
          </c:extLst>
        </c:ser>
        <c:dLbls>
          <c:showLegendKey val="0"/>
          <c:showVal val="0"/>
          <c:showCatName val="0"/>
          <c:showSerName val="0"/>
          <c:showPercent val="0"/>
          <c:showBubbleSize val="0"/>
        </c:dLbls>
        <c:marker val="1"/>
        <c:smooth val="0"/>
        <c:axId val="971119205"/>
        <c:axId val="1075836054"/>
      </c:lineChart>
      <c:lineChart>
        <c:grouping val="standard"/>
        <c:varyColors val="0"/>
        <c:ser>
          <c:idx val="2"/>
          <c:order val="2"/>
          <c:tx>
            <c:v>FDI Equity Inflow from Singapore (US$ million)</c:v>
          </c:tx>
          <c:spPr>
            <a:ln w="28575" cmpd="sng">
              <a:solidFill>
                <a:schemeClr val="accent4"/>
              </a:solidFill>
            </a:ln>
          </c:spPr>
          <c:marker>
            <c:symbol val="none"/>
          </c:marker>
          <c:cat>
            <c:numRef>
              <c:f>'India-SG Import, Export &amp; FDI'!$A$2:$A$25</c:f>
              <c:numCache>
                <c:formatCode>General</c:formatCode>
                <c:ptCount val="24"/>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numCache>
            </c:numRef>
          </c:cat>
          <c:val>
            <c:numRef>
              <c:f>'India-SG Import, Export &amp; FDI'!$I$3:$I$25</c:f>
              <c:numCache>
                <c:formatCode>0.00</c:formatCode>
                <c:ptCount val="23"/>
                <c:pt idx="0">
                  <c:v>35.700000000000003</c:v>
                </c:pt>
                <c:pt idx="1">
                  <c:v>47.13</c:v>
                </c:pt>
                <c:pt idx="2">
                  <c:v>36.53</c:v>
                </c:pt>
                <c:pt idx="3">
                  <c:v>62.07</c:v>
                </c:pt>
                <c:pt idx="4">
                  <c:v>321.48</c:v>
                </c:pt>
                <c:pt idx="5">
                  <c:v>620.66</c:v>
                </c:pt>
                <c:pt idx="6" formatCode="#,##0.00">
                  <c:v>1455.72</c:v>
                </c:pt>
                <c:pt idx="7" formatCode="#,##0.00">
                  <c:v>3763.49</c:v>
                </c:pt>
                <c:pt idx="8" formatCode="#,##0.00">
                  <c:v>3059.54</c:v>
                </c:pt>
                <c:pt idx="9" formatCode="#,##0.00">
                  <c:v>2121.3200000000002</c:v>
                </c:pt>
                <c:pt idx="10" formatCode="#,##0.00">
                  <c:v>4255.09</c:v>
                </c:pt>
                <c:pt idx="11" formatCode="#,##0.00">
                  <c:v>2897.2</c:v>
                </c:pt>
                <c:pt idx="12" formatCode="#,##0.00">
                  <c:v>3874.14</c:v>
                </c:pt>
                <c:pt idx="13" formatCode="#,##0.00">
                  <c:v>7092.38</c:v>
                </c:pt>
                <c:pt idx="14" formatCode="#,##0.00">
                  <c:v>13414.32</c:v>
                </c:pt>
                <c:pt idx="15" formatCode="#,##0.00">
                  <c:v>9822.18</c:v>
                </c:pt>
                <c:pt idx="16" formatCode="#,##0.00">
                  <c:v>10808.82</c:v>
                </c:pt>
                <c:pt idx="17" formatCode="#,##0.00">
                  <c:v>15943.36</c:v>
                </c:pt>
                <c:pt idx="18" formatCode="#,##0.00">
                  <c:v>14904.18</c:v>
                </c:pt>
                <c:pt idx="19" formatCode="#,##0.00">
                  <c:v>18735.439999999999</c:v>
                </c:pt>
                <c:pt idx="20" formatCode="#,##0.00">
                  <c:v>13392</c:v>
                </c:pt>
                <c:pt idx="21" formatCode="#,##0.00">
                  <c:v>17265.57</c:v>
                </c:pt>
                <c:pt idx="22" formatCode="#,##0.00">
                  <c:v>11568.46</c:v>
                </c:pt>
              </c:numCache>
            </c:numRef>
          </c:val>
          <c:smooth val="0"/>
          <c:extLst>
            <c:ext xmlns:c16="http://schemas.microsoft.com/office/drawing/2014/chart" uri="{C3380CC4-5D6E-409C-BE32-E72D297353CC}">
              <c16:uniqueId val="{00000002-350D-4E3D-8827-B5BAD4723B50}"/>
            </c:ext>
          </c:extLst>
        </c:ser>
        <c:dLbls>
          <c:showLegendKey val="0"/>
          <c:showVal val="0"/>
          <c:showCatName val="0"/>
          <c:showSerName val="0"/>
          <c:showPercent val="0"/>
          <c:showBubbleSize val="0"/>
        </c:dLbls>
        <c:marker val="1"/>
        <c:smooth val="0"/>
        <c:axId val="1163032409"/>
        <c:axId val="1209386099"/>
      </c:lineChart>
      <c:catAx>
        <c:axId val="971119205"/>
        <c:scaling>
          <c:orientation val="minMax"/>
        </c:scaling>
        <c:delete val="0"/>
        <c:axPos val="b"/>
        <c:title>
          <c:tx>
            <c:rich>
              <a:bodyPr/>
              <a:lstStyle/>
              <a:p>
                <a:pPr lvl="0">
                  <a:defRPr sz="1000" b="0" i="0">
                    <a:solidFill>
                      <a:srgbClr val="000000"/>
                    </a:solidFill>
                    <a:latin typeface="+mn-lt"/>
                  </a:defRPr>
                </a:pPr>
                <a:r>
                  <a:rPr sz="1000" b="0" i="0">
                    <a:solidFill>
                      <a:srgbClr val="000000"/>
                    </a:solidFill>
                    <a:latin typeface="+mn-lt"/>
                  </a:rPr>
                  <a:t>Year</a:t>
                </a:r>
              </a:p>
            </c:rich>
          </c:tx>
          <c:overlay val="0"/>
        </c:title>
        <c:numFmt formatCode="General" sourceLinked="1"/>
        <c:majorTickMark val="none"/>
        <c:minorTickMark val="none"/>
        <c:tickLblPos val="nextTo"/>
        <c:spPr>
          <a:ln>
            <a:noFill/>
          </a:ln>
        </c:spPr>
        <c:txPr>
          <a:bodyPr/>
          <a:lstStyle/>
          <a:p>
            <a:pPr lvl="0">
              <a:defRPr sz="900" b="0" i="0">
                <a:solidFill>
                  <a:srgbClr val="000000"/>
                </a:solidFill>
                <a:latin typeface="+mn-lt"/>
              </a:defRPr>
            </a:pPr>
            <a:endParaRPr lang="en-US"/>
          </a:p>
        </c:txPr>
        <c:crossAx val="1075836054"/>
        <c:crosses val="autoZero"/>
        <c:auto val="1"/>
        <c:lblAlgn val="ctr"/>
        <c:lblOffset val="100"/>
        <c:noMultiLvlLbl val="1"/>
      </c:catAx>
      <c:valAx>
        <c:axId val="1075836054"/>
        <c:scaling>
          <c:orientation val="minMax"/>
        </c:scaling>
        <c:delete val="0"/>
        <c:axPos val="l"/>
        <c:majorGridlines>
          <c:spPr>
            <a:ln>
              <a:solidFill>
                <a:srgbClr val="B7B7B7"/>
              </a:solidFill>
            </a:ln>
          </c:spPr>
        </c:majorGridlines>
        <c:title>
          <c:tx>
            <c:rich>
              <a:bodyPr/>
              <a:lstStyle/>
              <a:p>
                <a:pPr lvl="0">
                  <a:defRPr sz="1000" b="0" i="0">
                    <a:solidFill>
                      <a:srgbClr val="000000"/>
                    </a:solidFill>
                    <a:latin typeface="+mn-lt"/>
                  </a:defRPr>
                </a:pPr>
                <a:r>
                  <a:rPr sz="1000" b="0" i="0">
                    <a:solidFill>
                      <a:srgbClr val="000000"/>
                    </a:solidFill>
                    <a:latin typeface="+mn-lt"/>
                  </a:rPr>
                  <a:t>Trade (US$ million)</a:t>
                </a:r>
              </a:p>
            </c:rich>
          </c:tx>
          <c:overlay val="0"/>
        </c:title>
        <c:numFmt formatCode="General" sourceLinked="1"/>
        <c:majorTickMark val="none"/>
        <c:minorTickMark val="none"/>
        <c:tickLblPos val="nextTo"/>
        <c:spPr>
          <a:ln>
            <a:noFill/>
          </a:ln>
        </c:spPr>
        <c:txPr>
          <a:bodyPr/>
          <a:lstStyle/>
          <a:p>
            <a:pPr lvl="0">
              <a:defRPr sz="900" b="0" i="0">
                <a:solidFill>
                  <a:srgbClr val="000000"/>
                </a:solidFill>
                <a:latin typeface="+mn-lt"/>
              </a:defRPr>
            </a:pPr>
            <a:endParaRPr lang="en-US"/>
          </a:p>
        </c:txPr>
        <c:crossAx val="971119205"/>
        <c:crosses val="autoZero"/>
        <c:crossBetween val="between"/>
      </c:valAx>
      <c:catAx>
        <c:axId val="1163032409"/>
        <c:scaling>
          <c:orientation val="minMax"/>
        </c:scaling>
        <c:delete val="1"/>
        <c:axPos val="b"/>
        <c:numFmt formatCode="General" sourceLinked="1"/>
        <c:majorTickMark val="none"/>
        <c:minorTickMark val="none"/>
        <c:tickLblPos val="nextTo"/>
        <c:crossAx val="1209386099"/>
        <c:crosses val="autoZero"/>
        <c:auto val="1"/>
        <c:lblAlgn val="ctr"/>
        <c:lblOffset val="100"/>
        <c:noMultiLvlLbl val="1"/>
      </c:catAx>
      <c:valAx>
        <c:axId val="1209386099"/>
        <c:scaling>
          <c:orientation val="minMax"/>
        </c:scaling>
        <c:delete val="0"/>
        <c:axPos val="r"/>
        <c:title>
          <c:tx>
            <c:rich>
              <a:bodyPr/>
              <a:lstStyle/>
              <a:p>
                <a:pPr lvl="0">
                  <a:defRPr sz="1000" b="0" i="0">
                    <a:solidFill>
                      <a:srgbClr val="000000"/>
                    </a:solidFill>
                    <a:latin typeface="+mn-lt"/>
                  </a:defRPr>
                </a:pPr>
                <a:r>
                  <a:rPr sz="1000" b="0" i="0">
                    <a:solidFill>
                      <a:srgbClr val="000000"/>
                    </a:solidFill>
                    <a:latin typeface="+mn-lt"/>
                  </a:rPr>
                  <a:t>FDI Equity Inflows (US$ million)</a:t>
                </a:r>
              </a:p>
            </c:rich>
          </c:tx>
          <c:overlay val="0"/>
        </c:title>
        <c:numFmt formatCode="0.00" sourceLinked="1"/>
        <c:majorTickMark val="out"/>
        <c:minorTickMark val="none"/>
        <c:tickLblPos val="nextTo"/>
        <c:spPr>
          <a:ln/>
        </c:spPr>
        <c:txPr>
          <a:bodyPr/>
          <a:lstStyle/>
          <a:p>
            <a:pPr lvl="0">
              <a:defRPr sz="900" b="0" i="0">
                <a:solidFill>
                  <a:srgbClr val="000000"/>
                </a:solidFill>
                <a:latin typeface="+mn-lt"/>
              </a:defRPr>
            </a:pPr>
            <a:endParaRPr lang="en-US"/>
          </a:p>
        </c:txPr>
        <c:crossAx val="1163032409"/>
        <c:crosses val="max"/>
        <c:crossBetween val="between"/>
      </c:valAx>
    </c:plotArea>
    <c:legend>
      <c:legendPos val="b"/>
      <c:overlay val="0"/>
      <c:txPr>
        <a:bodyPr/>
        <a:lstStyle/>
        <a:p>
          <a:pPr lvl="0">
            <a:defRPr sz="12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8" Type="http://schemas.openxmlformats.org/officeDocument/2006/relationships/image" Target="../media/image1.png"/><Relationship Id="rId3" Type="http://schemas.openxmlformats.org/officeDocument/2006/relationships/chart" Target="../charts/chart5.xml"/><Relationship Id="rId7" Type="http://schemas.openxmlformats.org/officeDocument/2006/relationships/chart" Target="../charts/chart9.xml"/><Relationship Id="rId2" Type="http://schemas.openxmlformats.org/officeDocument/2006/relationships/chart" Target="../charts/chart4.xml"/><Relationship Id="rId1" Type="http://schemas.openxmlformats.org/officeDocument/2006/relationships/chart" Target="../charts/chart3.xml"/><Relationship Id="rId6" Type="http://schemas.openxmlformats.org/officeDocument/2006/relationships/chart" Target="../charts/chart8.xml"/><Relationship Id="rId5" Type="http://schemas.openxmlformats.org/officeDocument/2006/relationships/chart" Target="../charts/chart7.xml"/><Relationship Id="rId4" Type="http://schemas.openxmlformats.org/officeDocument/2006/relationships/chart" Target="../charts/chart6.xml"/><Relationship Id="rId9"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6</xdr:col>
      <xdr:colOff>342900</xdr:colOff>
      <xdr:row>33</xdr:row>
      <xdr:rowOff>152400</xdr:rowOff>
    </xdr:from>
    <xdr:ext cx="8934450" cy="2962275"/>
    <xdr:graphicFrame macro="">
      <xdr:nvGraphicFramePr>
        <xdr:cNvPr id="1659657235" name="Chart 1">
          <a:extLst>
            <a:ext uri="{FF2B5EF4-FFF2-40B4-BE49-F238E27FC236}">
              <a16:creationId xmlns:a16="http://schemas.microsoft.com/office/drawing/2014/main" id="{00000000-0008-0000-0200-0000135CEC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dr:oneCellAnchor>
    <xdr:from>
      <xdr:col>7</xdr:col>
      <xdr:colOff>742950</xdr:colOff>
      <xdr:row>4</xdr:row>
      <xdr:rowOff>123825</xdr:rowOff>
    </xdr:from>
    <xdr:ext cx="6753225" cy="3457575"/>
    <xdr:graphicFrame macro="">
      <xdr:nvGraphicFramePr>
        <xdr:cNvPr id="1710396448" name="Chart 2">
          <a:extLst>
            <a:ext uri="{FF2B5EF4-FFF2-40B4-BE49-F238E27FC236}">
              <a16:creationId xmlns:a16="http://schemas.microsoft.com/office/drawing/2014/main" id="{00000000-0008-0000-0400-00002094F2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dr:oneCellAnchor>
    <xdr:from>
      <xdr:col>0</xdr:col>
      <xdr:colOff>638175</xdr:colOff>
      <xdr:row>1</xdr:row>
      <xdr:rowOff>133350</xdr:rowOff>
    </xdr:from>
    <xdr:ext cx="7724775" cy="3762375"/>
    <xdr:graphicFrame macro="">
      <xdr:nvGraphicFramePr>
        <xdr:cNvPr id="1776339137" name="Chart 3">
          <a:extLst>
            <a:ext uri="{FF2B5EF4-FFF2-40B4-BE49-F238E27FC236}">
              <a16:creationId xmlns:a16="http://schemas.microsoft.com/office/drawing/2014/main" id="{00000000-0008-0000-0800-0000C1C8E0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11</xdr:col>
      <xdr:colOff>85725</xdr:colOff>
      <xdr:row>1</xdr:row>
      <xdr:rowOff>104775</xdr:rowOff>
    </xdr:from>
    <xdr:ext cx="8020050" cy="4724400"/>
    <xdr:graphicFrame macro="">
      <xdr:nvGraphicFramePr>
        <xdr:cNvPr id="103033172" name="Chart 4">
          <a:extLst>
            <a:ext uri="{FF2B5EF4-FFF2-40B4-BE49-F238E27FC236}">
              <a16:creationId xmlns:a16="http://schemas.microsoft.com/office/drawing/2014/main" id="{00000000-0008-0000-0800-0000542924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8</xdr:col>
      <xdr:colOff>828675</xdr:colOff>
      <xdr:row>27</xdr:row>
      <xdr:rowOff>38100</xdr:rowOff>
    </xdr:from>
    <xdr:ext cx="8963025" cy="3476625"/>
    <xdr:graphicFrame macro="">
      <xdr:nvGraphicFramePr>
        <xdr:cNvPr id="919577224" name="Chart 5">
          <a:extLst>
            <a:ext uri="{FF2B5EF4-FFF2-40B4-BE49-F238E27FC236}">
              <a16:creationId xmlns:a16="http://schemas.microsoft.com/office/drawing/2014/main" id="{00000000-0008-0000-0800-000088A2CF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8</xdr:col>
      <xdr:colOff>447675</xdr:colOff>
      <xdr:row>69</xdr:row>
      <xdr:rowOff>66675</xdr:rowOff>
    </xdr:from>
    <xdr:ext cx="9467850" cy="2886075"/>
    <xdr:graphicFrame macro="">
      <xdr:nvGraphicFramePr>
        <xdr:cNvPr id="1744424094" name="Chart 6" title="Chart">
          <a:extLst>
            <a:ext uri="{FF2B5EF4-FFF2-40B4-BE49-F238E27FC236}">
              <a16:creationId xmlns:a16="http://schemas.microsoft.com/office/drawing/2014/main" id="{00000000-0008-0000-0800-00009ECCF9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oneCellAnchor>
    <xdr:from>
      <xdr:col>11</xdr:col>
      <xdr:colOff>257175</xdr:colOff>
      <xdr:row>47</xdr:row>
      <xdr:rowOff>171450</xdr:rowOff>
    </xdr:from>
    <xdr:ext cx="9096375" cy="3133725"/>
    <xdr:graphicFrame macro="">
      <xdr:nvGraphicFramePr>
        <xdr:cNvPr id="533590985" name="Chart 7">
          <a:extLst>
            <a:ext uri="{FF2B5EF4-FFF2-40B4-BE49-F238E27FC236}">
              <a16:creationId xmlns:a16="http://schemas.microsoft.com/office/drawing/2014/main" id="{00000000-0008-0000-0800-0000C9F3CD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fLocksWithSheet="0"/>
  </xdr:oneCellAnchor>
  <xdr:oneCellAnchor>
    <xdr:from>
      <xdr:col>1</xdr:col>
      <xdr:colOff>190500</xdr:colOff>
      <xdr:row>26</xdr:row>
      <xdr:rowOff>171450</xdr:rowOff>
    </xdr:from>
    <xdr:ext cx="6800850" cy="3476625"/>
    <xdr:graphicFrame macro="">
      <xdr:nvGraphicFramePr>
        <xdr:cNvPr id="544361844" name="Chart 8">
          <a:extLst>
            <a:ext uri="{FF2B5EF4-FFF2-40B4-BE49-F238E27FC236}">
              <a16:creationId xmlns:a16="http://schemas.microsoft.com/office/drawing/2014/main" id="{00000000-0008-0000-0800-0000744D72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fLocksWithSheet="0"/>
  </xdr:oneCellAnchor>
  <xdr:oneCellAnchor>
    <xdr:from>
      <xdr:col>0</xdr:col>
      <xdr:colOff>600075</xdr:colOff>
      <xdr:row>47</xdr:row>
      <xdr:rowOff>9525</xdr:rowOff>
    </xdr:from>
    <xdr:ext cx="8534400" cy="4048125"/>
    <xdr:graphicFrame macro="">
      <xdr:nvGraphicFramePr>
        <xdr:cNvPr id="1790763737" name="Chart 9">
          <a:extLst>
            <a:ext uri="{FF2B5EF4-FFF2-40B4-BE49-F238E27FC236}">
              <a16:creationId xmlns:a16="http://schemas.microsoft.com/office/drawing/2014/main" id="{00000000-0008-0000-0800-0000D9E2BC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fLocksWithSheet="0"/>
  </xdr:oneCellAnchor>
  <xdr:oneCellAnchor>
    <xdr:from>
      <xdr:col>9</xdr:col>
      <xdr:colOff>276225</xdr:colOff>
      <xdr:row>89</xdr:row>
      <xdr:rowOff>0</xdr:rowOff>
    </xdr:from>
    <xdr:ext cx="7753350" cy="4791075"/>
    <xdr:pic>
      <xdr:nvPicPr>
        <xdr:cNvPr id="2085331316" name="Chart10" title="Chart">
          <a:extLst>
            <a:ext uri="{FF2B5EF4-FFF2-40B4-BE49-F238E27FC236}">
              <a16:creationId xmlns:a16="http://schemas.microsoft.com/office/drawing/2014/main" id="{00000000-0008-0000-0800-000074A14B7C}"/>
            </a:ext>
            <a:ext uri="GoogleSheetsCustomDataVersion1">
              <go:sheetsCustomData xmlns:go="http://customooxmlschemas.google.com/" xmlns:sle15="http://schemas.microsoft.com/office/drawing/2012/slicer" xmlns:x3Unk="http://schemas.microsoft.com/office/drawing/2010/slicer" xmlns:dgm="http://schemas.openxmlformats.org/drawingml/2006/diagram" xmlns:mc="http://schemas.openxmlformats.org/markup-compatibility/2006" xmlns:cx1="http://schemas.microsoft.com/office/drawing/2015/9/8/chartex" xmlns:cx="http://schemas.microsoft.com/office/drawing/2014/chartex" xmlns:c="http://schemas.openxmlformats.org/drawingml/2006/chart" xmlns:r="http://schemas.openxmlformats.org/officeDocument/2006/relationships" xmlns="" pictureOfChart="1"/>
            </a:ext>
          </a:extLst>
        </xdr:cNvPr>
        <xdr:cNvPicPr preferRelativeResize="0"/>
      </xdr:nvPicPr>
      <xdr:blipFill>
        <a:blip xmlns:r="http://schemas.openxmlformats.org/officeDocument/2006/relationships" r:embed="rId8" cstate="print"/>
        <a:stretch>
          <a:fillRect/>
        </a:stretch>
      </xdr:blipFill>
      <xdr:spPr>
        <a:prstGeom prst="rect">
          <a:avLst/>
        </a:prstGeom>
        <a:noFill/>
      </xdr:spPr>
    </xdr:pic>
    <xdr:clientData fLocksWithSheet="0"/>
  </xdr:oneCellAnchor>
  <xdr:oneCellAnchor>
    <xdr:from>
      <xdr:col>0</xdr:col>
      <xdr:colOff>485775</xdr:colOff>
      <xdr:row>70</xdr:row>
      <xdr:rowOff>152400</xdr:rowOff>
    </xdr:from>
    <xdr:ext cx="7305675" cy="4048125"/>
    <xdr:pic>
      <xdr:nvPicPr>
        <xdr:cNvPr id="2" name="image1.png" title="Image">
          <a:extLst>
            <a:ext uri="{FF2B5EF4-FFF2-40B4-BE49-F238E27FC236}">
              <a16:creationId xmlns:a16="http://schemas.microsoft.com/office/drawing/2014/main" id="{00000000-0008-0000-0800-000002000000}"/>
            </a:ext>
          </a:extLst>
        </xdr:cNvPr>
        <xdr:cNvPicPr preferRelativeResize="0"/>
      </xdr:nvPicPr>
      <xdr:blipFill>
        <a:blip xmlns:r="http://schemas.openxmlformats.org/officeDocument/2006/relationships" r:embed="rId9"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Y56"/>
  <sheetViews>
    <sheetView workbookViewId="0"/>
  </sheetViews>
  <sheetFormatPr defaultColWidth="12.5703125" defaultRowHeight="15" customHeight="1"/>
  <cols>
    <col min="1" max="4" width="8.5703125" customWidth="1"/>
    <col min="5" max="5" width="16.42578125" customWidth="1"/>
    <col min="6" max="11" width="8.5703125" customWidth="1"/>
    <col min="12" max="12" width="33.28515625" customWidth="1"/>
    <col min="13" max="18" width="8.5703125" customWidth="1"/>
    <col min="19" max="20" width="0.140625" hidden="1" customWidth="1"/>
    <col min="21" max="23" width="8.5703125" customWidth="1"/>
    <col min="24" max="24" width="20.42578125" customWidth="1"/>
    <col min="25" max="26" width="8.5703125" customWidth="1"/>
  </cols>
  <sheetData>
    <row r="1" spans="1:25">
      <c r="A1" s="1" t="s">
        <v>0</v>
      </c>
      <c r="B1" s="3" t="s">
        <v>2</v>
      </c>
      <c r="C1" s="1" t="s">
        <v>3</v>
      </c>
      <c r="D1" s="3" t="s">
        <v>4</v>
      </c>
      <c r="E1" s="1" t="s">
        <v>5</v>
      </c>
      <c r="F1" s="1" t="s">
        <v>6</v>
      </c>
      <c r="G1" s="1" t="s">
        <v>8</v>
      </c>
      <c r="H1" s="1" t="s">
        <v>9</v>
      </c>
      <c r="I1" s="1" t="s">
        <v>10</v>
      </c>
      <c r="J1" s="1" t="s">
        <v>11</v>
      </c>
      <c r="K1" s="1" t="s">
        <v>12</v>
      </c>
      <c r="L1" s="1" t="s">
        <v>14</v>
      </c>
      <c r="M1" s="1" t="s">
        <v>15</v>
      </c>
      <c r="N1" s="1" t="s">
        <v>16</v>
      </c>
      <c r="O1" s="1" t="s">
        <v>18</v>
      </c>
      <c r="P1" s="1" t="s">
        <v>20</v>
      </c>
      <c r="Q1" s="1" t="s">
        <v>22</v>
      </c>
      <c r="R1" s="1" t="s">
        <v>23</v>
      </c>
      <c r="S1" s="1" t="s">
        <v>25</v>
      </c>
      <c r="T1" s="1" t="s">
        <v>26</v>
      </c>
      <c r="U1" s="1" t="s">
        <v>27</v>
      </c>
      <c r="V1" s="1" t="s">
        <v>29</v>
      </c>
      <c r="W1" s="1" t="s">
        <v>31</v>
      </c>
      <c r="X1" s="1" t="s">
        <v>33</v>
      </c>
      <c r="Y1" s="1" t="s">
        <v>34</v>
      </c>
    </row>
    <row r="2" spans="1:25">
      <c r="A2" s="1" t="s">
        <v>35</v>
      </c>
      <c r="B2" s="3" t="s">
        <v>37</v>
      </c>
      <c r="C2" s="1">
        <v>1976</v>
      </c>
      <c r="D2" s="3" t="s">
        <v>39</v>
      </c>
      <c r="E2" s="1">
        <v>236260373292.01569</v>
      </c>
      <c r="F2" s="1">
        <v>1.6631036366127887</v>
      </c>
      <c r="G2" s="1">
        <v>377.49602541622698</v>
      </c>
      <c r="H2" s="1">
        <v>41960903331.347496</v>
      </c>
      <c r="I2" s="1">
        <v>10.931913537916316</v>
      </c>
      <c r="J2" s="1" t="s">
        <v>43</v>
      </c>
      <c r="K2" s="1" t="s">
        <v>43</v>
      </c>
      <c r="L2" s="1">
        <v>16.265888832790733</v>
      </c>
      <c r="M2" s="1">
        <v>8.7699912765336876</v>
      </c>
      <c r="N2" s="1">
        <v>29006533388.012371</v>
      </c>
      <c r="O2" s="1" t="s">
        <v>43</v>
      </c>
      <c r="P2" s="1" t="s">
        <v>43</v>
      </c>
      <c r="Q2" s="1" t="s">
        <v>43</v>
      </c>
      <c r="R2" s="1">
        <v>12.801203072683698</v>
      </c>
      <c r="S2" s="1">
        <v>13632844265.538933</v>
      </c>
      <c r="T2" s="1">
        <v>9998335735.6315918</v>
      </c>
      <c r="U2" s="1">
        <v>6868148772.6722193</v>
      </c>
      <c r="V2" s="1">
        <v>6280792834.3023033</v>
      </c>
      <c r="W2" s="1" t="s">
        <v>43</v>
      </c>
      <c r="X2" s="1">
        <v>-7706430.5425742399</v>
      </c>
      <c r="Y2" s="1">
        <v>102716451979.68039</v>
      </c>
    </row>
    <row r="3" spans="1:25">
      <c r="A3" s="1" t="s">
        <v>35</v>
      </c>
      <c r="B3" s="3" t="s">
        <v>37</v>
      </c>
      <c r="C3" s="1">
        <v>1977</v>
      </c>
      <c r="D3" s="3" t="s">
        <v>49</v>
      </c>
      <c r="E3" s="1">
        <v>253400507183.96805</v>
      </c>
      <c r="F3" s="1">
        <v>7.2547645858356873</v>
      </c>
      <c r="G3" s="1">
        <v>395.4433068196015</v>
      </c>
      <c r="H3" s="1">
        <v>47635917089.87632</v>
      </c>
      <c r="I3" s="1">
        <v>13.524527138311697</v>
      </c>
      <c r="J3" s="1" t="s">
        <v>43</v>
      </c>
      <c r="K3" s="1" t="s">
        <v>43</v>
      </c>
      <c r="L3" s="1">
        <v>16.080868929358598</v>
      </c>
      <c r="M3" s="1">
        <v>6.2236004918999157</v>
      </c>
      <c r="N3" s="1">
        <v>30811784142.631824</v>
      </c>
      <c r="O3" s="1" t="s">
        <v>43</v>
      </c>
      <c r="P3" s="1" t="s">
        <v>43</v>
      </c>
      <c r="Q3" s="1" t="s">
        <v>43</v>
      </c>
      <c r="R3" s="1">
        <v>12.648101137552864</v>
      </c>
      <c r="S3" s="1">
        <v>13146512143.995739</v>
      </c>
      <c r="T3" s="1">
        <v>12737441153.224804</v>
      </c>
      <c r="U3" s="1">
        <v>7754701053.9386177</v>
      </c>
      <c r="V3" s="1">
        <v>7611052224.1743937</v>
      </c>
      <c r="W3" s="1" t="s">
        <v>43</v>
      </c>
      <c r="X3" s="1">
        <v>-36060000</v>
      </c>
      <c r="Y3" s="1">
        <v>121486641441.3093</v>
      </c>
    </row>
    <row r="4" spans="1:25">
      <c r="A4" s="1" t="s">
        <v>35</v>
      </c>
      <c r="B4" s="3" t="s">
        <v>37</v>
      </c>
      <c r="C4" s="1">
        <v>1978</v>
      </c>
      <c r="D4" s="3" t="s">
        <v>61</v>
      </c>
      <c r="E4" s="1">
        <v>267876092470.54575</v>
      </c>
      <c r="F4" s="1">
        <v>5.7125320890018827</v>
      </c>
      <c r="G4" s="1">
        <v>408.51694440402952</v>
      </c>
      <c r="H4" s="1">
        <v>50099661173.817818</v>
      </c>
      <c r="I4" s="1">
        <v>5.1720303385637862</v>
      </c>
      <c r="J4" s="1" t="s">
        <v>43</v>
      </c>
      <c r="K4" s="1" t="s">
        <v>43</v>
      </c>
      <c r="L4" s="1">
        <v>17.096440519717575</v>
      </c>
      <c r="M4" s="1">
        <v>12.35214174258823</v>
      </c>
      <c r="N4" s="1">
        <v>34617699393.350029</v>
      </c>
      <c r="O4" s="1" t="s">
        <v>43</v>
      </c>
      <c r="P4" s="1" t="s">
        <v>43</v>
      </c>
      <c r="Q4" s="1" t="s">
        <v>43</v>
      </c>
      <c r="R4" s="1">
        <v>12.903011842484915</v>
      </c>
      <c r="S4" s="1">
        <v>14172338470.383404</v>
      </c>
      <c r="T4" s="1">
        <v>12743700818.286467</v>
      </c>
      <c r="U4" s="1">
        <v>8670401540.1265316</v>
      </c>
      <c r="V4" s="1">
        <v>9045733047.4152145</v>
      </c>
      <c r="W4" s="1" t="s">
        <v>43</v>
      </c>
      <c r="X4" s="1">
        <v>18090000</v>
      </c>
      <c r="Y4" s="1">
        <v>137302319828.99506</v>
      </c>
    </row>
    <row r="5" spans="1:25">
      <c r="A5" s="1" t="s">
        <v>35</v>
      </c>
      <c r="B5" s="3" t="s">
        <v>37</v>
      </c>
      <c r="C5" s="1">
        <v>1979</v>
      </c>
      <c r="D5" s="3" t="s">
        <v>69</v>
      </c>
      <c r="E5" s="1">
        <v>253844253329.84518</v>
      </c>
      <c r="F5" s="1">
        <v>-5.2381827027895014</v>
      </c>
      <c r="G5" s="1">
        <v>378.21959279124701</v>
      </c>
      <c r="H5" s="1">
        <v>50067110078.057487</v>
      </c>
      <c r="I5" s="1">
        <v>-6.4972686436732374E-2</v>
      </c>
      <c r="J5" s="1" t="s">
        <v>43</v>
      </c>
      <c r="K5" s="1" t="s">
        <v>43</v>
      </c>
      <c r="L5" s="1">
        <v>17.852034489291022</v>
      </c>
      <c r="M5" s="1">
        <v>-3.2211818466920619</v>
      </c>
      <c r="N5" s="1">
        <v>33502600344.749012</v>
      </c>
      <c r="O5" s="1" t="s">
        <v>43</v>
      </c>
      <c r="P5" s="1" t="s">
        <v>43</v>
      </c>
      <c r="Q5" s="1" t="s">
        <v>43</v>
      </c>
      <c r="R5" s="1">
        <v>14.918804531376246</v>
      </c>
      <c r="S5" s="1">
        <v>15753148172.546721</v>
      </c>
      <c r="T5" s="1">
        <v>15205890550.240335</v>
      </c>
      <c r="U5" s="1">
        <v>10326638765.756172</v>
      </c>
      <c r="V5" s="1">
        <v>12498452242.391224</v>
      </c>
      <c r="W5" s="1" t="s">
        <v>43</v>
      </c>
      <c r="X5" s="1">
        <v>48570000</v>
      </c>
      <c r="Y5" s="1">
        <v>152995442497.70932</v>
      </c>
    </row>
    <row r="6" spans="1:25">
      <c r="A6" s="1" t="s">
        <v>35</v>
      </c>
      <c r="B6" s="3" t="s">
        <v>37</v>
      </c>
      <c r="C6" s="1">
        <v>1980</v>
      </c>
      <c r="D6" s="3" t="s">
        <v>73</v>
      </c>
      <c r="E6" s="1">
        <v>270942749193.22394</v>
      </c>
      <c r="F6" s="1">
        <v>6.7358215279984961</v>
      </c>
      <c r="G6" s="1">
        <v>394.18223992101298</v>
      </c>
      <c r="H6" s="1">
        <v>51259917959.542053</v>
      </c>
      <c r="I6" s="1">
        <v>2.3824180777059212</v>
      </c>
      <c r="J6" s="1" t="s">
        <v>43</v>
      </c>
      <c r="K6" s="1" t="s">
        <v>43</v>
      </c>
      <c r="L6" s="1">
        <v>16.75237579755089</v>
      </c>
      <c r="M6" s="1">
        <v>0.19442644199646963</v>
      </c>
      <c r="N6" s="1">
        <v>33567738258.575607</v>
      </c>
      <c r="O6" s="1" t="s">
        <v>43</v>
      </c>
      <c r="P6" s="1" t="s">
        <v>43</v>
      </c>
      <c r="Q6" s="1" t="s">
        <v>43</v>
      </c>
      <c r="R6" s="1">
        <v>15.384576848506088</v>
      </c>
      <c r="S6" s="1">
        <v>16578192478.790102</v>
      </c>
      <c r="T6" s="1">
        <v>17388574195.857681</v>
      </c>
      <c r="U6" s="1">
        <v>11439738400.08119</v>
      </c>
      <c r="V6" s="1">
        <v>17226125073.375107</v>
      </c>
      <c r="W6" s="1" t="s">
        <v>43</v>
      </c>
      <c r="X6" s="1">
        <v>79159999.900000006</v>
      </c>
      <c r="Y6" s="1">
        <v>186328579302.06827</v>
      </c>
    </row>
    <row r="7" spans="1:25">
      <c r="A7" s="1" t="s">
        <v>35</v>
      </c>
      <c r="B7" s="3" t="s">
        <v>37</v>
      </c>
      <c r="C7" s="1">
        <v>1981</v>
      </c>
      <c r="D7" s="3" t="s">
        <v>81</v>
      </c>
      <c r="E7" s="1">
        <v>287216122413.73859</v>
      </c>
      <c r="F7" s="1">
        <v>6.0062036238176688</v>
      </c>
      <c r="G7" s="1">
        <v>408.15354979330726</v>
      </c>
      <c r="H7" s="1">
        <v>51195242722.651161</v>
      </c>
      <c r="I7" s="1">
        <v>-0.1261711673864454</v>
      </c>
      <c r="J7" s="1" t="s">
        <v>43</v>
      </c>
      <c r="K7" s="1" t="s">
        <v>43</v>
      </c>
      <c r="L7" s="1">
        <v>16.770443752043775</v>
      </c>
      <c r="M7" s="1">
        <v>8.1696271797904672</v>
      </c>
      <c r="N7" s="1">
        <v>36310097326.98912</v>
      </c>
      <c r="O7" s="1" t="s">
        <v>43</v>
      </c>
      <c r="P7" s="1" t="s">
        <v>43</v>
      </c>
      <c r="Q7" s="1" t="s">
        <v>43</v>
      </c>
      <c r="R7" s="1">
        <v>14.507264761620434</v>
      </c>
      <c r="S7" s="1">
        <v>16442759579.124552</v>
      </c>
      <c r="T7" s="1">
        <v>19132547406.616024</v>
      </c>
      <c r="U7" s="1">
        <v>11485699151.059452</v>
      </c>
      <c r="V7" s="1">
        <v>16584605960.222254</v>
      </c>
      <c r="W7" s="1" t="s">
        <v>43</v>
      </c>
      <c r="X7" s="1">
        <v>91920000</v>
      </c>
      <c r="Y7" s="1">
        <v>193491368445.57254</v>
      </c>
    </row>
    <row r="8" spans="1:25">
      <c r="A8" s="1" t="s">
        <v>35</v>
      </c>
      <c r="B8" s="3" t="s">
        <v>37</v>
      </c>
      <c r="C8" s="1">
        <v>1982</v>
      </c>
      <c r="D8" s="3" t="s">
        <v>87</v>
      </c>
      <c r="E8" s="1">
        <v>297198988652.00916</v>
      </c>
      <c r="F8" s="1">
        <v>3.4757332403123655</v>
      </c>
      <c r="G8" s="1">
        <v>412.59673710422067</v>
      </c>
      <c r="H8" s="1">
        <v>54085872663.774872</v>
      </c>
      <c r="I8" s="1">
        <v>5.6462862316790279</v>
      </c>
      <c r="J8" s="1" t="s">
        <v>43</v>
      </c>
      <c r="K8" s="1" t="s">
        <v>43</v>
      </c>
      <c r="L8" s="35">
        <v>16.369995937370401</v>
      </c>
      <c r="M8" s="1">
        <v>3.2881527705993108</v>
      </c>
      <c r="N8" s="1">
        <v>37504028798.253815</v>
      </c>
      <c r="O8" s="1" t="s">
        <v>43</v>
      </c>
      <c r="P8" s="1" t="s">
        <v>43</v>
      </c>
      <c r="Q8" s="1" t="s">
        <v>43</v>
      </c>
      <c r="R8" s="1">
        <v>14.12592774954747</v>
      </c>
      <c r="S8" s="1">
        <v>17432697238.649529</v>
      </c>
      <c r="T8" s="1">
        <v>19793418141.987064</v>
      </c>
      <c r="U8" s="1">
        <v>12009417676.703733</v>
      </c>
      <c r="V8" s="1">
        <v>16343526468.962202</v>
      </c>
      <c r="W8" s="1" t="s">
        <v>43</v>
      </c>
      <c r="X8" s="1">
        <v>72079999.900000006</v>
      </c>
      <c r="Y8" s="1">
        <v>200715624830.9017</v>
      </c>
    </row>
    <row r="9" spans="1:25">
      <c r="A9" s="1" t="s">
        <v>35</v>
      </c>
      <c r="B9" s="3" t="s">
        <v>37</v>
      </c>
      <c r="C9" s="1">
        <v>1983</v>
      </c>
      <c r="D9" s="3" t="s">
        <v>91</v>
      </c>
      <c r="E9" s="1">
        <v>318861504638.43994</v>
      </c>
      <c r="F9" s="1">
        <v>7.288892901245859</v>
      </c>
      <c r="G9" s="1">
        <v>432.42923538475918</v>
      </c>
      <c r="H9" s="1">
        <v>58051099889.152153</v>
      </c>
      <c r="I9" s="1">
        <v>7.3313548068774566</v>
      </c>
      <c r="J9" s="1" t="s">
        <v>43</v>
      </c>
      <c r="K9" s="1" t="s">
        <v>43</v>
      </c>
      <c r="L9" s="1">
        <v>16.664454692509604</v>
      </c>
      <c r="M9" s="1">
        <v>10.231988697374987</v>
      </c>
      <c r="N9" s="1">
        <v>41341436785.951401</v>
      </c>
      <c r="O9" s="1" t="s">
        <v>43</v>
      </c>
      <c r="P9" s="1" t="s">
        <v>43</v>
      </c>
      <c r="Q9" s="1" t="s">
        <v>43</v>
      </c>
      <c r="R9" s="1">
        <v>13.690593886880247</v>
      </c>
      <c r="S9" s="1">
        <v>17273202305.996033</v>
      </c>
      <c r="T9" s="1">
        <v>24144838239.29644</v>
      </c>
      <c r="U9" s="1">
        <v>12741335281.076435</v>
      </c>
      <c r="V9" s="1">
        <v>17140048793.136921</v>
      </c>
      <c r="W9" s="1" t="s">
        <v>43</v>
      </c>
      <c r="X9" s="1">
        <v>5639999.9000000004</v>
      </c>
      <c r="Y9" s="1">
        <v>218262146413.1575</v>
      </c>
    </row>
    <row r="10" spans="1:25">
      <c r="A10" s="1" t="s">
        <v>35</v>
      </c>
      <c r="B10" s="3" t="s">
        <v>37</v>
      </c>
      <c r="C10" s="1">
        <v>1984</v>
      </c>
      <c r="D10" s="3" t="s">
        <v>93</v>
      </c>
      <c r="E10" s="1">
        <v>331044366854.28754</v>
      </c>
      <c r="F10" s="1">
        <v>3.8207378559735048</v>
      </c>
      <c r="G10" s="1">
        <v>438.54170551291509</v>
      </c>
      <c r="H10" s="1">
        <v>59018585878.501671</v>
      </c>
      <c r="I10" s="1">
        <v>1.6666109534477727</v>
      </c>
      <c r="J10" s="1" t="s">
        <v>43</v>
      </c>
      <c r="K10" s="1" t="s">
        <v>43</v>
      </c>
      <c r="L10" s="1">
        <v>16.707803600320943</v>
      </c>
      <c r="M10" s="1">
        <v>4.2079710127929388</v>
      </c>
      <c r="N10" s="1">
        <v>43081072462.176353</v>
      </c>
      <c r="O10" s="1" t="s">
        <v>43</v>
      </c>
      <c r="P10" s="1" t="s">
        <v>43</v>
      </c>
      <c r="Q10" s="1" t="s">
        <v>43</v>
      </c>
      <c r="R10" s="1">
        <v>14.009375944128916</v>
      </c>
      <c r="S10" s="1">
        <v>18533775038.590584</v>
      </c>
      <c r="T10" s="1">
        <v>20684867974.925335</v>
      </c>
      <c r="U10" s="1">
        <v>13330716432.206964</v>
      </c>
      <c r="V10" s="1">
        <v>16391245674.941341</v>
      </c>
      <c r="W10" s="1" t="s">
        <v>43</v>
      </c>
      <c r="X10" s="1">
        <v>19239999.899999999</v>
      </c>
      <c r="Y10" s="1">
        <v>212157645177.65161</v>
      </c>
    </row>
    <row r="11" spans="1:25">
      <c r="A11" s="1" t="s">
        <v>35</v>
      </c>
      <c r="B11" s="3" t="s">
        <v>37</v>
      </c>
      <c r="C11" s="1">
        <v>1985</v>
      </c>
      <c r="D11" s="3" t="s">
        <v>96</v>
      </c>
      <c r="E11" s="1">
        <v>348438428450.72021</v>
      </c>
      <c r="F11" s="1">
        <v>5.254299223308891</v>
      </c>
      <c r="G11" s="1">
        <v>450.96670385586697</v>
      </c>
      <c r="H11" s="1">
        <v>61736925084.92981</v>
      </c>
      <c r="I11" s="1">
        <v>4.6059036589325189</v>
      </c>
      <c r="J11" s="1" t="s">
        <v>43</v>
      </c>
      <c r="K11" s="35" t="s">
        <v>43</v>
      </c>
      <c r="L11" s="1">
        <v>16.418012862666259</v>
      </c>
      <c r="M11" s="1">
        <v>3.1874897641194053</v>
      </c>
      <c r="N11" s="1">
        <v>44454277237.181084</v>
      </c>
      <c r="O11" s="1" t="s">
        <v>43</v>
      </c>
      <c r="P11" s="1" t="s">
        <v>43</v>
      </c>
      <c r="Q11" s="1" t="s">
        <v>43</v>
      </c>
      <c r="R11" s="1">
        <v>12.900036194148711</v>
      </c>
      <c r="S11" s="1">
        <v>17363383662.975315</v>
      </c>
      <c r="T11" s="1">
        <v>23554047236.255283</v>
      </c>
      <c r="U11" s="1">
        <v>12217447521.809546</v>
      </c>
      <c r="V11" s="1">
        <v>17776627208.176365</v>
      </c>
      <c r="W11" s="1" t="s">
        <v>43</v>
      </c>
      <c r="X11" s="1">
        <v>106090000</v>
      </c>
      <c r="Y11" s="1">
        <v>232511554840.37195</v>
      </c>
    </row>
    <row r="12" spans="1:25">
      <c r="A12" s="1" t="s">
        <v>35</v>
      </c>
      <c r="B12" s="3" t="s">
        <v>37</v>
      </c>
      <c r="C12" s="1">
        <v>1986</v>
      </c>
      <c r="D12" s="3" t="s">
        <v>100</v>
      </c>
      <c r="E12" s="1">
        <v>365081813580.3139</v>
      </c>
      <c r="F12" s="1">
        <v>4.7765641704894648</v>
      </c>
      <c r="G12" s="1">
        <v>461.72561147640334</v>
      </c>
      <c r="H12" s="1">
        <v>67620333950.296837</v>
      </c>
      <c r="I12" s="1">
        <v>9.5298054726136456</v>
      </c>
      <c r="J12" s="1" t="s">
        <v>43</v>
      </c>
      <c r="K12" s="1" t="s">
        <v>43</v>
      </c>
      <c r="L12" s="1">
        <v>16.221583809613467</v>
      </c>
      <c r="M12" s="1">
        <v>5.4942395120692424</v>
      </c>
      <c r="N12" s="1">
        <v>46896701701.951088</v>
      </c>
      <c r="O12" s="1" t="s">
        <v>43</v>
      </c>
      <c r="P12" s="1" t="s">
        <v>43</v>
      </c>
      <c r="Q12" s="1" t="s">
        <v>43</v>
      </c>
      <c r="R12" s="1">
        <v>12.219271899372565</v>
      </c>
      <c r="S12" s="1">
        <v>18306628821.390759</v>
      </c>
      <c r="T12" s="1">
        <v>27578013348.839436</v>
      </c>
      <c r="U12" s="1">
        <v>12937864153.599499</v>
      </c>
      <c r="V12" s="1">
        <v>17486411449.575726</v>
      </c>
      <c r="W12" s="1" t="s">
        <v>43</v>
      </c>
      <c r="X12" s="1">
        <v>117730000</v>
      </c>
      <c r="Y12" s="1">
        <v>248985994040.58969</v>
      </c>
    </row>
    <row r="13" spans="1:25">
      <c r="A13" s="1" t="s">
        <v>35</v>
      </c>
      <c r="B13" s="3" t="s">
        <v>37</v>
      </c>
      <c r="C13" s="1">
        <v>1987</v>
      </c>
      <c r="D13" s="3" t="s">
        <v>102</v>
      </c>
      <c r="E13" s="1">
        <v>379558605843.48621</v>
      </c>
      <c r="F13" s="1">
        <v>3.9653556339057587</v>
      </c>
      <c r="G13" s="1">
        <v>469.20995629639367</v>
      </c>
      <c r="H13" s="1">
        <v>75089849878.027985</v>
      </c>
      <c r="I13" s="1">
        <v>11.046257081814304</v>
      </c>
      <c r="J13" s="1" t="s">
        <v>43</v>
      </c>
      <c r="K13" s="1" t="s">
        <v>43</v>
      </c>
      <c r="L13" s="1">
        <v>16.209549353889148</v>
      </c>
      <c r="M13" s="1">
        <v>5.6000217184412548</v>
      </c>
      <c r="N13" s="1">
        <v>49522927182.492958</v>
      </c>
      <c r="O13" s="1" t="s">
        <v>43</v>
      </c>
      <c r="P13" s="1" t="s">
        <v>43</v>
      </c>
      <c r="Q13" s="1" t="s">
        <v>43</v>
      </c>
      <c r="R13" s="1">
        <v>12.584814035675782</v>
      </c>
      <c r="S13" s="1">
        <v>20636564457.614414</v>
      </c>
      <c r="T13" s="1">
        <v>27117951570.827267</v>
      </c>
      <c r="U13" s="1">
        <v>15638662913.983883</v>
      </c>
      <c r="V13" s="1">
        <v>19477194741.103443</v>
      </c>
      <c r="W13" s="1" t="s">
        <v>43</v>
      </c>
      <c r="X13" s="1">
        <v>212319999.90000001</v>
      </c>
      <c r="Y13" s="1">
        <v>279033584092.22345</v>
      </c>
    </row>
    <row r="14" spans="1:25">
      <c r="A14" s="1" t="s">
        <v>35</v>
      </c>
      <c r="B14" s="3" t="s">
        <v>37</v>
      </c>
      <c r="C14" s="1">
        <v>1988</v>
      </c>
      <c r="D14" s="3" t="s">
        <v>106</v>
      </c>
      <c r="E14" s="1">
        <v>416101684467.69983</v>
      </c>
      <c r="F14" s="1">
        <v>9.6277829198483431</v>
      </c>
      <c r="G14" s="1">
        <v>502.93734218706538</v>
      </c>
      <c r="H14" s="1">
        <v>77689724127.833176</v>
      </c>
      <c r="I14" s="1">
        <v>3.4623511087427801</v>
      </c>
      <c r="J14" s="1" t="s">
        <v>43</v>
      </c>
      <c r="K14" s="1" t="s">
        <v>43</v>
      </c>
      <c r="L14" s="1">
        <v>16.101534849260798</v>
      </c>
      <c r="M14" s="1">
        <v>8.4963123976081363</v>
      </c>
      <c r="N14" s="1">
        <v>53730549784.357552</v>
      </c>
      <c r="O14" s="1" t="s">
        <v>43</v>
      </c>
      <c r="P14" s="1" t="s">
        <v>43</v>
      </c>
      <c r="Q14" s="1" t="s">
        <v>43</v>
      </c>
      <c r="R14" s="1">
        <v>13.4904501163017</v>
      </c>
      <c r="S14" s="1">
        <v>22178747993.968845</v>
      </c>
      <c r="T14" s="1">
        <v>29611304417.561829</v>
      </c>
      <c r="U14" s="1">
        <v>17899838408.937637</v>
      </c>
      <c r="V14" s="1">
        <v>22111443193.381458</v>
      </c>
      <c r="W14" s="1" t="s">
        <v>43</v>
      </c>
      <c r="X14" s="1">
        <v>91250000</v>
      </c>
      <c r="Y14" s="1">
        <v>296589670895.93201</v>
      </c>
    </row>
    <row r="15" spans="1:25">
      <c r="A15" s="1" t="s">
        <v>35</v>
      </c>
      <c r="B15" s="3" t="s">
        <v>37</v>
      </c>
      <c r="C15" s="1">
        <v>1989</v>
      </c>
      <c r="D15" s="3" t="s">
        <v>109</v>
      </c>
      <c r="E15" s="1">
        <v>440848680237.68799</v>
      </c>
      <c r="F15" s="1">
        <v>5.9473433282650348</v>
      </c>
      <c r="G15" s="1">
        <v>521.07338383912315</v>
      </c>
      <c r="H15" s="1">
        <v>84471021509.695297</v>
      </c>
      <c r="I15" s="1">
        <v>8.7286928329208138</v>
      </c>
      <c r="J15" s="1" t="s">
        <v>43</v>
      </c>
      <c r="K15" s="1" t="s">
        <v>43</v>
      </c>
      <c r="L15" s="1">
        <v>16.902845896566927</v>
      </c>
      <c r="M15" s="1">
        <v>8.8394172527327868</v>
      </c>
      <c r="N15" s="1">
        <v>58480017271.984222</v>
      </c>
      <c r="O15" s="1" t="s">
        <v>43</v>
      </c>
      <c r="P15" s="1" t="s">
        <v>43</v>
      </c>
      <c r="Q15" s="1" t="s">
        <v>43</v>
      </c>
      <c r="R15" s="1">
        <v>15.168132090669529</v>
      </c>
      <c r="S15" s="1">
        <v>24835569803.032242</v>
      </c>
      <c r="T15" s="1">
        <v>30228513807.289421</v>
      </c>
      <c r="U15" s="1">
        <v>20770696112.094662</v>
      </c>
      <c r="V15" s="1">
        <v>24133353522.481159</v>
      </c>
      <c r="W15" s="1" t="s">
        <v>43</v>
      </c>
      <c r="X15" s="1">
        <v>252099999.90000001</v>
      </c>
      <c r="Y15" s="1">
        <v>296042052944.65979</v>
      </c>
    </row>
    <row r="16" spans="1:25">
      <c r="A16" s="1" t="s">
        <v>35</v>
      </c>
      <c r="B16" s="3" t="s">
        <v>37</v>
      </c>
      <c r="C16" s="1">
        <v>1990</v>
      </c>
      <c r="D16" s="3" t="s">
        <v>111</v>
      </c>
      <c r="E16" s="1">
        <v>465242841650.51196</v>
      </c>
      <c r="F16" s="1">
        <v>5.5334545630649501</v>
      </c>
      <c r="G16" s="1">
        <v>537.87026953610336</v>
      </c>
      <c r="H16" s="1">
        <v>98391571850.762756</v>
      </c>
      <c r="I16" s="1">
        <v>16.479675623988641</v>
      </c>
      <c r="J16" s="1">
        <v>307898649</v>
      </c>
      <c r="K16" s="1" t="s">
        <v>43</v>
      </c>
      <c r="L16" s="1">
        <v>16.597596442222041</v>
      </c>
      <c r="M16" s="1">
        <v>4.7735455140267078</v>
      </c>
      <c r="N16" s="1">
        <v>61271587513.073074</v>
      </c>
      <c r="O16" s="1" t="s">
        <v>43</v>
      </c>
      <c r="P16" s="1" t="s">
        <v>43</v>
      </c>
      <c r="Q16" s="1" t="s">
        <v>43</v>
      </c>
      <c r="R16" s="1">
        <v>15.506261510196545</v>
      </c>
      <c r="S16" s="1">
        <v>27593415339.42503</v>
      </c>
      <c r="T16" s="1">
        <v>31245952003.68182</v>
      </c>
      <c r="U16" s="1">
        <v>22639774911.552498</v>
      </c>
      <c r="V16" s="1">
        <v>27132072318.021008</v>
      </c>
      <c r="W16" s="1">
        <v>56.36</v>
      </c>
      <c r="X16" s="1">
        <v>236690000</v>
      </c>
      <c r="Y16" s="1">
        <v>320979026420.0351</v>
      </c>
    </row>
    <row r="17" spans="1:25">
      <c r="A17" s="1" t="s">
        <v>35</v>
      </c>
      <c r="B17" s="3" t="s">
        <v>37</v>
      </c>
      <c r="C17" s="1">
        <v>1991</v>
      </c>
      <c r="D17" s="3" t="s">
        <v>113</v>
      </c>
      <c r="E17" s="1">
        <v>470159674240.6792</v>
      </c>
      <c r="F17" s="1">
        <v>1.0568314329617863</v>
      </c>
      <c r="G17" s="1">
        <v>531.89839783335105</v>
      </c>
      <c r="H17" s="1">
        <v>90811846850.840912</v>
      </c>
      <c r="I17" s="1">
        <v>-7.7036323918257352</v>
      </c>
      <c r="J17" s="1">
        <v>315875620</v>
      </c>
      <c r="K17" s="1">
        <v>7.641</v>
      </c>
      <c r="L17" s="1">
        <v>15.676260160512731</v>
      </c>
      <c r="M17" s="1">
        <v>-2.3984638002645369</v>
      </c>
      <c r="N17" s="1">
        <v>59802010666.724609</v>
      </c>
      <c r="O17" s="1">
        <v>63.128319537359097</v>
      </c>
      <c r="P17" s="1">
        <v>14.584937300157501</v>
      </c>
      <c r="Q17" s="1">
        <v>22.286736307130901</v>
      </c>
      <c r="R17" s="1">
        <v>16.987726551135058</v>
      </c>
      <c r="S17" s="1">
        <v>30259570136.897488</v>
      </c>
      <c r="T17" s="1">
        <v>31250701539.597733</v>
      </c>
      <c r="U17" s="1">
        <v>22943398073.299454</v>
      </c>
      <c r="V17" s="1">
        <v>22941358805.152008</v>
      </c>
      <c r="W17" s="1" t="s">
        <v>43</v>
      </c>
      <c r="X17" s="1">
        <v>73537638.388532996</v>
      </c>
      <c r="Y17" s="1">
        <v>270105341879.22638</v>
      </c>
    </row>
    <row r="18" spans="1:25">
      <c r="A18" s="1" t="s">
        <v>35</v>
      </c>
      <c r="B18" s="3" t="s">
        <v>37</v>
      </c>
      <c r="C18" s="1">
        <v>1992</v>
      </c>
      <c r="D18" s="3" t="s">
        <v>116</v>
      </c>
      <c r="E18" s="1">
        <v>495935689516.74695</v>
      </c>
      <c r="F18" s="1">
        <v>5.4823960216700272</v>
      </c>
      <c r="G18" s="1">
        <v>549.23506996489539</v>
      </c>
      <c r="H18" s="1">
        <v>100437906942.16129</v>
      </c>
      <c r="I18" s="1">
        <v>10.60000476273899</v>
      </c>
      <c r="J18" s="1">
        <v>324021661</v>
      </c>
      <c r="K18" s="1">
        <v>7.649</v>
      </c>
      <c r="L18" s="1">
        <v>15.800799817080746</v>
      </c>
      <c r="M18" s="1">
        <v>3.0901834659496927</v>
      </c>
      <c r="N18" s="1">
        <v>61650002512.653206</v>
      </c>
      <c r="O18" s="1">
        <v>62.898333636700102</v>
      </c>
      <c r="P18" s="1">
        <v>14.6628055390629</v>
      </c>
      <c r="Q18" s="1">
        <v>22.4388544747388</v>
      </c>
      <c r="R18" s="1">
        <v>18.433099041828044</v>
      </c>
      <c r="S18" s="1">
        <v>31740244814.295574</v>
      </c>
      <c r="T18" s="1">
        <v>37853374547.600342</v>
      </c>
      <c r="U18" s="1">
        <v>25486029046.697491</v>
      </c>
      <c r="V18" s="1">
        <v>27639649994.189995</v>
      </c>
      <c r="W18" s="1">
        <v>27.01</v>
      </c>
      <c r="X18" s="1">
        <v>276512438.97389299</v>
      </c>
      <c r="Y18" s="1">
        <v>288208070278.01288</v>
      </c>
    </row>
    <row r="19" spans="1:25">
      <c r="A19" s="1" t="s">
        <v>35</v>
      </c>
      <c r="B19" s="3" t="s">
        <v>37</v>
      </c>
      <c r="C19" s="1">
        <v>1993</v>
      </c>
      <c r="D19" s="3" t="s">
        <v>117</v>
      </c>
      <c r="E19" s="1">
        <v>519496484318.7182</v>
      </c>
      <c r="F19" s="1">
        <v>4.7507762195799046</v>
      </c>
      <c r="G19" s="1">
        <v>563.37287233674715</v>
      </c>
      <c r="H19" s="1">
        <v>99608127916.484512</v>
      </c>
      <c r="I19" s="1">
        <v>-0.82616120839178109</v>
      </c>
      <c r="J19" s="1">
        <v>332338730</v>
      </c>
      <c r="K19" s="1">
        <v>7.6619999999999999</v>
      </c>
      <c r="L19" s="1">
        <v>15.915712107843891</v>
      </c>
      <c r="M19" s="1">
        <v>8.5913410736169169</v>
      </c>
      <c r="N19" s="1">
        <v>66946564500.408646</v>
      </c>
      <c r="O19" s="1">
        <v>62.6630638065269</v>
      </c>
      <c r="P19" s="1">
        <v>14.7602607112643</v>
      </c>
      <c r="Q19" s="1">
        <v>22.576675808073102</v>
      </c>
      <c r="R19" s="1">
        <v>19.651539786468376</v>
      </c>
      <c r="S19" s="1">
        <v>36113921609.052948</v>
      </c>
      <c r="T19" s="1">
        <v>45146684458.238853</v>
      </c>
      <c r="U19" s="1">
        <v>27466541462.913521</v>
      </c>
      <c r="V19" s="1">
        <v>27419354118.763275</v>
      </c>
      <c r="W19" s="1" t="s">
        <v>43</v>
      </c>
      <c r="X19" s="1">
        <v>550370024.92938304</v>
      </c>
      <c r="Y19" s="1">
        <v>279295648982.52924</v>
      </c>
    </row>
    <row r="20" spans="1:25">
      <c r="A20" s="1" t="s">
        <v>35</v>
      </c>
      <c r="B20" s="3" t="s">
        <v>37</v>
      </c>
      <c r="C20" s="1">
        <v>1994</v>
      </c>
      <c r="D20" s="3" t="s">
        <v>119</v>
      </c>
      <c r="E20" s="1">
        <v>554089360742.69373</v>
      </c>
      <c r="F20" s="1">
        <v>6.6589240674730661</v>
      </c>
      <c r="G20" s="1">
        <v>588.72789218063224</v>
      </c>
      <c r="H20" s="1">
        <v>105344556778.80779</v>
      </c>
      <c r="I20" s="1">
        <v>5.758996762927751</v>
      </c>
      <c r="J20" s="1">
        <v>340802039</v>
      </c>
      <c r="K20" s="1">
        <v>7.593</v>
      </c>
      <c r="L20" s="1">
        <v>16.764138131311991</v>
      </c>
      <c r="M20" s="1">
        <v>10.821183243712213</v>
      </c>
      <c r="N20" s="1">
        <v>74190974920.367859</v>
      </c>
      <c r="O20" s="1">
        <v>62.371240378322298</v>
      </c>
      <c r="P20" s="1">
        <v>14.851350268644399</v>
      </c>
      <c r="Q20" s="1">
        <v>22.777409353033299</v>
      </c>
      <c r="R20" s="1">
        <v>20.078144376925462</v>
      </c>
      <c r="S20" s="1">
        <v>40824500593.198318</v>
      </c>
      <c r="T20" s="1">
        <v>55350554479.528618</v>
      </c>
      <c r="U20" s="1">
        <v>32361214431.432091</v>
      </c>
      <c r="V20" s="1">
        <v>33349501147.708862</v>
      </c>
      <c r="W20" s="1" t="s">
        <v>43</v>
      </c>
      <c r="X20" s="1">
        <v>973271468.72287297</v>
      </c>
      <c r="Y20" s="1">
        <v>327274843459.42902</v>
      </c>
    </row>
    <row r="21" spans="1:25">
      <c r="A21" s="1" t="s">
        <v>35</v>
      </c>
      <c r="B21" s="3" t="s">
        <v>37</v>
      </c>
      <c r="C21" s="1">
        <v>1995</v>
      </c>
      <c r="D21" s="3" t="s">
        <v>122</v>
      </c>
      <c r="E21" s="1">
        <v>596058814159.96411</v>
      </c>
      <c r="F21" s="1">
        <v>7.5744918402719463</v>
      </c>
      <c r="G21" s="1">
        <v>620.69995433636552</v>
      </c>
      <c r="H21" s="1">
        <v>118112446079.14948</v>
      </c>
      <c r="I21" s="1">
        <v>12.120122473105525</v>
      </c>
      <c r="J21" s="1">
        <v>351330547</v>
      </c>
      <c r="K21" s="1">
        <v>7.57</v>
      </c>
      <c r="L21" s="1">
        <v>17.865850596855431</v>
      </c>
      <c r="M21" s="1">
        <v>15.461462926030748</v>
      </c>
      <c r="N21" s="1">
        <v>85661985002.141296</v>
      </c>
      <c r="O21" s="1">
        <v>61.974428476754099</v>
      </c>
      <c r="P21" s="1">
        <v>15.000483006233299</v>
      </c>
      <c r="Q21" s="1">
        <v>23.025088517012598</v>
      </c>
      <c r="R21" s="1">
        <v>22.867448706249899</v>
      </c>
      <c r="S21" s="1">
        <v>53641790640.100594</v>
      </c>
      <c r="T21" s="1">
        <v>70918384082.399719</v>
      </c>
      <c r="U21" s="1">
        <v>39068855117.851768</v>
      </c>
      <c r="V21" s="1">
        <v>43318425767.770706</v>
      </c>
      <c r="W21" s="1" t="s">
        <v>43</v>
      </c>
      <c r="X21" s="1">
        <v>2143628110.28391</v>
      </c>
      <c r="Y21" s="1">
        <v>360281909643.48914</v>
      </c>
    </row>
    <row r="22" spans="1:25">
      <c r="A22" s="1" t="s">
        <v>35</v>
      </c>
      <c r="B22" s="3" t="s">
        <v>37</v>
      </c>
      <c r="C22" s="1">
        <v>1996</v>
      </c>
      <c r="D22" s="3" t="s">
        <v>124</v>
      </c>
      <c r="E22" s="1">
        <v>641058406951.4303</v>
      </c>
      <c r="F22" s="1">
        <v>7.5495222488882945</v>
      </c>
      <c r="G22" s="1">
        <v>654.35592843405186</v>
      </c>
      <c r="H22" s="1">
        <v>123667339707.96796</v>
      </c>
      <c r="I22" s="1">
        <v>4.7030552775920285</v>
      </c>
      <c r="J22" s="1">
        <v>362330724</v>
      </c>
      <c r="K22" s="1">
        <v>7.5369999999999999</v>
      </c>
      <c r="L22" s="1">
        <v>17.596340800641393</v>
      </c>
      <c r="M22" s="1">
        <v>9.5012767788913948</v>
      </c>
      <c r="N22" s="1">
        <v>93800967291.487167</v>
      </c>
      <c r="O22" s="1">
        <v>61.513380855523799</v>
      </c>
      <c r="P22" s="1">
        <v>15.2712590554772</v>
      </c>
      <c r="Q22" s="1">
        <v>23.215360088998899</v>
      </c>
      <c r="R22" s="1">
        <v>21.929487871386652</v>
      </c>
      <c r="S22" s="1">
        <v>57015714673.498009</v>
      </c>
      <c r="T22" s="1">
        <v>69187984219.330536</v>
      </c>
      <c r="U22" s="1">
        <v>40803004618.175407</v>
      </c>
      <c r="V22" s="1">
        <v>45357266003.202126</v>
      </c>
      <c r="W22" s="1">
        <v>23.72</v>
      </c>
      <c r="X22" s="1">
        <v>2426057021.9109201</v>
      </c>
      <c r="Y22" s="1">
        <v>392896866204.51581</v>
      </c>
    </row>
    <row r="23" spans="1:25">
      <c r="A23" s="1" t="s">
        <v>35</v>
      </c>
      <c r="B23" s="3" t="s">
        <v>37</v>
      </c>
      <c r="C23" s="1">
        <v>1997</v>
      </c>
      <c r="D23" s="3" t="s">
        <v>126</v>
      </c>
      <c r="E23" s="1">
        <v>667020123970.57581</v>
      </c>
      <c r="F23" s="1">
        <v>4.049820849024826</v>
      </c>
      <c r="G23" s="1">
        <v>667.59842309339933</v>
      </c>
      <c r="H23" s="1">
        <v>134919118619.39548</v>
      </c>
      <c r="I23" s="1">
        <v>9.0984239961802587</v>
      </c>
      <c r="J23" s="1">
        <v>373673862</v>
      </c>
      <c r="K23" s="1">
        <v>7.5739999999999998</v>
      </c>
      <c r="L23" s="1">
        <v>16.518578530433338</v>
      </c>
      <c r="M23" s="1">
        <v>5.1186909042598927E-2</v>
      </c>
      <c r="N23" s="1">
        <v>93848981107.295746</v>
      </c>
      <c r="O23" s="1">
        <v>61.158625445787699</v>
      </c>
      <c r="P23" s="1">
        <v>15.4726082964194</v>
      </c>
      <c r="Q23" s="1">
        <v>23.368766257792899</v>
      </c>
      <c r="R23" s="1">
        <v>22.619386867047854</v>
      </c>
      <c r="S23" s="1">
        <v>55688288352.057899</v>
      </c>
      <c r="T23" s="1">
        <v>78321271460.902176</v>
      </c>
      <c r="U23" s="1">
        <v>44459225642.5392</v>
      </c>
      <c r="V23" s="1">
        <v>49607467421.089073</v>
      </c>
      <c r="W23" s="1">
        <v>20.13</v>
      </c>
      <c r="X23" s="1">
        <v>3577330042.34585</v>
      </c>
      <c r="Y23" s="1">
        <v>415867563592.82904</v>
      </c>
    </row>
    <row r="24" spans="1:25">
      <c r="A24" s="1" t="s">
        <v>35</v>
      </c>
      <c r="B24" s="3" t="s">
        <v>37</v>
      </c>
      <c r="C24" s="1">
        <v>1998</v>
      </c>
      <c r="D24" s="3" t="s">
        <v>129</v>
      </c>
      <c r="E24" s="1">
        <v>708271422045.35559</v>
      </c>
      <c r="F24" s="1">
        <v>6.1844158208035509</v>
      </c>
      <c r="G24" s="1">
        <v>695.29370933708219</v>
      </c>
      <c r="H24" s="1">
        <v>149246040757.48959</v>
      </c>
      <c r="I24" s="1">
        <v>10.618896924838438</v>
      </c>
      <c r="J24" s="1">
        <v>385347723</v>
      </c>
      <c r="K24" s="1">
        <v>7.5960000000000001</v>
      </c>
      <c r="L24" s="1">
        <v>15.719316016493851</v>
      </c>
      <c r="M24" s="1">
        <v>3.1318435932712987</v>
      </c>
      <c r="N24" s="1">
        <v>96788184409.454987</v>
      </c>
      <c r="O24" s="1">
        <v>60.647957461240999</v>
      </c>
      <c r="P24" s="1">
        <v>15.7949095027609</v>
      </c>
      <c r="Q24" s="1">
        <v>23.557133035998099</v>
      </c>
      <c r="R24" s="1">
        <v>23.699470079064739</v>
      </c>
      <c r="S24" s="1">
        <v>63420229532.36763</v>
      </c>
      <c r="T24" s="1">
        <v>94647803633.800034</v>
      </c>
      <c r="U24" s="1">
        <v>46426465025.047661</v>
      </c>
      <c r="V24" s="1">
        <v>53431564328.422447</v>
      </c>
      <c r="W24" s="1" t="s">
        <v>43</v>
      </c>
      <c r="X24" s="1">
        <v>2634651657.7714</v>
      </c>
      <c r="Y24" s="1">
        <v>421351317224.94128</v>
      </c>
    </row>
    <row r="25" spans="1:25">
      <c r="A25" s="1" t="s">
        <v>35</v>
      </c>
      <c r="B25" s="3" t="s">
        <v>37</v>
      </c>
      <c r="C25" s="1">
        <v>1999</v>
      </c>
      <c r="D25" s="3" t="s">
        <v>131</v>
      </c>
      <c r="E25" s="1">
        <v>770923380748.90613</v>
      </c>
      <c r="F25" s="1">
        <v>8.8457555611411607</v>
      </c>
      <c r="G25" s="1">
        <v>742.53920839811951</v>
      </c>
      <c r="H25" s="1">
        <v>174231612235.11862</v>
      </c>
      <c r="I25" s="1">
        <v>16.741195512334002</v>
      </c>
      <c r="J25" s="1">
        <v>397354085</v>
      </c>
      <c r="K25" s="1">
        <v>7.5830000000000002</v>
      </c>
      <c r="L25" s="1">
        <v>15.180536713273817</v>
      </c>
      <c r="M25" s="1">
        <v>5.3937745157569168</v>
      </c>
      <c r="N25" s="1">
        <v>102008720834.39597</v>
      </c>
      <c r="O25" s="1">
        <v>59.878026680172397</v>
      </c>
      <c r="P25" s="1">
        <v>16.309428466052999</v>
      </c>
      <c r="Q25" s="1">
        <v>23.8125410413714</v>
      </c>
      <c r="R25" s="1">
        <v>24.815598044292916</v>
      </c>
      <c r="S25" s="1">
        <v>74835534390.940491</v>
      </c>
      <c r="T25" s="1">
        <v>101266057988.3494</v>
      </c>
      <c r="U25" s="1">
        <v>52544483402.693581</v>
      </c>
      <c r="V25" s="1">
        <v>61314704757.034523</v>
      </c>
      <c r="W25" s="1">
        <v>28.51</v>
      </c>
      <c r="X25" s="1">
        <v>2168591054.37924</v>
      </c>
      <c r="Y25" s="1">
        <v>458821052615.78979</v>
      </c>
    </row>
    <row r="26" spans="1:25">
      <c r="A26" s="1" t="s">
        <v>35</v>
      </c>
      <c r="B26" s="3" t="s">
        <v>37</v>
      </c>
      <c r="C26" s="1">
        <v>2000</v>
      </c>
      <c r="D26" s="3" t="s">
        <v>133</v>
      </c>
      <c r="E26" s="1">
        <v>800534479629.68042</v>
      </c>
      <c r="F26" s="1">
        <v>3.8409911568655417</v>
      </c>
      <c r="G26" s="1">
        <v>756.70410953318685</v>
      </c>
      <c r="H26" s="1">
        <v>171105928742.79523</v>
      </c>
      <c r="I26" s="1">
        <v>-1.7939818453297676</v>
      </c>
      <c r="J26" s="1">
        <v>409617771</v>
      </c>
      <c r="K26" s="1">
        <v>7.5890000000000004</v>
      </c>
      <c r="L26" s="1">
        <v>15.927023018432255</v>
      </c>
      <c r="M26" s="1">
        <v>7.2990978490111331</v>
      </c>
      <c r="N26" s="1">
        <v>109454437182.62312</v>
      </c>
      <c r="O26" s="1">
        <v>59.607310099103998</v>
      </c>
      <c r="P26" s="1">
        <v>16.341359744203</v>
      </c>
      <c r="Q26" s="1">
        <v>24.051330156692899</v>
      </c>
      <c r="R26" s="1">
        <v>26.900922910447356</v>
      </c>
      <c r="S26" s="1">
        <v>88420811378.474762</v>
      </c>
      <c r="T26" s="1">
        <v>105913882922.46399</v>
      </c>
      <c r="U26" s="1">
        <v>60878472821.200401</v>
      </c>
      <c r="V26" s="1">
        <v>65124245375.053055</v>
      </c>
      <c r="W26" s="1">
        <v>23.36</v>
      </c>
      <c r="X26" s="1">
        <v>3584217307.1875501</v>
      </c>
      <c r="Y26" s="1">
        <v>468395521654.45789</v>
      </c>
    </row>
    <row r="27" spans="1:25">
      <c r="A27" s="1" t="s">
        <v>35</v>
      </c>
      <c r="B27" s="3" t="s">
        <v>37</v>
      </c>
      <c r="C27" s="1">
        <v>2001</v>
      </c>
      <c r="D27" s="3" t="s">
        <v>136</v>
      </c>
      <c r="E27" s="1">
        <v>839151992858.48828</v>
      </c>
      <c r="F27" s="1">
        <v>4.8239662639730341</v>
      </c>
      <c r="G27" s="1">
        <v>778.50737752249859</v>
      </c>
      <c r="H27" s="1">
        <v>209074720249.12314</v>
      </c>
      <c r="I27" s="1">
        <v>22.190225543500745</v>
      </c>
      <c r="J27" s="1">
        <v>418764922</v>
      </c>
      <c r="K27" s="1">
        <v>7.6109999999999998</v>
      </c>
      <c r="L27" s="1">
        <v>15.307021283153091</v>
      </c>
      <c r="M27" s="1">
        <v>2.2703251937848563</v>
      </c>
      <c r="N27" s="1">
        <v>111939408845.69563</v>
      </c>
      <c r="O27" s="1">
        <v>58.890809220715099</v>
      </c>
      <c r="P27" s="1">
        <v>16.7528345033409</v>
      </c>
      <c r="Q27" s="1">
        <v>24.356356017475999</v>
      </c>
      <c r="R27" s="1">
        <v>25.993254753436517</v>
      </c>
      <c r="S27" s="1">
        <v>92231327923.186142</v>
      </c>
      <c r="T27" s="1">
        <v>109032250910.96906</v>
      </c>
      <c r="U27" s="1">
        <v>60963415576.644676</v>
      </c>
      <c r="V27" s="1">
        <v>65218276482.132248</v>
      </c>
      <c r="W27" s="1">
        <v>26.51</v>
      </c>
      <c r="X27" s="1">
        <v>5128093561.6268797</v>
      </c>
      <c r="Y27" s="1">
        <v>485440139204.17053</v>
      </c>
    </row>
    <row r="28" spans="1:25">
      <c r="A28" s="1" t="s">
        <v>35</v>
      </c>
      <c r="B28" s="3" t="s">
        <v>37</v>
      </c>
      <c r="C28" s="1">
        <v>2002</v>
      </c>
      <c r="D28" s="3" t="s">
        <v>138</v>
      </c>
      <c r="E28" s="1">
        <v>871073127574.1864</v>
      </c>
      <c r="F28" s="1">
        <v>3.8039753212003831</v>
      </c>
      <c r="G28" s="1">
        <v>793.61591290100171</v>
      </c>
      <c r="H28" s="1">
        <v>207574913684.3497</v>
      </c>
      <c r="I28" s="1">
        <v>-0.71735433293243034</v>
      </c>
      <c r="J28" s="1">
        <v>427829074</v>
      </c>
      <c r="K28" s="1">
        <v>7.681</v>
      </c>
      <c r="L28" s="1">
        <v>15.55870172629556</v>
      </c>
      <c r="M28" s="1">
        <v>6.8667636076502419</v>
      </c>
      <c r="N28" s="1">
        <v>119626023434.93068</v>
      </c>
      <c r="O28" s="1">
        <v>58.2078564520654</v>
      </c>
      <c r="P28" s="1">
        <v>17.056726884100499</v>
      </c>
      <c r="Q28" s="1">
        <v>24.735416917017901</v>
      </c>
      <c r="R28" s="1">
        <v>29.508662935061398</v>
      </c>
      <c r="S28" s="1">
        <v>111678306011.56667</v>
      </c>
      <c r="T28" s="1">
        <v>122112653116.05037</v>
      </c>
      <c r="U28" s="1">
        <v>73452895951.633087</v>
      </c>
      <c r="V28" s="1">
        <v>78498759285.731339</v>
      </c>
      <c r="W28" s="1">
        <v>23.08</v>
      </c>
      <c r="X28" s="1">
        <v>5208967106.2789402</v>
      </c>
      <c r="Y28" s="1">
        <v>514939140318.75562</v>
      </c>
    </row>
    <row r="29" spans="1:25">
      <c r="A29" s="1" t="s">
        <v>35</v>
      </c>
      <c r="B29" s="3" t="s">
        <v>37</v>
      </c>
      <c r="C29" s="1">
        <v>2003</v>
      </c>
      <c r="D29" s="3" t="s">
        <v>140</v>
      </c>
      <c r="E29" s="1">
        <v>939542798331.65466</v>
      </c>
      <c r="F29" s="1">
        <v>7.8603814754504526</v>
      </c>
      <c r="G29" s="1">
        <v>841.27889456240837</v>
      </c>
      <c r="H29" s="1">
        <v>218194454914.32138</v>
      </c>
      <c r="I29" s="1">
        <v>5.1160041651855579</v>
      </c>
      <c r="J29" s="1">
        <v>436753652</v>
      </c>
      <c r="K29" s="1">
        <v>7.633</v>
      </c>
      <c r="L29" s="1">
        <v>15.58738664864604</v>
      </c>
      <c r="M29" s="1">
        <v>6.3366103225509107</v>
      </c>
      <c r="N29" s="1">
        <v>127206258384.36566</v>
      </c>
      <c r="O29" s="1">
        <v>57.164650542938602</v>
      </c>
      <c r="P29" s="1">
        <v>17.6938066486046</v>
      </c>
      <c r="Q29" s="1">
        <v>25.1415353719471</v>
      </c>
      <c r="R29" s="1">
        <v>30.592436132907984</v>
      </c>
      <c r="S29" s="1">
        <v>122379566897.16957</v>
      </c>
      <c r="T29" s="1">
        <v>139066672460.07495</v>
      </c>
      <c r="U29" s="1">
        <v>90838575243.762054</v>
      </c>
      <c r="V29" s="1">
        <v>95071869378.557297</v>
      </c>
      <c r="W29" s="1">
        <v>21.45</v>
      </c>
      <c r="X29" s="1">
        <v>3681984671.4342799</v>
      </c>
      <c r="Y29" s="1">
        <v>607700687237.31787</v>
      </c>
    </row>
    <row r="30" spans="1:25">
      <c r="A30" s="1" t="s">
        <v>35</v>
      </c>
      <c r="B30" s="3" t="s">
        <v>37</v>
      </c>
      <c r="C30" s="1">
        <v>2004</v>
      </c>
      <c r="D30" s="3" t="s">
        <v>142</v>
      </c>
      <c r="E30" s="1">
        <v>1013982178696.2278</v>
      </c>
      <c r="F30" s="1">
        <v>7.9229366130797843</v>
      </c>
      <c r="G30" s="1">
        <v>892.5966145807181</v>
      </c>
      <c r="H30" s="1">
        <v>243186386319.83929</v>
      </c>
      <c r="I30" s="1">
        <v>11.453971832295878</v>
      </c>
      <c r="J30" s="1">
        <v>445825854</v>
      </c>
      <c r="K30" s="1">
        <v>7.5979999999999999</v>
      </c>
      <c r="L30" s="1">
        <v>15.827245740502713</v>
      </c>
      <c r="M30" s="1">
        <v>7.3832533106597253</v>
      </c>
      <c r="N30" s="1">
        <v>136598218667.89571</v>
      </c>
      <c r="O30" s="1">
        <v>55.999457323776298</v>
      </c>
      <c r="P30" s="1">
        <v>18.418479484316101</v>
      </c>
      <c r="Q30" s="1">
        <v>25.582063191907601</v>
      </c>
      <c r="R30" s="1">
        <v>37.503814059446981</v>
      </c>
      <c r="S30" s="1">
        <v>155637941981.76071</v>
      </c>
      <c r="T30" s="1">
        <v>169932846856.62079</v>
      </c>
      <c r="U30" s="1">
        <v>126648472020.75211</v>
      </c>
      <c r="V30" s="1">
        <v>139310848797.43585</v>
      </c>
      <c r="W30" s="1">
        <v>22.96</v>
      </c>
      <c r="X30" s="1">
        <v>5429250989.8571701</v>
      </c>
      <c r="Y30" s="1">
        <v>709152728830.77454</v>
      </c>
    </row>
    <row r="31" spans="1:25">
      <c r="A31" s="1" t="s">
        <v>35</v>
      </c>
      <c r="B31" s="3" t="s">
        <v>37</v>
      </c>
      <c r="C31" s="1">
        <v>2005</v>
      </c>
      <c r="D31" s="3" t="s">
        <v>145</v>
      </c>
      <c r="E31" s="1">
        <v>1094324353137.751</v>
      </c>
      <c r="F31" s="1">
        <v>7.9234306213178911</v>
      </c>
      <c r="G31" s="1">
        <v>947.73256564427152</v>
      </c>
      <c r="H31" s="1">
        <v>283169224039.13312</v>
      </c>
      <c r="I31" s="1">
        <v>16.441231898034076</v>
      </c>
      <c r="J31" s="1">
        <v>454832471</v>
      </c>
      <c r="K31" s="1">
        <v>7.5510000000000002</v>
      </c>
      <c r="L31" s="1">
        <v>15.973017044613139</v>
      </c>
      <c r="M31" s="1">
        <v>9.3490886911469175</v>
      </c>
      <c r="N31" s="1">
        <v>149368907281.68408</v>
      </c>
      <c r="O31" s="1">
        <v>55.020453312310899</v>
      </c>
      <c r="P31" s="1">
        <v>19.0012317655898</v>
      </c>
      <c r="Q31" s="1">
        <v>25.978314922099301</v>
      </c>
      <c r="R31" s="1">
        <v>42.001669614869108</v>
      </c>
      <c r="S31" s="1">
        <v>196236214985.18198</v>
      </c>
      <c r="T31" s="1">
        <v>224769573108.96857</v>
      </c>
      <c r="U31" s="1">
        <v>160838260680.77817</v>
      </c>
      <c r="V31" s="1">
        <v>183736617243.32825</v>
      </c>
      <c r="W31" s="1">
        <v>13.9</v>
      </c>
      <c r="X31" s="1">
        <v>7269407225.6143799</v>
      </c>
      <c r="Y31" s="1">
        <v>820383763511.44543</v>
      </c>
    </row>
    <row r="32" spans="1:25">
      <c r="A32" s="1" t="s">
        <v>35</v>
      </c>
      <c r="B32" s="3" t="s">
        <v>37</v>
      </c>
      <c r="C32" s="1">
        <v>2006</v>
      </c>
      <c r="D32" s="3" t="s">
        <v>147</v>
      </c>
      <c r="E32" s="1">
        <v>1182534912725.9507</v>
      </c>
      <c r="F32" s="1">
        <v>8.0607325730505721</v>
      </c>
      <c r="G32" s="1">
        <v>1008.2327534481848</v>
      </c>
      <c r="H32" s="1">
        <v>322456437167.42218</v>
      </c>
      <c r="I32" s="1">
        <v>13.87411123564037</v>
      </c>
      <c r="J32" s="1">
        <v>457611460</v>
      </c>
      <c r="K32" s="1">
        <v>7.5529999999999999</v>
      </c>
      <c r="L32" s="1">
        <v>17.303653331192518</v>
      </c>
      <c r="M32" s="1">
        <v>17.787792317977249</v>
      </c>
      <c r="N32" s="1">
        <v>175938338296.58203</v>
      </c>
      <c r="O32" s="1">
        <v>54.273017899929599</v>
      </c>
      <c r="P32" s="1">
        <v>19.5238914291204</v>
      </c>
      <c r="Q32" s="1">
        <v>26.203090670950001</v>
      </c>
      <c r="R32" s="1">
        <v>45.724480499265226</v>
      </c>
      <c r="S32" s="1">
        <v>236256246986.08176</v>
      </c>
      <c r="T32" s="1">
        <v>273105470110.1124</v>
      </c>
      <c r="U32" s="1">
        <v>199973922363.78305</v>
      </c>
      <c r="V32" s="1">
        <v>229955027127.37158</v>
      </c>
      <c r="W32" s="1">
        <v>8.99</v>
      </c>
      <c r="X32" s="1">
        <v>20029119267.139599</v>
      </c>
      <c r="Y32" s="1">
        <v>940259888787.72144</v>
      </c>
    </row>
    <row r="33" spans="1:25">
      <c r="A33" s="1" t="s">
        <v>35</v>
      </c>
      <c r="B33" s="3" t="s">
        <v>37</v>
      </c>
      <c r="C33" s="1">
        <v>2007</v>
      </c>
      <c r="D33" s="3" t="s">
        <v>150</v>
      </c>
      <c r="E33" s="1">
        <v>1273126725470.218</v>
      </c>
      <c r="F33" s="1">
        <v>7.6608150651076556</v>
      </c>
      <c r="G33" s="1">
        <v>1069.246968122337</v>
      </c>
      <c r="H33" s="1">
        <v>375110021905.1532</v>
      </c>
      <c r="I33" s="1">
        <v>16.328898625891838</v>
      </c>
      <c r="J33" s="1">
        <v>460225575</v>
      </c>
      <c r="K33" s="1">
        <v>7.5620000000000003</v>
      </c>
      <c r="L33" s="1">
        <v>16.864567775406833</v>
      </c>
      <c r="M33" s="1">
        <v>6.98058873129321</v>
      </c>
      <c r="N33" s="1">
        <v>188219870113.73776</v>
      </c>
      <c r="O33" s="1">
        <v>53.368868437721702</v>
      </c>
      <c r="P33" s="1">
        <v>20.3219145451672</v>
      </c>
      <c r="Q33" s="1">
        <v>26.309209260168</v>
      </c>
      <c r="R33" s="1">
        <v>45.686268679347975</v>
      </c>
      <c r="S33" s="1">
        <v>250116311974.58334</v>
      </c>
      <c r="T33" s="1">
        <v>300283799134.48962</v>
      </c>
      <c r="U33" s="1">
        <v>253077526013.16815</v>
      </c>
      <c r="V33" s="1">
        <v>302803952552.49994</v>
      </c>
      <c r="W33" s="1">
        <v>11.99</v>
      </c>
      <c r="X33" s="1">
        <v>25227740886.6819</v>
      </c>
      <c r="Y33" s="1">
        <v>1216736438834.9553</v>
      </c>
    </row>
    <row r="34" spans="1:25">
      <c r="A34" s="1" t="s">
        <v>35</v>
      </c>
      <c r="B34" s="3" t="s">
        <v>37</v>
      </c>
      <c r="C34" s="1">
        <v>2008</v>
      </c>
      <c r="D34" s="3" t="s">
        <v>152</v>
      </c>
      <c r="E34" s="1">
        <v>1312424303400.2935</v>
      </c>
      <c r="F34" s="1">
        <v>3.0866980595008187</v>
      </c>
      <c r="G34" s="1">
        <v>1086.506052510045</v>
      </c>
      <c r="H34" s="1">
        <v>387111067148.48468</v>
      </c>
      <c r="I34" s="1">
        <v>3.199340071581986</v>
      </c>
      <c r="J34" s="1">
        <v>462536166</v>
      </c>
      <c r="K34" s="1">
        <v>7.6289999999999996</v>
      </c>
      <c r="L34" s="1">
        <v>17.098674148957809</v>
      </c>
      <c r="M34" s="1">
        <v>4.6636154823950164</v>
      </c>
      <c r="N34" s="1">
        <v>196997721117.30585</v>
      </c>
      <c r="O34" s="1">
        <v>52.879188395900101</v>
      </c>
      <c r="P34" s="1">
        <v>20.751447752882001</v>
      </c>
      <c r="Q34" s="1">
        <v>26.369363851217901</v>
      </c>
      <c r="R34" s="1">
        <v>53.368220439222625</v>
      </c>
      <c r="S34" s="1">
        <v>287078838543.55023</v>
      </c>
      <c r="T34" s="1">
        <v>367693385508.44513</v>
      </c>
      <c r="U34" s="1">
        <v>288902044820.69763</v>
      </c>
      <c r="V34" s="1">
        <v>350926955799.10577</v>
      </c>
      <c r="W34" s="1">
        <v>5.98</v>
      </c>
      <c r="X34" s="1">
        <v>43406277075.810799</v>
      </c>
      <c r="Y34" s="1">
        <v>1198895139005.9189</v>
      </c>
    </row>
    <row r="35" spans="1:25">
      <c r="A35" s="1" t="s">
        <v>35</v>
      </c>
      <c r="B35" s="3" t="s">
        <v>37</v>
      </c>
      <c r="C35" s="1">
        <v>2009</v>
      </c>
      <c r="D35" s="3" t="s">
        <v>155</v>
      </c>
      <c r="E35" s="1">
        <v>1415605643151.3428</v>
      </c>
      <c r="F35" s="1">
        <v>7.8618888330338024</v>
      </c>
      <c r="G35" s="1">
        <v>1155.1016327381701</v>
      </c>
      <c r="H35" s="1">
        <v>416829118260.31561</v>
      </c>
      <c r="I35" s="1">
        <v>7.6768797468742775</v>
      </c>
      <c r="J35" s="1">
        <v>464953334</v>
      </c>
      <c r="K35" s="1">
        <v>7.6360000000000001</v>
      </c>
      <c r="L35" s="1">
        <v>17.143577667284617</v>
      </c>
      <c r="M35" s="1">
        <v>10.967629778823465</v>
      </c>
      <c r="N35" s="1">
        <v>218603701842.17108</v>
      </c>
      <c r="O35" s="1">
        <v>51.944426618063801</v>
      </c>
      <c r="P35" s="1">
        <v>21.5635579497653</v>
      </c>
      <c r="Q35" s="1">
        <v>26.4920231164018</v>
      </c>
      <c r="R35" s="1">
        <v>46.272869642883734</v>
      </c>
      <c r="S35" s="1">
        <v>273200800545.0488</v>
      </c>
      <c r="T35" s="1">
        <v>360612286798.89502</v>
      </c>
      <c r="U35" s="1">
        <v>273752124889.21069</v>
      </c>
      <c r="V35" s="1">
        <v>347177967968.3161</v>
      </c>
      <c r="W35" s="1">
        <v>6.84</v>
      </c>
      <c r="X35" s="1">
        <v>35581372929.664101</v>
      </c>
      <c r="Y35" s="1">
        <v>1341888016994.8982</v>
      </c>
    </row>
    <row r="36" spans="1:25">
      <c r="A36" s="1" t="s">
        <v>35</v>
      </c>
      <c r="B36" s="3" t="s">
        <v>37</v>
      </c>
      <c r="C36" s="1">
        <v>2010</v>
      </c>
      <c r="D36" s="3" t="s">
        <v>156</v>
      </c>
      <c r="E36" s="1">
        <v>1535897931719.5537</v>
      </c>
      <c r="F36" s="1">
        <v>8.4975847016562511</v>
      </c>
      <c r="G36" s="1">
        <v>1235.1593913293866</v>
      </c>
      <c r="H36" s="1">
        <v>462872670734.46613</v>
      </c>
      <c r="I36" s="1">
        <v>11.046145880191531</v>
      </c>
      <c r="J36" s="1">
        <v>467561989</v>
      </c>
      <c r="K36" s="1">
        <v>7.6310000000000002</v>
      </c>
      <c r="L36" s="1">
        <v>17.029934249862396</v>
      </c>
      <c r="M36" s="1">
        <v>7.6951064643586449</v>
      </c>
      <c r="N36" s="1">
        <v>235425489433.95529</v>
      </c>
      <c r="O36" s="1">
        <v>51.056070239904997</v>
      </c>
      <c r="P36" s="1">
        <v>22.377888837294201</v>
      </c>
      <c r="Q36" s="1">
        <v>26.5660351341417</v>
      </c>
      <c r="R36" s="1">
        <v>49.255206497416133</v>
      </c>
      <c r="S36" s="1">
        <v>326415222546.8512</v>
      </c>
      <c r="T36" s="1">
        <v>417631910196.73767</v>
      </c>
      <c r="U36" s="1">
        <v>375353514026.26672</v>
      </c>
      <c r="V36" s="1">
        <v>449974370198.80188</v>
      </c>
      <c r="W36" s="1">
        <v>6.1</v>
      </c>
      <c r="X36" s="1">
        <v>27396885033.783798</v>
      </c>
      <c r="Y36" s="1">
        <v>1675615519484.959</v>
      </c>
    </row>
    <row r="37" spans="1:25">
      <c r="A37" s="1" t="s">
        <v>35</v>
      </c>
      <c r="B37" s="3" t="s">
        <v>37</v>
      </c>
      <c r="C37" s="1">
        <v>2011</v>
      </c>
      <c r="D37" s="3" t="s">
        <v>158</v>
      </c>
      <c r="E37" s="1">
        <v>1616399198833.9668</v>
      </c>
      <c r="F37" s="1">
        <v>5.2413162002429345</v>
      </c>
      <c r="G37" s="1">
        <v>1281.610543549368</v>
      </c>
      <c r="H37" s="1">
        <v>518847632198.9339</v>
      </c>
      <c r="I37" s="1">
        <v>12.09295017907391</v>
      </c>
      <c r="J37" s="1">
        <v>471891929</v>
      </c>
      <c r="K37" s="1">
        <v>7.609</v>
      </c>
      <c r="L37" s="1">
        <v>16.139337444628858</v>
      </c>
      <c r="M37" s="1">
        <v>3.1250562390001875</v>
      </c>
      <c r="N37" s="1">
        <v>242782668379.70786</v>
      </c>
      <c r="O37" s="1">
        <v>49.075305915587599</v>
      </c>
      <c r="P37" s="1">
        <v>23.547382125569602</v>
      </c>
      <c r="Q37" s="1">
        <v>27.3773195279181</v>
      </c>
      <c r="R37" s="1">
        <v>55.623880013529771</v>
      </c>
      <c r="S37" s="1">
        <v>376986672436.83746</v>
      </c>
      <c r="T37" s="1">
        <v>502877815932.63135</v>
      </c>
      <c r="U37" s="1">
        <v>447384417625.09271</v>
      </c>
      <c r="V37" s="1">
        <v>566667744819.90845</v>
      </c>
      <c r="W37" s="1">
        <v>7.33</v>
      </c>
      <c r="X37" s="1">
        <v>36498654597.858902</v>
      </c>
      <c r="Y37" s="1">
        <v>1823051829894.5461</v>
      </c>
    </row>
    <row r="38" spans="1:25">
      <c r="A38" s="1" t="s">
        <v>35</v>
      </c>
      <c r="B38" s="3" t="s">
        <v>37</v>
      </c>
      <c r="C38" s="1">
        <v>2012</v>
      </c>
      <c r="D38" s="3" t="s">
        <v>160</v>
      </c>
      <c r="E38" s="1">
        <v>1704596203504.0764</v>
      </c>
      <c r="F38" s="1">
        <v>5.4563875516477225</v>
      </c>
      <c r="G38" s="1">
        <v>1333.0962655764886</v>
      </c>
      <c r="H38" s="1">
        <v>544473914757.74652</v>
      </c>
      <c r="I38" s="1">
        <v>4.9390767093232313</v>
      </c>
      <c r="J38" s="1">
        <v>476101422</v>
      </c>
      <c r="K38" s="1">
        <v>7.6449999999999996</v>
      </c>
      <c r="L38" s="1">
        <v>15.816923007106634</v>
      </c>
      <c r="M38" s="1">
        <v>5.4530833068635332</v>
      </c>
      <c r="N38" s="1">
        <v>256021809541.07962</v>
      </c>
      <c r="O38" s="1">
        <v>47.088154462332199</v>
      </c>
      <c r="P38" s="1">
        <v>24.692037963598398</v>
      </c>
      <c r="Q38" s="1">
        <v>28.219815079124601</v>
      </c>
      <c r="R38" s="1">
        <v>55.793721728751144</v>
      </c>
      <c r="S38" s="1">
        <v>402642458200.65753</v>
      </c>
      <c r="T38" s="1">
        <v>533160095341.88763</v>
      </c>
      <c r="U38" s="1">
        <v>448400477361.25354</v>
      </c>
      <c r="V38" s="1">
        <v>571306554042.38562</v>
      </c>
      <c r="W38" s="1">
        <v>6.32</v>
      </c>
      <c r="X38" s="1">
        <v>23995685014.2141</v>
      </c>
      <c r="Y38" s="1">
        <v>1827637590410.4143</v>
      </c>
    </row>
    <row r="39" spans="1:25">
      <c r="A39" s="1" t="s">
        <v>35</v>
      </c>
      <c r="B39" s="3" t="s">
        <v>37</v>
      </c>
      <c r="C39" s="1">
        <v>2013</v>
      </c>
      <c r="D39" s="3" t="s">
        <v>163</v>
      </c>
      <c r="E39" s="1">
        <v>1813453530765.8406</v>
      </c>
      <c r="F39" s="1">
        <v>6.3861064009171287</v>
      </c>
      <c r="G39" s="1">
        <v>1399.4537980280961</v>
      </c>
      <c r="H39" s="1">
        <v>552977528627.17017</v>
      </c>
      <c r="I39" s="1">
        <v>1.5618037226277721</v>
      </c>
      <c r="J39" s="1">
        <v>484466830</v>
      </c>
      <c r="K39" s="1">
        <v>7.6779999999999999</v>
      </c>
      <c r="L39" s="1">
        <v>15.253022692585985</v>
      </c>
      <c r="M39" s="1">
        <v>4.9658474395659624</v>
      </c>
      <c r="N39" s="1">
        <v>268735462014.90576</v>
      </c>
      <c r="O39" s="1">
        <v>46.241883981632697</v>
      </c>
      <c r="P39" s="1">
        <v>24.754673840533499</v>
      </c>
      <c r="Q39" s="1">
        <v>29.003443966457802</v>
      </c>
      <c r="R39" s="1">
        <v>53.844131946677734</v>
      </c>
      <c r="S39" s="1">
        <v>434017925781.46588</v>
      </c>
      <c r="T39" s="1">
        <v>489729935219.33954</v>
      </c>
      <c r="U39" s="1">
        <v>472180271340.14923</v>
      </c>
      <c r="V39" s="1">
        <v>527555307105.9563</v>
      </c>
      <c r="W39" s="1">
        <v>6.34</v>
      </c>
      <c r="X39" s="1">
        <v>28153031270.320202</v>
      </c>
      <c r="Y39" s="1">
        <v>1856721507621.5764</v>
      </c>
    </row>
    <row r="40" spans="1:25">
      <c r="A40" s="1" t="s">
        <v>35</v>
      </c>
      <c r="B40" s="3" t="s">
        <v>37</v>
      </c>
      <c r="C40" s="1">
        <v>2014</v>
      </c>
      <c r="D40" s="3" t="s">
        <v>165</v>
      </c>
      <c r="E40" s="1">
        <v>1947834564909.5762</v>
      </c>
      <c r="F40" s="1">
        <v>7.4102276051697658</v>
      </c>
      <c r="G40" s="1">
        <v>1484.3164068296119</v>
      </c>
      <c r="H40" s="1">
        <v>567372901989.4071</v>
      </c>
      <c r="I40" s="1">
        <v>2.6032474408092128</v>
      </c>
      <c r="J40" s="1">
        <v>492680645</v>
      </c>
      <c r="K40" s="1">
        <v>7.6559999999999997</v>
      </c>
      <c r="L40" s="1">
        <v>15.065570110758902</v>
      </c>
      <c r="M40" s="1">
        <v>7.8956697662977433</v>
      </c>
      <c r="N40" s="1">
        <v>289953926640.53723</v>
      </c>
      <c r="O40" s="1">
        <v>45.254711115223699</v>
      </c>
      <c r="P40" s="1">
        <v>24.896015202228199</v>
      </c>
      <c r="Q40" s="1">
        <v>29.849273682548102</v>
      </c>
      <c r="R40" s="1">
        <v>48.922185747066905</v>
      </c>
      <c r="S40" s="1">
        <v>441732988212.41595</v>
      </c>
      <c r="T40" s="1">
        <v>493996613076.41559</v>
      </c>
      <c r="U40" s="1">
        <v>468345815420.93292</v>
      </c>
      <c r="V40" s="1">
        <v>529239428328.66528</v>
      </c>
      <c r="W40" s="1" t="s">
        <v>43</v>
      </c>
      <c r="X40" s="1">
        <v>34576643694.138199</v>
      </c>
      <c r="Y40" s="1">
        <v>2039126479154.5168</v>
      </c>
    </row>
    <row r="41" spans="1:25">
      <c r="A41" s="1" t="s">
        <v>35</v>
      </c>
      <c r="B41" s="3" t="s">
        <v>37</v>
      </c>
      <c r="C41" s="1">
        <v>2015</v>
      </c>
      <c r="D41" s="3" t="s">
        <v>167</v>
      </c>
      <c r="E41" s="1">
        <v>2103588360044.9392</v>
      </c>
      <c r="F41" s="1">
        <v>7.996253785679869</v>
      </c>
      <c r="G41" s="1">
        <v>1583.9981590798479</v>
      </c>
      <c r="H41" s="1">
        <v>604427075366.9364</v>
      </c>
      <c r="I41" s="1">
        <v>6.5308324115593877</v>
      </c>
      <c r="J41" s="1">
        <v>500640619</v>
      </c>
      <c r="K41" s="1">
        <v>7.6289999999999996</v>
      </c>
      <c r="L41" s="1">
        <v>15.583854586371334</v>
      </c>
      <c r="M41" s="1">
        <v>13.059393581395867</v>
      </c>
      <c r="N41" s="1">
        <v>327820151125.23682</v>
      </c>
      <c r="O41" s="1">
        <v>44.2796936892031</v>
      </c>
      <c r="P41" s="1">
        <v>24.9480704919335</v>
      </c>
      <c r="Q41" s="1">
        <v>30.7722358188634</v>
      </c>
      <c r="R41" s="1">
        <v>41.922913865864722</v>
      </c>
      <c r="S41" s="1">
        <v>416787940847.81219</v>
      </c>
      <c r="T41" s="1">
        <v>465097595426.1839</v>
      </c>
      <c r="U41" s="1">
        <v>416787940847.81219</v>
      </c>
      <c r="V41" s="1">
        <v>465097595426.1839</v>
      </c>
      <c r="W41" s="1">
        <v>7.32</v>
      </c>
      <c r="X41" s="1">
        <v>44009492129.531898</v>
      </c>
      <c r="Y41" s="1">
        <v>2103588360044.9392</v>
      </c>
    </row>
    <row r="42" spans="1:25">
      <c r="A42" s="1" t="s">
        <v>35</v>
      </c>
      <c r="B42" s="3" t="s">
        <v>37</v>
      </c>
      <c r="C42" s="1">
        <v>2016</v>
      </c>
      <c r="D42" s="3" t="s">
        <v>169</v>
      </c>
      <c r="E42" s="1">
        <v>2277267041549.8516</v>
      </c>
      <c r="F42" s="1">
        <v>8.2563055017666187</v>
      </c>
      <c r="G42" s="1">
        <v>1694.465349737867</v>
      </c>
      <c r="H42" s="1">
        <v>655552238064.46387</v>
      </c>
      <c r="I42" s="1">
        <v>8.458450122620718</v>
      </c>
      <c r="J42" s="1">
        <v>508681288</v>
      </c>
      <c r="K42" s="1">
        <v>7.6109999999999998</v>
      </c>
      <c r="L42" s="1">
        <v>15.162237133252901</v>
      </c>
      <c r="M42" s="1">
        <v>7.9268214208403975</v>
      </c>
      <c r="N42" s="1">
        <v>353805869086.46344</v>
      </c>
      <c r="O42" s="1">
        <v>43.204850592630699</v>
      </c>
      <c r="P42" s="1">
        <v>25.189478375845301</v>
      </c>
      <c r="Q42" s="1">
        <v>31.605663371419499</v>
      </c>
      <c r="R42" s="1">
        <v>40.082485713276021</v>
      </c>
      <c r="S42" s="1">
        <v>437561725552.71082</v>
      </c>
      <c r="T42" s="1">
        <v>485477678606.36224</v>
      </c>
      <c r="U42" s="1">
        <v>439642578076.35834</v>
      </c>
      <c r="V42" s="1">
        <v>480169055768.2821</v>
      </c>
      <c r="W42" s="1">
        <v>6.35</v>
      </c>
      <c r="X42" s="1">
        <v>44458571545.797997</v>
      </c>
      <c r="Y42" s="1">
        <v>2294796885663.1631</v>
      </c>
    </row>
    <row r="43" spans="1:25">
      <c r="A43" s="1" t="s">
        <v>35</v>
      </c>
      <c r="B43" s="3" t="s">
        <v>37</v>
      </c>
      <c r="C43" s="1">
        <v>2017</v>
      </c>
      <c r="D43" s="3" t="s">
        <v>171</v>
      </c>
      <c r="E43" s="1">
        <v>2432016068498.2334</v>
      </c>
      <c r="F43" s="1">
        <v>6.7953834190242191</v>
      </c>
      <c r="G43" s="1">
        <v>1788.6977031848121</v>
      </c>
      <c r="H43" s="1">
        <v>706699366177.94397</v>
      </c>
      <c r="I43" s="1">
        <v>7.8021437718668096</v>
      </c>
      <c r="J43" s="1">
        <v>516713963</v>
      </c>
      <c r="K43" s="1">
        <v>7.6260000000000003</v>
      </c>
      <c r="L43" s="1">
        <v>15.018238750171792</v>
      </c>
      <c r="M43" s="1">
        <v>7.5270636029121931</v>
      </c>
      <c r="N43" s="1">
        <v>380437061883.43781</v>
      </c>
      <c r="O43" s="1">
        <v>42.267106468212397</v>
      </c>
      <c r="P43" s="1">
        <v>25.265722733605099</v>
      </c>
      <c r="Q43" s="1">
        <v>32.467165141529698</v>
      </c>
      <c r="R43" s="1">
        <v>40.74249695452253</v>
      </c>
      <c r="S43" s="1">
        <v>457535139607.76917</v>
      </c>
      <c r="T43" s="1">
        <v>570047809511.49963</v>
      </c>
      <c r="U43" s="1">
        <v>498258808231.521</v>
      </c>
      <c r="V43" s="1">
        <v>582018012521.56775</v>
      </c>
      <c r="W43" s="1">
        <v>5.78</v>
      </c>
      <c r="X43" s="1">
        <v>39966091358.738403</v>
      </c>
      <c r="Y43" s="1">
        <v>2651474262755.4521</v>
      </c>
    </row>
    <row r="44" spans="1:25">
      <c r="A44" s="1" t="s">
        <v>35</v>
      </c>
      <c r="B44" s="3" t="s">
        <v>37</v>
      </c>
      <c r="C44" s="1">
        <v>2018</v>
      </c>
      <c r="D44" s="3" t="s">
        <v>173</v>
      </c>
      <c r="E44" s="1">
        <v>2588974770244.4785</v>
      </c>
      <c r="F44" s="1">
        <v>6.4538513449529518</v>
      </c>
      <c r="G44" s="1">
        <v>1883.3577270505514</v>
      </c>
      <c r="H44" s="1">
        <v>785871380821.78479</v>
      </c>
      <c r="I44" s="1">
        <v>11.203068579504787</v>
      </c>
      <c r="J44" s="1">
        <v>524292869</v>
      </c>
      <c r="K44" s="1">
        <v>7.6520000000000001</v>
      </c>
      <c r="L44" s="1">
        <v>14.881530667301684</v>
      </c>
      <c r="M44" s="1">
        <v>5.4115568850371574</v>
      </c>
      <c r="N44" s="1">
        <v>401024629899.02405</v>
      </c>
      <c r="O44" s="1">
        <v>41.294998924914097</v>
      </c>
      <c r="P44" s="1">
        <v>25.3658737784355</v>
      </c>
      <c r="Q44" s="1">
        <v>33.339127296650503</v>
      </c>
      <c r="R44" s="1">
        <v>43.616969332388891</v>
      </c>
      <c r="S44" s="1">
        <v>512127641086.62427</v>
      </c>
      <c r="T44" s="1">
        <v>620341399086.23462</v>
      </c>
      <c r="U44" s="1">
        <v>538635186135.43817</v>
      </c>
      <c r="V44" s="1">
        <v>640300806738.54187</v>
      </c>
      <c r="W44" s="1">
        <v>4.88</v>
      </c>
      <c r="X44" s="1">
        <v>42117450737.264397</v>
      </c>
      <c r="Y44" s="1">
        <v>2702929641648.7407</v>
      </c>
    </row>
    <row r="45" spans="1:25">
      <c r="A45" s="1" t="s">
        <v>35</v>
      </c>
      <c r="B45" s="3" t="s">
        <v>37</v>
      </c>
      <c r="C45" s="1">
        <v>2019</v>
      </c>
      <c r="D45" s="3" t="s">
        <v>175</v>
      </c>
      <c r="E45" s="1">
        <v>2689205295885.2617</v>
      </c>
      <c r="F45" s="1">
        <v>3.8714369407052374</v>
      </c>
      <c r="G45" s="1">
        <v>1936.0306774106321</v>
      </c>
      <c r="H45" s="1">
        <v>794883609043.54114</v>
      </c>
      <c r="I45" s="1">
        <v>1.1467815779641057</v>
      </c>
      <c r="J45" s="1">
        <v>531373378</v>
      </c>
      <c r="K45" s="1">
        <v>6.51</v>
      </c>
      <c r="L45" s="1">
        <v>13.455807563339416</v>
      </c>
      <c r="M45" s="1">
        <v>-2.9749629420838488</v>
      </c>
      <c r="N45" s="1">
        <v>389094295770.89917</v>
      </c>
      <c r="O45" s="1">
        <v>40.651814999322703</v>
      </c>
      <c r="P45" s="1">
        <v>25.251113046720999</v>
      </c>
      <c r="Q45" s="1">
        <v>34.097073966908198</v>
      </c>
      <c r="R45" s="1">
        <v>39.905403530644193</v>
      </c>
      <c r="S45" s="1">
        <v>494792232272.37469</v>
      </c>
      <c r="T45" s="1">
        <v>615137005953.59619</v>
      </c>
      <c r="U45" s="1">
        <v>529245063167.21539</v>
      </c>
      <c r="V45" s="1">
        <v>602315056052.52625</v>
      </c>
      <c r="W45" s="1">
        <v>6.59</v>
      </c>
      <c r="X45" s="1">
        <v>50610647353.591103</v>
      </c>
      <c r="Y45" s="1">
        <v>2835606256558.1948</v>
      </c>
    </row>
    <row r="46" spans="1:25">
      <c r="A46" s="1" t="s">
        <v>35</v>
      </c>
      <c r="B46" s="3" t="s">
        <v>37</v>
      </c>
      <c r="C46" s="1">
        <v>2020</v>
      </c>
      <c r="D46" s="3" t="s">
        <v>177</v>
      </c>
      <c r="E46" s="1">
        <v>2533830417086.3608</v>
      </c>
      <c r="F46" s="1">
        <v>-5.7777247068730304</v>
      </c>
      <c r="G46" s="1">
        <v>1806.5011058386517</v>
      </c>
      <c r="H46" s="1">
        <v>738477753555.94299</v>
      </c>
      <c r="I46" s="1">
        <v>-7.0961150595959026</v>
      </c>
      <c r="J46" s="1">
        <v>532528354</v>
      </c>
      <c r="K46" s="1">
        <v>7.859</v>
      </c>
      <c r="L46" s="1">
        <v>14.120485357692278</v>
      </c>
      <c r="M46" s="1">
        <v>3.0736109935103286</v>
      </c>
      <c r="N46" s="1">
        <v>401053540820.83514</v>
      </c>
      <c r="O46" s="1">
        <v>44.6754951957099</v>
      </c>
      <c r="P46" s="1">
        <v>23.703647531851601</v>
      </c>
      <c r="Q46" s="1">
        <v>31.620857272438499</v>
      </c>
      <c r="R46" s="1">
        <v>37.758105329276752</v>
      </c>
      <c r="S46" s="1">
        <v>460373305611.34979</v>
      </c>
      <c r="T46" s="1">
        <v>537490415296.71191</v>
      </c>
      <c r="U46" s="1">
        <v>499728529072.62909</v>
      </c>
      <c r="V46" s="1">
        <v>510244747372.17383</v>
      </c>
      <c r="W46" s="1">
        <v>6.19</v>
      </c>
      <c r="X46" s="1">
        <v>64362364994.375397</v>
      </c>
      <c r="Y46" s="1">
        <v>2674851578587.2686</v>
      </c>
    </row>
    <row r="47" spans="1:25">
      <c r="A47" s="1" t="s">
        <v>35</v>
      </c>
      <c r="B47" s="3" t="s">
        <v>37</v>
      </c>
      <c r="C47" s="1">
        <v>2021</v>
      </c>
      <c r="D47" s="3" t="s">
        <v>179</v>
      </c>
      <c r="E47" s="1">
        <v>2779348258938.2803</v>
      </c>
      <c r="F47" s="1">
        <v>9.6895924919174092</v>
      </c>
      <c r="G47" s="1">
        <v>1965.3094343747164</v>
      </c>
      <c r="H47" s="1">
        <v>867868706472.12244</v>
      </c>
      <c r="I47" s="1">
        <v>17.521306808923057</v>
      </c>
      <c r="J47" s="1">
        <v>550352877</v>
      </c>
      <c r="K47" s="1">
        <v>6.38</v>
      </c>
      <c r="L47" s="1">
        <v>14.377028853128614</v>
      </c>
      <c r="M47" s="1">
        <v>9.9552196717495889</v>
      </c>
      <c r="N47" s="1">
        <v>440979301810.87921</v>
      </c>
      <c r="O47" s="1">
        <v>44.079186886638198</v>
      </c>
      <c r="P47" s="1">
        <v>24.4704786231875</v>
      </c>
      <c r="Q47" s="1">
        <v>31.450327114961201</v>
      </c>
      <c r="R47" s="1">
        <v>45.423088784044594</v>
      </c>
      <c r="S47" s="1">
        <v>596640556155.27429</v>
      </c>
      <c r="T47" s="1">
        <v>656245818343.69556</v>
      </c>
      <c r="U47" s="1">
        <v>677769255428.55212</v>
      </c>
      <c r="V47" s="1">
        <v>760902891806.01318</v>
      </c>
      <c r="W47" s="1">
        <v>5.87</v>
      </c>
      <c r="X47" s="1">
        <v>44727277562.880997</v>
      </c>
      <c r="Y47" s="1">
        <v>3167270623260.4688</v>
      </c>
    </row>
    <row r="48" spans="1:25">
      <c r="A48" s="1" t="s">
        <v>35</v>
      </c>
      <c r="B48" s="3" t="s">
        <v>37</v>
      </c>
      <c r="C48" s="1">
        <v>2022</v>
      </c>
      <c r="D48" s="3" t="s">
        <v>181</v>
      </c>
      <c r="E48" s="1">
        <v>2990839011962.0557</v>
      </c>
      <c r="F48" s="1">
        <v>7.609364977693204</v>
      </c>
      <c r="G48" s="1">
        <v>2098.2112447612194</v>
      </c>
      <c r="H48" s="1">
        <v>941161453067.49158</v>
      </c>
      <c r="I48" s="1">
        <v>8.4451422258677127</v>
      </c>
      <c r="J48" s="1">
        <v>569155867</v>
      </c>
      <c r="K48" s="1">
        <v>4.8220000000000001</v>
      </c>
      <c r="L48" s="1">
        <v>13.332720262397361</v>
      </c>
      <c r="M48" s="1">
        <v>-1.744196563454409</v>
      </c>
      <c r="N48" s="1">
        <v>433287755983.14862</v>
      </c>
      <c r="O48" s="1">
        <v>42.8609991503088</v>
      </c>
      <c r="P48" s="1">
        <v>26.1203341573875</v>
      </c>
      <c r="Q48" s="1">
        <v>31.0186666923037</v>
      </c>
      <c r="R48" s="1">
        <v>50.697938275804233</v>
      </c>
      <c r="S48" s="1">
        <v>658219877491.87012</v>
      </c>
      <c r="T48" s="1">
        <v>714786868775.4751</v>
      </c>
      <c r="U48" s="1">
        <v>781290791563.82654</v>
      </c>
      <c r="V48" s="1">
        <v>866361019118.76611</v>
      </c>
      <c r="W48" s="1">
        <v>4.59</v>
      </c>
      <c r="X48" s="1">
        <v>49940258404.2659</v>
      </c>
      <c r="Y48" s="1">
        <v>3249938492013.4712</v>
      </c>
    </row>
    <row r="49" spans="1:25">
      <c r="A49" s="1" t="s">
        <v>35</v>
      </c>
      <c r="B49" s="3" t="s">
        <v>37</v>
      </c>
      <c r="C49" s="1">
        <v>2023</v>
      </c>
      <c r="D49" s="3" t="s">
        <v>184</v>
      </c>
      <c r="E49" s="1">
        <v>3206485223026.3037</v>
      </c>
      <c r="F49" s="1">
        <v>7.2102246293350021</v>
      </c>
      <c r="G49" s="1">
        <v>2229.7149122303699</v>
      </c>
      <c r="H49" s="1">
        <v>1009423253895.8359</v>
      </c>
      <c r="I49" s="1">
        <v>7.2529320666354664</v>
      </c>
      <c r="J49" s="1">
        <v>589486854</v>
      </c>
      <c r="K49" s="1">
        <v>4.1719999999999997</v>
      </c>
      <c r="L49" s="1">
        <v>13.312843875072023</v>
      </c>
      <c r="M49" s="1">
        <v>12.707025648704672</v>
      </c>
      <c r="N49" s="1">
        <v>488345742268.62421</v>
      </c>
      <c r="O49" s="1">
        <v>43.513581124579296</v>
      </c>
      <c r="P49" s="1">
        <v>25.029211598620101</v>
      </c>
      <c r="Q49" s="1">
        <v>31.457207276800599</v>
      </c>
      <c r="R49" s="1">
        <v>46.322952058233838</v>
      </c>
      <c r="S49" s="1">
        <v>662886943836.82874</v>
      </c>
      <c r="T49" s="1">
        <v>707406852191.65955</v>
      </c>
      <c r="U49" s="1">
        <v>782620610192.05066</v>
      </c>
      <c r="V49" s="1">
        <v>839102411987.34082</v>
      </c>
      <c r="W49" s="1" t="s">
        <v>43</v>
      </c>
      <c r="X49" s="1">
        <v>28086193530.3979</v>
      </c>
      <c r="Y49" s="1">
        <v>3500906030644.7642</v>
      </c>
    </row>
    <row r="50" spans="1:25">
      <c r="A50" s="1" t="s">
        <v>35</v>
      </c>
      <c r="B50" s="3" t="s">
        <v>37</v>
      </c>
      <c r="C50" s="1">
        <v>2024</v>
      </c>
      <c r="D50" s="3" t="s">
        <v>186</v>
      </c>
      <c r="E50" s="1">
        <v>3434122552914.7739</v>
      </c>
      <c r="F50" s="1">
        <v>7.0992789317651841</v>
      </c>
      <c r="G50" s="1">
        <v>2366.8328910323048</v>
      </c>
      <c r="H50" s="1">
        <v>1074125919425.715</v>
      </c>
      <c r="I50" s="1">
        <v>6.4098647698238835</v>
      </c>
      <c r="J50" s="1">
        <v>608500805</v>
      </c>
      <c r="K50" s="1">
        <v>4.173</v>
      </c>
      <c r="L50" s="1">
        <v>13.139219949132599</v>
      </c>
      <c r="M50" s="1">
        <v>9.2890336559855626</v>
      </c>
      <c r="N50" s="1">
        <v>533708342625.52924</v>
      </c>
      <c r="O50" s="1">
        <v>42.3547738876441</v>
      </c>
      <c r="P50" s="1">
        <v>25.370925971161199</v>
      </c>
      <c r="Q50" s="1">
        <v>32.274309744917801</v>
      </c>
      <c r="R50" s="1">
        <v>45.916690767874819</v>
      </c>
      <c r="S50" s="1">
        <v>706367121491.2843</v>
      </c>
      <c r="T50" s="1">
        <v>744951456636.97205</v>
      </c>
      <c r="U50" s="1">
        <v>829785193474.45898</v>
      </c>
      <c r="V50" s="1">
        <v>897055898132.00037</v>
      </c>
      <c r="W50" s="1" t="s">
        <v>43</v>
      </c>
      <c r="X50" s="1">
        <v>27139853378.140202</v>
      </c>
      <c r="Y50" s="1">
        <v>3760813470500.8564</v>
      </c>
    </row>
    <row r="51" spans="1:25">
      <c r="A51" s="1" t="s">
        <v>35</v>
      </c>
      <c r="B51" s="3" t="s">
        <v>37</v>
      </c>
      <c r="C51" s="1">
        <v>2025</v>
      </c>
      <c r="D51" s="3" t="s">
        <v>189</v>
      </c>
      <c r="E51" s="1">
        <v>3693970992045.5615</v>
      </c>
      <c r="F51" s="1">
        <v>7.5666617928424387</v>
      </c>
      <c r="G51" s="1">
        <v>2523.4360185137643</v>
      </c>
      <c r="H51" s="1">
        <v>1150204050793.3862</v>
      </c>
      <c r="I51" s="1">
        <v>7.0827944835691881</v>
      </c>
      <c r="J51" s="1">
        <v>617625336</v>
      </c>
      <c r="K51" s="1">
        <v>4.2190000000000003</v>
      </c>
      <c r="L51" s="1">
        <v>13.471055068464782</v>
      </c>
      <c r="M51" s="1">
        <v>11.531872924542057</v>
      </c>
      <c r="N51" s="1">
        <v>595254910484.78479</v>
      </c>
      <c r="O51" s="1">
        <v>41.625128087757297</v>
      </c>
      <c r="P51" s="1">
        <v>25.817307380638098</v>
      </c>
      <c r="Q51" s="1">
        <v>32.557562503110901</v>
      </c>
      <c r="R51" s="1">
        <v>46.268200685990735</v>
      </c>
      <c r="S51" s="1">
        <v>751980993994.73242</v>
      </c>
      <c r="T51" s="1">
        <v>792599628325.21509</v>
      </c>
      <c r="U51" s="1">
        <v>880740846621.54529</v>
      </c>
      <c r="V51" s="1">
        <v>949660225776.15845</v>
      </c>
      <c r="W51" s="1" t="s">
        <v>43</v>
      </c>
      <c r="X51" s="1">
        <v>39097233086.213303</v>
      </c>
      <c r="Y51" s="1">
        <v>3956067115771.6313</v>
      </c>
    </row>
    <row r="52" spans="1:25">
      <c r="B52" s="3"/>
      <c r="D52" s="3"/>
    </row>
    <row r="53" spans="1:25">
      <c r="B53" s="3"/>
      <c r="D53" s="3"/>
    </row>
    <row r="54" spans="1:25">
      <c r="B54" s="3"/>
      <c r="D54" s="3"/>
    </row>
    <row r="55" spans="1:25">
      <c r="A55" s="1" t="s">
        <v>191</v>
      </c>
      <c r="B55" s="3"/>
      <c r="D55" s="3"/>
    </row>
    <row r="56" spans="1:25">
      <c r="A56" s="1" t="s">
        <v>193</v>
      </c>
    </row>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L1024"/>
  <sheetViews>
    <sheetView workbookViewId="0"/>
  </sheetViews>
  <sheetFormatPr defaultColWidth="12.5703125" defaultRowHeight="15" customHeight="1"/>
  <cols>
    <col min="1" max="2" width="9" customWidth="1"/>
    <col min="3" max="3" width="1.42578125" customWidth="1"/>
    <col min="4" max="4" width="18.140625" customWidth="1"/>
    <col min="5" max="6" width="9" customWidth="1"/>
    <col min="7" max="7" width="16.85546875" customWidth="1"/>
    <col min="8" max="8" width="1.140625" customWidth="1"/>
    <col min="9" max="10" width="9" customWidth="1"/>
    <col min="11" max="11" width="1.42578125" customWidth="1"/>
    <col min="12" max="12" width="11.42578125" customWidth="1"/>
    <col min="13" max="13" width="11.5703125" customWidth="1"/>
    <col min="14" max="14" width="14" customWidth="1"/>
    <col min="15" max="15" width="16.140625" customWidth="1"/>
    <col min="16" max="16" width="11.5703125" customWidth="1"/>
    <col min="17" max="17" width="12" customWidth="1"/>
    <col min="18" max="18" width="9" customWidth="1"/>
    <col min="19" max="19" width="13.42578125" customWidth="1"/>
    <col min="20" max="20" width="1.42578125" customWidth="1"/>
    <col min="21" max="21" width="9" customWidth="1"/>
    <col min="22" max="22" width="12.42578125" customWidth="1"/>
    <col min="23" max="23" width="13.42578125" customWidth="1"/>
    <col min="24" max="26" width="9" customWidth="1"/>
    <col min="27" max="27" width="1.42578125" customWidth="1"/>
    <col min="28" max="31" width="9" customWidth="1"/>
    <col min="32" max="32" width="2" customWidth="1"/>
    <col min="33" max="33" width="20.42578125" customWidth="1"/>
    <col min="34" max="35" width="9" customWidth="1"/>
    <col min="36" max="36" width="11.42578125" customWidth="1"/>
    <col min="37" max="37" width="53" customWidth="1"/>
    <col min="38" max="38" width="39.7109375" customWidth="1"/>
  </cols>
  <sheetData>
    <row r="1" spans="1:38" ht="150.75" customHeight="1">
      <c r="A1" s="2" t="s">
        <v>0</v>
      </c>
      <c r="B1" s="2" t="s">
        <v>3</v>
      </c>
      <c r="C1" s="4"/>
      <c r="D1" s="5" t="s">
        <v>13</v>
      </c>
      <c r="E1" s="2" t="s">
        <v>17</v>
      </c>
      <c r="F1" s="2" t="s">
        <v>19</v>
      </c>
      <c r="G1" s="2" t="s">
        <v>21</v>
      </c>
      <c r="H1" s="6"/>
      <c r="I1" s="5" t="s">
        <v>28</v>
      </c>
      <c r="J1" s="2" t="s">
        <v>30</v>
      </c>
      <c r="K1" s="9"/>
      <c r="L1" s="2" t="s">
        <v>38</v>
      </c>
      <c r="M1" s="2" t="s">
        <v>40</v>
      </c>
      <c r="N1" s="11" t="s">
        <v>41</v>
      </c>
      <c r="O1" s="11" t="s">
        <v>42</v>
      </c>
      <c r="P1" s="12" t="s">
        <v>44</v>
      </c>
      <c r="Q1" s="11" t="s">
        <v>45</v>
      </c>
      <c r="R1" s="11" t="s">
        <v>47</v>
      </c>
      <c r="S1" s="11" t="s">
        <v>48</v>
      </c>
      <c r="T1" s="13"/>
      <c r="U1" s="2" t="s">
        <v>50</v>
      </c>
      <c r="V1" s="2" t="s">
        <v>51</v>
      </c>
      <c r="W1" s="2" t="s">
        <v>52</v>
      </c>
      <c r="X1" s="2" t="s">
        <v>53</v>
      </c>
      <c r="Y1" s="2" t="s">
        <v>54</v>
      </c>
      <c r="Z1" s="2" t="s">
        <v>56</v>
      </c>
      <c r="AA1" s="6"/>
      <c r="AB1" s="2" t="s">
        <v>57</v>
      </c>
      <c r="AC1" s="2" t="s">
        <v>58</v>
      </c>
      <c r="AD1" s="2" t="s">
        <v>59</v>
      </c>
      <c r="AE1" s="2" t="s">
        <v>60</v>
      </c>
      <c r="AF1" s="9"/>
      <c r="AG1" s="5" t="s">
        <v>62</v>
      </c>
      <c r="AH1" s="2" t="s">
        <v>64</v>
      </c>
      <c r="AI1" s="17" t="s">
        <v>65</v>
      </c>
      <c r="AJ1" s="2" t="s">
        <v>66</v>
      </c>
      <c r="AK1" s="19" t="s">
        <v>67</v>
      </c>
      <c r="AL1" s="22" t="s">
        <v>70</v>
      </c>
    </row>
    <row r="2" spans="1:38" ht="134.25" customHeight="1">
      <c r="A2" s="24"/>
      <c r="B2" s="24"/>
      <c r="C2" s="25"/>
      <c r="D2" s="26" t="s">
        <v>71</v>
      </c>
      <c r="E2" s="26"/>
      <c r="F2" s="26"/>
      <c r="G2" s="28" t="s">
        <v>74</v>
      </c>
      <c r="H2" s="29"/>
      <c r="I2" s="26" t="s">
        <v>75</v>
      </c>
      <c r="J2" s="24"/>
      <c r="K2" s="30"/>
      <c r="L2" s="24"/>
      <c r="M2" s="24" t="s">
        <v>77</v>
      </c>
      <c r="N2" s="31" t="s">
        <v>78</v>
      </c>
      <c r="O2" s="32" t="s">
        <v>79</v>
      </c>
      <c r="P2" s="32" t="s">
        <v>80</v>
      </c>
      <c r="Q2" s="28" t="s">
        <v>74</v>
      </c>
      <c r="R2" s="31" t="s">
        <v>82</v>
      </c>
      <c r="S2" s="32" t="s">
        <v>84</v>
      </c>
      <c r="T2" s="33"/>
      <c r="U2" s="24"/>
      <c r="V2" s="24"/>
      <c r="W2" s="24"/>
      <c r="X2" s="24"/>
      <c r="Y2" s="24"/>
      <c r="Z2" s="24"/>
      <c r="AA2" s="29"/>
      <c r="AB2" s="24" t="s">
        <v>86</v>
      </c>
      <c r="AC2" s="24"/>
      <c r="AD2" s="24"/>
      <c r="AE2" s="24"/>
      <c r="AF2" s="30"/>
      <c r="AG2" s="26"/>
      <c r="AH2" s="32" t="s">
        <v>84</v>
      </c>
      <c r="AI2" s="34" t="s">
        <v>89</v>
      </c>
      <c r="AJ2" s="24"/>
      <c r="AK2" s="22"/>
      <c r="AL2" s="24"/>
    </row>
    <row r="3" spans="1:38">
      <c r="A3" s="36" t="s">
        <v>35</v>
      </c>
      <c r="B3" s="36">
        <v>1976</v>
      </c>
      <c r="C3" s="37"/>
      <c r="D3" s="1">
        <v>236260373292.01569</v>
      </c>
      <c r="E3" s="1">
        <v>1.6631036366127887</v>
      </c>
      <c r="F3" s="1">
        <v>377.49602541622698</v>
      </c>
      <c r="G3" s="1"/>
      <c r="H3" s="39"/>
      <c r="I3" s="1">
        <v>41960903331.347496</v>
      </c>
      <c r="J3" s="1">
        <v>10.931913537916316</v>
      </c>
      <c r="K3" s="40"/>
      <c r="L3" s="1" t="s">
        <v>43</v>
      </c>
      <c r="M3" s="1" t="s">
        <v>43</v>
      </c>
      <c r="N3" s="1"/>
      <c r="O3" s="1"/>
      <c r="P3" s="1"/>
      <c r="Q3" s="1"/>
      <c r="R3" s="1"/>
      <c r="S3" s="1"/>
      <c r="T3" s="41"/>
      <c r="U3" s="1">
        <v>16.265888832790733</v>
      </c>
      <c r="V3" s="1">
        <v>8.7699912765336876</v>
      </c>
      <c r="W3" s="1">
        <v>29006533388.012371</v>
      </c>
      <c r="X3" s="1" t="s">
        <v>43</v>
      </c>
      <c r="Y3" s="1" t="s">
        <v>43</v>
      </c>
      <c r="Z3" s="1" t="s">
        <v>43</v>
      </c>
      <c r="AA3" s="39"/>
      <c r="AB3" s="1">
        <v>12.801203072683698</v>
      </c>
      <c r="AC3" s="1">
        <v>6868148772.6722193</v>
      </c>
      <c r="AD3" s="1">
        <v>6280792834.3023033</v>
      </c>
      <c r="AE3" s="1" t="s">
        <v>43</v>
      </c>
      <c r="AF3" s="40"/>
      <c r="AG3" s="42">
        <v>-7706430.5425742399</v>
      </c>
      <c r="AH3" s="43"/>
      <c r="AI3" s="1">
        <f t="shared" ref="AI3:AI52" si="0">(AG3/AJ3)*100</f>
        <v>-7.5026253283152194E-3</v>
      </c>
      <c r="AJ3" s="1">
        <v>102716451979.68039</v>
      </c>
      <c r="AK3" s="1"/>
      <c r="AL3" s="1"/>
    </row>
    <row r="4" spans="1:38">
      <c r="A4" s="36" t="s">
        <v>35</v>
      </c>
      <c r="B4" s="36">
        <v>1977</v>
      </c>
      <c r="C4" s="37"/>
      <c r="D4" s="1">
        <v>253400507183.96805</v>
      </c>
      <c r="E4" s="1">
        <v>7.2547645858356873</v>
      </c>
      <c r="F4" s="1">
        <v>395.4433068196015</v>
      </c>
      <c r="G4" s="43">
        <f t="shared" ref="G4:G52" si="1">((F4-F3)/F3)*100</f>
        <v>4.7542967859292959</v>
      </c>
      <c r="H4" s="39"/>
      <c r="I4" s="1">
        <v>47635917089.87632</v>
      </c>
      <c r="J4" s="1">
        <v>13.524527138311697</v>
      </c>
      <c r="K4" s="40"/>
      <c r="L4" s="1" t="s">
        <v>43</v>
      </c>
      <c r="M4" s="1" t="s">
        <v>43</v>
      </c>
      <c r="N4" s="1"/>
      <c r="P4" s="1"/>
      <c r="Q4" s="1"/>
      <c r="R4" s="1"/>
      <c r="S4" s="1"/>
      <c r="T4" s="41"/>
      <c r="U4" s="1">
        <v>16.080868929358598</v>
      </c>
      <c r="V4" s="1">
        <v>6.2236004918999157</v>
      </c>
      <c r="W4" s="1">
        <v>30811784142.631824</v>
      </c>
      <c r="X4" s="1" t="s">
        <v>43</v>
      </c>
      <c r="Y4" s="1" t="s">
        <v>43</v>
      </c>
      <c r="Z4" s="1" t="s">
        <v>43</v>
      </c>
      <c r="AA4" s="39"/>
      <c r="AB4" s="1">
        <v>12.648101137552864</v>
      </c>
      <c r="AC4" s="1">
        <v>7754701053.9386177</v>
      </c>
      <c r="AD4" s="1">
        <v>7611052224.1743937</v>
      </c>
      <c r="AE4" s="1" t="s">
        <v>43</v>
      </c>
      <c r="AF4" s="40"/>
      <c r="AG4" s="42">
        <v>-36060000</v>
      </c>
      <c r="AH4" s="43">
        <f t="shared" ref="AH4:AH52" si="2">((AG4-AG3)/AG3)*100</f>
        <v>367.92091099486629</v>
      </c>
      <c r="AI4" s="1">
        <f t="shared" si="0"/>
        <v>-2.9682275822416854E-2</v>
      </c>
      <c r="AJ4" s="1">
        <v>121486641441.3093</v>
      </c>
      <c r="AK4" s="1"/>
      <c r="AL4" s="1"/>
    </row>
    <row r="5" spans="1:38">
      <c r="A5" s="36" t="s">
        <v>35</v>
      </c>
      <c r="B5" s="36">
        <v>1978</v>
      </c>
      <c r="C5" s="37"/>
      <c r="D5" s="1">
        <v>267876092470.54575</v>
      </c>
      <c r="E5" s="1">
        <v>5.7125320890018827</v>
      </c>
      <c r="F5" s="1">
        <v>408.51694440402952</v>
      </c>
      <c r="G5" s="43">
        <f t="shared" si="1"/>
        <v>3.3060712772139844</v>
      </c>
      <c r="H5" s="39"/>
      <c r="I5" s="1">
        <v>50099661173.817818</v>
      </c>
      <c r="J5" s="1">
        <v>5.1720303385637862</v>
      </c>
      <c r="K5" s="40"/>
      <c r="L5" s="1" t="s">
        <v>43</v>
      </c>
      <c r="M5" s="1" t="s">
        <v>43</v>
      </c>
      <c r="N5" s="1"/>
      <c r="O5" s="1"/>
      <c r="P5" s="1"/>
      <c r="Q5" s="1"/>
      <c r="R5" s="1"/>
      <c r="S5" s="1"/>
      <c r="T5" s="41"/>
      <c r="U5" s="1">
        <v>17.096440519717575</v>
      </c>
      <c r="V5" s="1">
        <v>12.35214174258823</v>
      </c>
      <c r="W5" s="1">
        <v>34617699393.350029</v>
      </c>
      <c r="X5" s="1" t="s">
        <v>43</v>
      </c>
      <c r="Y5" s="1" t="s">
        <v>43</v>
      </c>
      <c r="Z5" s="1" t="s">
        <v>43</v>
      </c>
      <c r="AA5" s="39"/>
      <c r="AB5" s="1">
        <v>12.903011842484915</v>
      </c>
      <c r="AC5" s="1">
        <v>8670401540.1265316</v>
      </c>
      <c r="AD5" s="1">
        <v>9045733047.4152145</v>
      </c>
      <c r="AE5" s="1" t="s">
        <v>43</v>
      </c>
      <c r="AF5" s="40"/>
      <c r="AG5" s="42">
        <v>18090000</v>
      </c>
      <c r="AH5" s="43">
        <f t="shared" si="2"/>
        <v>-150.16638935108153</v>
      </c>
      <c r="AI5" s="1">
        <f t="shared" si="0"/>
        <v>1.3175305430039657E-2</v>
      </c>
      <c r="AJ5" s="1">
        <v>137302319828.99506</v>
      </c>
      <c r="AK5" s="1"/>
      <c r="AL5" s="1"/>
    </row>
    <row r="6" spans="1:38">
      <c r="A6" s="36" t="s">
        <v>35</v>
      </c>
      <c r="B6" s="36">
        <v>1979</v>
      </c>
      <c r="C6" s="37"/>
      <c r="D6" s="1">
        <v>253844253329.84518</v>
      </c>
      <c r="E6" s="1">
        <v>-5.2381827027895014</v>
      </c>
      <c r="F6" s="1">
        <v>378.21959279124701</v>
      </c>
      <c r="G6" s="43">
        <f t="shared" si="1"/>
        <v>-7.4164247108482142</v>
      </c>
      <c r="H6" s="39"/>
      <c r="I6" s="1">
        <v>50067110078.057487</v>
      </c>
      <c r="J6" s="1">
        <v>-6.4972686436732374E-2</v>
      </c>
      <c r="K6" s="40"/>
      <c r="L6" s="1" t="s">
        <v>43</v>
      </c>
      <c r="M6" s="1" t="s">
        <v>43</v>
      </c>
      <c r="N6" s="1"/>
      <c r="O6" s="1"/>
      <c r="P6" s="1"/>
      <c r="Q6" s="1"/>
      <c r="R6" s="1"/>
      <c r="S6" s="1"/>
      <c r="T6" s="41"/>
      <c r="U6" s="1">
        <v>17.852034489291022</v>
      </c>
      <c r="V6" s="1">
        <v>-3.2211818466920619</v>
      </c>
      <c r="W6" s="1">
        <v>33502600344.749012</v>
      </c>
      <c r="X6" s="1" t="s">
        <v>43</v>
      </c>
      <c r="Y6" s="1" t="s">
        <v>43</v>
      </c>
      <c r="Z6" s="1" t="s">
        <v>43</v>
      </c>
      <c r="AA6" s="39"/>
      <c r="AB6" s="1">
        <v>14.918804531376246</v>
      </c>
      <c r="AC6" s="1">
        <v>10326638765.756172</v>
      </c>
      <c r="AD6" s="1">
        <v>12498452242.391224</v>
      </c>
      <c r="AE6" s="1" t="s">
        <v>43</v>
      </c>
      <c r="AF6" s="40"/>
      <c r="AG6" s="42">
        <v>48570000</v>
      </c>
      <c r="AH6" s="43">
        <f t="shared" si="2"/>
        <v>168.49087893864015</v>
      </c>
      <c r="AI6" s="1">
        <f t="shared" si="0"/>
        <v>3.1746043677560655E-2</v>
      </c>
      <c r="AJ6" s="1">
        <v>152995442497.70932</v>
      </c>
      <c r="AK6" s="1"/>
      <c r="AL6" s="1"/>
    </row>
    <row r="7" spans="1:38">
      <c r="A7" s="36" t="s">
        <v>35</v>
      </c>
      <c r="B7" s="36">
        <v>1980</v>
      </c>
      <c r="C7" s="37"/>
      <c r="D7" s="1">
        <v>270942749193.22394</v>
      </c>
      <c r="E7" s="1">
        <v>6.7358215279984961</v>
      </c>
      <c r="F7" s="1">
        <v>394.18223992101298</v>
      </c>
      <c r="G7" s="43">
        <f t="shared" si="1"/>
        <v>4.2204707090825746</v>
      </c>
      <c r="H7" s="39"/>
      <c r="I7" s="1">
        <v>51259917959.542053</v>
      </c>
      <c r="J7" s="1">
        <v>2.3824180777059212</v>
      </c>
      <c r="K7" s="40"/>
      <c r="L7" s="1" t="s">
        <v>43</v>
      </c>
      <c r="M7" s="1" t="s">
        <v>43</v>
      </c>
      <c r="N7" s="1"/>
      <c r="O7" s="1"/>
      <c r="P7" s="1"/>
      <c r="Q7" s="1"/>
      <c r="R7" s="1"/>
      <c r="S7" s="1"/>
      <c r="T7" s="41"/>
      <c r="U7" s="1">
        <v>16.75237579755089</v>
      </c>
      <c r="V7" s="1">
        <v>0.19442644199646963</v>
      </c>
      <c r="W7" s="1">
        <v>33567738258.575607</v>
      </c>
      <c r="X7" s="1" t="s">
        <v>43</v>
      </c>
      <c r="Y7" s="1" t="s">
        <v>43</v>
      </c>
      <c r="Z7" s="1" t="s">
        <v>43</v>
      </c>
      <c r="AA7" s="39"/>
      <c r="AB7" s="1">
        <v>15.384576848506088</v>
      </c>
      <c r="AC7" s="1">
        <v>11439738400.08119</v>
      </c>
      <c r="AD7" s="1">
        <v>17226125073.375107</v>
      </c>
      <c r="AE7" s="1" t="s">
        <v>43</v>
      </c>
      <c r="AF7" s="40"/>
      <c r="AG7" s="42">
        <v>79159999.900000006</v>
      </c>
      <c r="AH7" s="43">
        <f t="shared" si="2"/>
        <v>62.981263948939691</v>
      </c>
      <c r="AI7" s="1">
        <f t="shared" si="0"/>
        <v>4.2484089234464166E-2</v>
      </c>
      <c r="AJ7" s="1">
        <v>186328579302.06827</v>
      </c>
      <c r="AK7" s="1"/>
      <c r="AL7" s="1"/>
    </row>
    <row r="8" spans="1:38">
      <c r="A8" s="36" t="s">
        <v>35</v>
      </c>
      <c r="B8" s="36">
        <v>1981</v>
      </c>
      <c r="C8" s="37"/>
      <c r="D8" s="1">
        <v>287216122413.73859</v>
      </c>
      <c r="E8" s="1">
        <v>6.0062036238176688</v>
      </c>
      <c r="F8" s="1">
        <v>408.15354979330726</v>
      </c>
      <c r="G8" s="43">
        <f t="shared" si="1"/>
        <v>3.5443783248818828</v>
      </c>
      <c r="H8" s="39"/>
      <c r="I8" s="1">
        <v>51195242722.651161</v>
      </c>
      <c r="J8" s="1">
        <v>-0.1261711673864454</v>
      </c>
      <c r="K8" s="40"/>
      <c r="L8" s="1" t="s">
        <v>43</v>
      </c>
      <c r="M8" s="1" t="s">
        <v>43</v>
      </c>
      <c r="N8" s="1"/>
      <c r="O8" s="1"/>
      <c r="P8" s="1"/>
      <c r="Q8" s="1"/>
      <c r="R8" s="1"/>
      <c r="S8" s="1"/>
      <c r="T8" s="41"/>
      <c r="U8" s="1">
        <v>16.770443752043775</v>
      </c>
      <c r="V8" s="1">
        <v>8.1696271797904672</v>
      </c>
      <c r="W8" s="1">
        <v>36310097326.98912</v>
      </c>
      <c r="X8" s="1" t="s">
        <v>43</v>
      </c>
      <c r="Y8" s="1" t="s">
        <v>43</v>
      </c>
      <c r="Z8" s="1" t="s">
        <v>43</v>
      </c>
      <c r="AA8" s="39"/>
      <c r="AB8" s="1">
        <v>14.507264761620434</v>
      </c>
      <c r="AC8" s="1">
        <v>11485699151.059452</v>
      </c>
      <c r="AD8" s="1">
        <v>16584605960.222254</v>
      </c>
      <c r="AE8" s="1" t="s">
        <v>43</v>
      </c>
      <c r="AF8" s="40"/>
      <c r="AG8" s="42">
        <v>91920000</v>
      </c>
      <c r="AH8" s="43">
        <f t="shared" si="2"/>
        <v>16.119252294238564</v>
      </c>
      <c r="AI8" s="1">
        <f t="shared" si="0"/>
        <v>4.7505995093448473E-2</v>
      </c>
      <c r="AJ8" s="1">
        <v>193491368445.57254</v>
      </c>
      <c r="AK8" s="1"/>
      <c r="AL8" s="1"/>
    </row>
    <row r="9" spans="1:38">
      <c r="A9" s="36" t="s">
        <v>35</v>
      </c>
      <c r="B9" s="36">
        <v>1982</v>
      </c>
      <c r="C9" s="37"/>
      <c r="D9" s="1">
        <v>297198988652.00916</v>
      </c>
      <c r="E9" s="1">
        <v>3.4757332403123655</v>
      </c>
      <c r="F9" s="1">
        <v>412.59673710422067</v>
      </c>
      <c r="G9" s="43">
        <f t="shared" si="1"/>
        <v>1.0886068032884861</v>
      </c>
      <c r="H9" s="39"/>
      <c r="I9" s="1">
        <v>54085872663.774872</v>
      </c>
      <c r="J9" s="1">
        <v>5.6462862316790279</v>
      </c>
      <c r="K9" s="40"/>
      <c r="L9" s="1" t="s">
        <v>43</v>
      </c>
      <c r="M9" s="1" t="s">
        <v>43</v>
      </c>
      <c r="N9" s="1"/>
      <c r="O9" s="1"/>
      <c r="P9" s="1"/>
      <c r="Q9" s="1"/>
      <c r="R9" s="1"/>
      <c r="S9" s="1"/>
      <c r="T9" s="41"/>
      <c r="U9" s="1">
        <v>16.369995937370447</v>
      </c>
      <c r="V9" s="1">
        <v>3.2881527705993108</v>
      </c>
      <c r="W9" s="1">
        <v>37504028798.253815</v>
      </c>
      <c r="X9" s="1" t="s">
        <v>43</v>
      </c>
      <c r="Y9" s="1" t="s">
        <v>43</v>
      </c>
      <c r="Z9" s="1" t="s">
        <v>43</v>
      </c>
      <c r="AA9" s="39"/>
      <c r="AB9" s="1">
        <v>14.12592774954747</v>
      </c>
      <c r="AC9" s="1">
        <v>12009417676.703733</v>
      </c>
      <c r="AD9" s="1">
        <v>16343526468.962202</v>
      </c>
      <c r="AE9" s="1" t="s">
        <v>43</v>
      </c>
      <c r="AF9" s="40"/>
      <c r="AG9" s="42">
        <v>72079999.900000006</v>
      </c>
      <c r="AH9" s="43">
        <f t="shared" si="2"/>
        <v>-21.58398618363794</v>
      </c>
      <c r="AI9" s="1">
        <f t="shared" si="0"/>
        <v>3.5911504129648976E-2</v>
      </c>
      <c r="AJ9" s="1">
        <v>200715624830.9017</v>
      </c>
      <c r="AK9" s="1"/>
      <c r="AL9" s="1"/>
    </row>
    <row r="10" spans="1:38">
      <c r="A10" s="36" t="s">
        <v>35</v>
      </c>
      <c r="B10" s="36">
        <v>1983</v>
      </c>
      <c r="C10" s="37"/>
      <c r="D10" s="1">
        <v>318861504638.43994</v>
      </c>
      <c r="E10" s="1">
        <v>7.288892901245859</v>
      </c>
      <c r="F10" s="1">
        <v>432.42923538475918</v>
      </c>
      <c r="G10" s="43">
        <f t="shared" si="1"/>
        <v>4.8067511196844217</v>
      </c>
      <c r="H10" s="39"/>
      <c r="I10" s="1">
        <v>58051099889.152153</v>
      </c>
      <c r="J10" s="1">
        <v>7.3313548068774566</v>
      </c>
      <c r="K10" s="40"/>
      <c r="L10" s="1" t="s">
        <v>43</v>
      </c>
      <c r="M10" s="1" t="s">
        <v>43</v>
      </c>
      <c r="N10" s="1"/>
      <c r="O10" s="1"/>
      <c r="P10" s="1"/>
      <c r="Q10" s="1"/>
      <c r="R10" s="1"/>
      <c r="S10" s="1"/>
      <c r="T10" s="41"/>
      <c r="U10" s="1">
        <v>16.664454692509604</v>
      </c>
      <c r="V10" s="1">
        <v>10.231988697374987</v>
      </c>
      <c r="W10" s="1">
        <v>41341436785.951401</v>
      </c>
      <c r="X10" s="1" t="s">
        <v>43</v>
      </c>
      <c r="Y10" s="1" t="s">
        <v>43</v>
      </c>
      <c r="Z10" s="1" t="s">
        <v>43</v>
      </c>
      <c r="AA10" s="39"/>
      <c r="AB10" s="1">
        <v>13.690593886880247</v>
      </c>
      <c r="AC10" s="1">
        <v>12741335281.076435</v>
      </c>
      <c r="AD10" s="1">
        <v>17140048793.136921</v>
      </c>
      <c r="AE10" s="1" t="s">
        <v>43</v>
      </c>
      <c r="AF10" s="40"/>
      <c r="AG10" s="42">
        <v>5639999.9000000004</v>
      </c>
      <c r="AH10" s="43">
        <f t="shared" si="2"/>
        <v>-92.175360838201115</v>
      </c>
      <c r="AI10" s="1">
        <f t="shared" si="0"/>
        <v>2.5840485822602559E-3</v>
      </c>
      <c r="AJ10" s="1">
        <v>218262146413.1575</v>
      </c>
      <c r="AK10" s="1"/>
      <c r="AL10" s="1"/>
    </row>
    <row r="11" spans="1:38">
      <c r="A11" s="36" t="s">
        <v>35</v>
      </c>
      <c r="B11" s="36">
        <v>1984</v>
      </c>
      <c r="C11" s="37"/>
      <c r="D11" s="1">
        <v>331044366854.28754</v>
      </c>
      <c r="E11" s="1">
        <v>3.8207378559735048</v>
      </c>
      <c r="F11" s="1">
        <v>438.54170551291509</v>
      </c>
      <c r="G11" s="43">
        <f t="shared" si="1"/>
        <v>1.4135191675274363</v>
      </c>
      <c r="H11" s="39"/>
      <c r="I11" s="1">
        <v>59018585878.501671</v>
      </c>
      <c r="J11" s="1">
        <v>1.6666109534477727</v>
      </c>
      <c r="K11" s="40"/>
      <c r="L11" s="1" t="s">
        <v>43</v>
      </c>
      <c r="M11" s="1" t="s">
        <v>43</v>
      </c>
      <c r="N11" s="1"/>
      <c r="O11" s="1"/>
      <c r="P11" s="1"/>
      <c r="Q11" s="1"/>
      <c r="R11" s="1"/>
      <c r="S11" s="1"/>
      <c r="T11" s="41"/>
      <c r="U11" s="1">
        <v>16.707803600320943</v>
      </c>
      <c r="V11" s="1">
        <v>4.2079710127929388</v>
      </c>
      <c r="W11" s="1">
        <v>43081072462.176353</v>
      </c>
      <c r="X11" s="1" t="s">
        <v>43</v>
      </c>
      <c r="Y11" s="1" t="s">
        <v>43</v>
      </c>
      <c r="Z11" s="1" t="s">
        <v>43</v>
      </c>
      <c r="AA11" s="39"/>
      <c r="AB11" s="1">
        <v>14.009375944128916</v>
      </c>
      <c r="AC11" s="1">
        <v>13330716432.206964</v>
      </c>
      <c r="AD11" s="1">
        <v>16391245674.941341</v>
      </c>
      <c r="AE11" s="1" t="s">
        <v>43</v>
      </c>
      <c r="AF11" s="40"/>
      <c r="AG11" s="42">
        <v>19239999.899999999</v>
      </c>
      <c r="AH11" s="43">
        <f t="shared" si="2"/>
        <v>241.13475604848853</v>
      </c>
      <c r="AI11" s="1">
        <f t="shared" si="0"/>
        <v>9.0687280601598197E-3</v>
      </c>
      <c r="AJ11" s="1">
        <v>212157645177.65161</v>
      </c>
      <c r="AK11" s="1"/>
      <c r="AL11" s="1"/>
    </row>
    <row r="12" spans="1:38">
      <c r="A12" s="36" t="s">
        <v>35</v>
      </c>
      <c r="B12" s="36">
        <v>1985</v>
      </c>
      <c r="C12" s="37"/>
      <c r="D12" s="1">
        <v>348438428450.72021</v>
      </c>
      <c r="E12" s="1">
        <v>5.254299223308891</v>
      </c>
      <c r="F12" s="1">
        <v>450.96670385586697</v>
      </c>
      <c r="G12" s="43">
        <f t="shared" si="1"/>
        <v>2.8332535279443252</v>
      </c>
      <c r="H12" s="39"/>
      <c r="I12" s="1">
        <v>61736925084.92981</v>
      </c>
      <c r="J12" s="1">
        <v>4.6059036589325189</v>
      </c>
      <c r="K12" s="40"/>
      <c r="L12" s="1" t="s">
        <v>43</v>
      </c>
      <c r="M12" s="1" t="s">
        <v>43</v>
      </c>
      <c r="N12" s="1"/>
      <c r="O12" s="1"/>
      <c r="P12" s="1"/>
      <c r="Q12" s="1"/>
      <c r="R12" s="1"/>
      <c r="S12" s="1"/>
      <c r="T12" s="41"/>
      <c r="U12" s="1">
        <v>16.418012862666259</v>
      </c>
      <c r="V12" s="1">
        <v>3.1874897641194053</v>
      </c>
      <c r="W12" s="1">
        <v>44454277237.181084</v>
      </c>
      <c r="X12" s="1" t="s">
        <v>43</v>
      </c>
      <c r="Y12" s="1" t="s">
        <v>43</v>
      </c>
      <c r="Z12" s="1" t="s">
        <v>43</v>
      </c>
      <c r="AA12" s="39"/>
      <c r="AB12" s="1">
        <v>12.900036194148711</v>
      </c>
      <c r="AC12" s="1">
        <v>12217447521.809546</v>
      </c>
      <c r="AD12" s="1">
        <v>17776627208.176365</v>
      </c>
      <c r="AE12" s="1" t="s">
        <v>43</v>
      </c>
      <c r="AF12" s="40"/>
      <c r="AG12" s="42">
        <v>106090000</v>
      </c>
      <c r="AH12" s="43">
        <f t="shared" si="2"/>
        <v>451.40332926924805</v>
      </c>
      <c r="AI12" s="1">
        <f t="shared" si="0"/>
        <v>4.562783990362751E-2</v>
      </c>
      <c r="AJ12" s="1">
        <v>232511554840.37195</v>
      </c>
      <c r="AK12" s="1"/>
      <c r="AL12" s="1"/>
    </row>
    <row r="13" spans="1:38">
      <c r="A13" s="36" t="s">
        <v>35</v>
      </c>
      <c r="B13" s="36">
        <v>1986</v>
      </c>
      <c r="C13" s="37"/>
      <c r="D13" s="1">
        <v>365081813580.3139</v>
      </c>
      <c r="E13" s="1">
        <v>4.7765641704894648</v>
      </c>
      <c r="F13" s="1">
        <v>461.72561147640334</v>
      </c>
      <c r="G13" s="43">
        <f t="shared" si="1"/>
        <v>2.3857432330469837</v>
      </c>
      <c r="H13" s="39"/>
      <c r="I13" s="1">
        <v>67620333950.296837</v>
      </c>
      <c r="J13" s="1">
        <v>9.5298054726136456</v>
      </c>
      <c r="K13" s="40"/>
      <c r="L13" s="1" t="s">
        <v>43</v>
      </c>
      <c r="M13" s="1" t="s">
        <v>43</v>
      </c>
      <c r="N13" s="1"/>
      <c r="O13" s="1"/>
      <c r="P13" s="1"/>
      <c r="Q13" s="1"/>
      <c r="R13" s="1"/>
      <c r="S13" s="1"/>
      <c r="T13" s="41"/>
      <c r="U13" s="1">
        <v>16.221583809613467</v>
      </c>
      <c r="V13" s="1">
        <v>5.4942395120692424</v>
      </c>
      <c r="W13" s="1">
        <v>46896701701.951088</v>
      </c>
      <c r="X13" s="1" t="s">
        <v>43</v>
      </c>
      <c r="Y13" s="1" t="s">
        <v>43</v>
      </c>
      <c r="Z13" s="1" t="s">
        <v>43</v>
      </c>
      <c r="AA13" s="39"/>
      <c r="AB13" s="1">
        <v>12.219271899372565</v>
      </c>
      <c r="AC13" s="1">
        <v>12937864153.599499</v>
      </c>
      <c r="AD13" s="1">
        <v>17486411449.575726</v>
      </c>
      <c r="AE13" s="1" t="s">
        <v>43</v>
      </c>
      <c r="AF13" s="40"/>
      <c r="AG13" s="42">
        <v>117730000</v>
      </c>
      <c r="AH13" s="43">
        <f t="shared" si="2"/>
        <v>10.971816382316902</v>
      </c>
      <c r="AI13" s="1">
        <f t="shared" si="0"/>
        <v>4.7283784155669278E-2</v>
      </c>
      <c r="AJ13" s="1">
        <v>248985994040.58969</v>
      </c>
      <c r="AK13" s="1"/>
      <c r="AL13" s="1"/>
    </row>
    <row r="14" spans="1:38">
      <c r="A14" s="36" t="s">
        <v>35</v>
      </c>
      <c r="B14" s="36">
        <v>1987</v>
      </c>
      <c r="C14" s="37"/>
      <c r="D14" s="1">
        <v>379558605843.48621</v>
      </c>
      <c r="E14" s="1">
        <v>3.9653556339057587</v>
      </c>
      <c r="F14" s="1">
        <v>469.20995629639367</v>
      </c>
      <c r="G14" s="43">
        <f t="shared" si="1"/>
        <v>1.6209507625229096</v>
      </c>
      <c r="H14" s="39"/>
      <c r="I14" s="1">
        <v>75089849878.027985</v>
      </c>
      <c r="J14" s="1">
        <v>11.046257081814304</v>
      </c>
      <c r="K14" s="40"/>
      <c r="L14" s="1" t="s">
        <v>43</v>
      </c>
      <c r="M14" s="1" t="s">
        <v>43</v>
      </c>
      <c r="N14" s="1"/>
      <c r="O14" s="1"/>
      <c r="P14" s="1"/>
      <c r="Q14" s="1"/>
      <c r="R14" s="1"/>
      <c r="S14" s="1"/>
      <c r="T14" s="41"/>
      <c r="U14" s="1">
        <v>16.209549353889148</v>
      </c>
      <c r="V14" s="1">
        <v>5.6000217184412548</v>
      </c>
      <c r="W14" s="1">
        <v>49522927182.492958</v>
      </c>
      <c r="X14" s="1" t="s">
        <v>43</v>
      </c>
      <c r="Y14" s="1" t="s">
        <v>43</v>
      </c>
      <c r="Z14" s="1" t="s">
        <v>43</v>
      </c>
      <c r="AA14" s="39"/>
      <c r="AB14" s="1">
        <v>12.584814035675782</v>
      </c>
      <c r="AC14" s="1">
        <v>15638662913.983883</v>
      </c>
      <c r="AD14" s="1">
        <v>19477194741.103443</v>
      </c>
      <c r="AE14" s="1" t="s">
        <v>43</v>
      </c>
      <c r="AF14" s="40"/>
      <c r="AG14" s="42">
        <v>212319999.90000001</v>
      </c>
      <c r="AH14" s="43">
        <f t="shared" si="2"/>
        <v>80.344856790962368</v>
      </c>
      <c r="AI14" s="1">
        <f t="shared" si="0"/>
        <v>7.6091199054313857E-2</v>
      </c>
      <c r="AJ14" s="1">
        <v>279033584092.22345</v>
      </c>
      <c r="AK14" s="1"/>
      <c r="AL14" s="1"/>
    </row>
    <row r="15" spans="1:38">
      <c r="A15" s="36" t="s">
        <v>35</v>
      </c>
      <c r="B15" s="36">
        <v>1988</v>
      </c>
      <c r="C15" s="37"/>
      <c r="D15" s="1">
        <v>416101684467.69983</v>
      </c>
      <c r="E15" s="1">
        <v>9.6277829198483431</v>
      </c>
      <c r="F15" s="1">
        <v>502.93734218706538</v>
      </c>
      <c r="G15" s="43">
        <f t="shared" si="1"/>
        <v>7.1881223827583423</v>
      </c>
      <c r="H15" s="39"/>
      <c r="I15" s="1">
        <v>77689724127.833176</v>
      </c>
      <c r="J15" s="1">
        <v>3.4623511087427801</v>
      </c>
      <c r="K15" s="40"/>
      <c r="L15" s="1" t="s">
        <v>43</v>
      </c>
      <c r="M15" s="1" t="s">
        <v>43</v>
      </c>
      <c r="N15" s="1"/>
      <c r="O15" s="1"/>
      <c r="P15" s="1"/>
      <c r="Q15" s="1"/>
      <c r="R15" s="1"/>
      <c r="S15" s="1"/>
      <c r="T15" s="41"/>
      <c r="U15" s="1">
        <v>16.101534849260798</v>
      </c>
      <c r="V15" s="1">
        <v>8.4963123976081363</v>
      </c>
      <c r="W15" s="1">
        <v>53730549784.357552</v>
      </c>
      <c r="X15" s="1" t="s">
        <v>43</v>
      </c>
      <c r="Y15" s="1" t="s">
        <v>43</v>
      </c>
      <c r="Z15" s="1" t="s">
        <v>43</v>
      </c>
      <c r="AA15" s="39"/>
      <c r="AB15" s="1">
        <v>13.4904501163017</v>
      </c>
      <c r="AC15" s="1">
        <v>17899838408.937637</v>
      </c>
      <c r="AD15" s="1">
        <v>22111443193.381458</v>
      </c>
      <c r="AE15" s="1" t="s">
        <v>43</v>
      </c>
      <c r="AF15" s="40"/>
      <c r="AG15" s="42">
        <v>91250000</v>
      </c>
      <c r="AH15" s="43">
        <f t="shared" si="2"/>
        <v>-57.022418969961578</v>
      </c>
      <c r="AI15" s="1">
        <f t="shared" si="0"/>
        <v>3.0766411967198273E-2</v>
      </c>
      <c r="AJ15" s="1">
        <v>296589670895.93201</v>
      </c>
      <c r="AK15" s="1"/>
      <c r="AL15" s="1"/>
    </row>
    <row r="16" spans="1:38">
      <c r="A16" s="36" t="s">
        <v>35</v>
      </c>
      <c r="B16" s="36">
        <v>1989</v>
      </c>
      <c r="C16" s="37"/>
      <c r="D16" s="1">
        <v>440848680237.68799</v>
      </c>
      <c r="E16" s="1">
        <v>5.9473433282650348</v>
      </c>
      <c r="F16" s="1">
        <v>521.07338383912315</v>
      </c>
      <c r="G16" s="43">
        <f t="shared" si="1"/>
        <v>3.6060240771129988</v>
      </c>
      <c r="H16" s="39"/>
      <c r="I16" s="1">
        <v>84471021509.695297</v>
      </c>
      <c r="J16" s="1">
        <v>8.7286928329208138</v>
      </c>
      <c r="K16" s="40"/>
      <c r="L16" s="1" t="s">
        <v>43</v>
      </c>
      <c r="M16" s="1" t="s">
        <v>43</v>
      </c>
      <c r="N16" s="1"/>
      <c r="O16" s="1"/>
      <c r="P16" s="1"/>
      <c r="Q16" s="1"/>
      <c r="R16" s="1"/>
      <c r="S16" s="1"/>
      <c r="T16" s="41"/>
      <c r="U16" s="1">
        <v>16.902845896566927</v>
      </c>
      <c r="V16" s="1">
        <v>8.8394172527327868</v>
      </c>
      <c r="W16" s="1">
        <v>58480017271.984222</v>
      </c>
      <c r="X16" s="1" t="s">
        <v>43</v>
      </c>
      <c r="Y16" s="1" t="s">
        <v>43</v>
      </c>
      <c r="Z16" s="1" t="s">
        <v>43</v>
      </c>
      <c r="AA16" s="39"/>
      <c r="AB16" s="1">
        <v>15.168132090669529</v>
      </c>
      <c r="AC16" s="1">
        <v>20770696112.094662</v>
      </c>
      <c r="AD16" s="1">
        <v>24133353522.481159</v>
      </c>
      <c r="AE16" s="1" t="s">
        <v>43</v>
      </c>
      <c r="AF16" s="40"/>
      <c r="AG16" s="42">
        <v>252099999.90000001</v>
      </c>
      <c r="AH16" s="43">
        <f t="shared" si="2"/>
        <v>176.27397249315069</v>
      </c>
      <c r="AI16" s="1">
        <f t="shared" si="0"/>
        <v>8.5156820591000951E-2</v>
      </c>
      <c r="AJ16" s="1">
        <v>296042052944.65979</v>
      </c>
      <c r="AK16" s="1"/>
      <c r="AL16" s="1"/>
    </row>
    <row r="17" spans="1:38">
      <c r="A17" s="36" t="s">
        <v>35</v>
      </c>
      <c r="B17" s="36">
        <v>1990</v>
      </c>
      <c r="C17" s="37"/>
      <c r="D17" s="1">
        <v>465242841650.51196</v>
      </c>
      <c r="E17" s="1">
        <v>5.5334545630649501</v>
      </c>
      <c r="F17" s="1">
        <v>537.87026953610336</v>
      </c>
      <c r="G17" s="43">
        <f t="shared" si="1"/>
        <v>3.2235163449004913</v>
      </c>
      <c r="H17" s="39"/>
      <c r="I17" s="1">
        <v>98391571850.762756</v>
      </c>
      <c r="J17" s="1">
        <v>16.479675623988641</v>
      </c>
      <c r="K17" s="40"/>
      <c r="L17" s="1">
        <v>307898649</v>
      </c>
      <c r="M17" s="1" t="s">
        <v>43</v>
      </c>
      <c r="N17" s="1"/>
      <c r="O17" s="1"/>
      <c r="P17" s="1"/>
      <c r="Q17" s="1"/>
      <c r="R17" s="1"/>
      <c r="S17" s="1"/>
      <c r="T17" s="41"/>
      <c r="U17" s="1">
        <v>16.597596442222041</v>
      </c>
      <c r="V17" s="1">
        <v>4.7735455140267078</v>
      </c>
      <c r="W17" s="1">
        <v>61271587513.073074</v>
      </c>
      <c r="X17" s="1" t="s">
        <v>43</v>
      </c>
      <c r="Y17" s="1" t="s">
        <v>43</v>
      </c>
      <c r="Z17" s="1" t="s">
        <v>43</v>
      </c>
      <c r="AA17" s="39"/>
      <c r="AB17" s="1">
        <v>15.506261510196545</v>
      </c>
      <c r="AC17" s="1">
        <v>22639774911.552498</v>
      </c>
      <c r="AD17" s="1">
        <v>27132072318.021008</v>
      </c>
      <c r="AE17" s="1">
        <v>56.36</v>
      </c>
      <c r="AF17" s="40"/>
      <c r="AG17" s="42">
        <v>236690000</v>
      </c>
      <c r="AH17" s="43">
        <f t="shared" si="2"/>
        <v>-6.1126536716035931</v>
      </c>
      <c r="AI17" s="1">
        <f t="shared" si="0"/>
        <v>7.3740020536502596E-2</v>
      </c>
      <c r="AJ17" s="1">
        <v>320979026420.0351</v>
      </c>
      <c r="AK17" s="1"/>
      <c r="AL17" s="1"/>
    </row>
    <row r="18" spans="1:38">
      <c r="A18" s="36" t="s">
        <v>35</v>
      </c>
      <c r="B18" s="36">
        <v>1991</v>
      </c>
      <c r="C18" s="37"/>
      <c r="D18" s="1">
        <v>470159674240.6792</v>
      </c>
      <c r="E18" s="1">
        <v>1.0568314329617863</v>
      </c>
      <c r="F18" s="1">
        <v>531.89839783335105</v>
      </c>
      <c r="G18" s="43">
        <f t="shared" si="1"/>
        <v>-1.1102810549285178</v>
      </c>
      <c r="H18" s="39"/>
      <c r="I18" s="1">
        <v>90811846850.840912</v>
      </c>
      <c r="J18" s="1">
        <v>-7.7036323918257352</v>
      </c>
      <c r="K18" s="40"/>
      <c r="L18" s="1">
        <v>315875620</v>
      </c>
      <c r="M18" s="1">
        <v>7.641</v>
      </c>
      <c r="N18" s="43">
        <f t="shared" ref="N18:N52" si="3">100-M18</f>
        <v>92.358999999999995</v>
      </c>
      <c r="O18" s="43">
        <f t="shared" ref="O18:O52" si="4">N18*(L18/100)</f>
        <v>291739563.87580001</v>
      </c>
      <c r="P18" s="43">
        <f t="shared" ref="P18:P52" si="5">D18/O18</f>
        <v>1611.573240168538</v>
      </c>
      <c r="Q18" s="1"/>
      <c r="R18" s="47">
        <f t="shared" ref="R18:R52" si="6">I18/O18</f>
        <v>311.27710497812882</v>
      </c>
      <c r="S18" s="1"/>
      <c r="T18" s="41"/>
      <c r="U18" s="1">
        <v>15.676260160512731</v>
      </c>
      <c r="V18" s="1">
        <v>-2.3984638002645369</v>
      </c>
      <c r="W18" s="1">
        <v>59802010666.724609</v>
      </c>
      <c r="X18" s="1">
        <v>63.128319537359097</v>
      </c>
      <c r="Y18" s="1">
        <v>14.584937300157501</v>
      </c>
      <c r="Z18" s="1">
        <v>22.286736307130901</v>
      </c>
      <c r="AA18" s="39"/>
      <c r="AB18" s="1">
        <v>16.987726551135058</v>
      </c>
      <c r="AC18" s="1">
        <v>22943398073.299454</v>
      </c>
      <c r="AD18" s="1">
        <v>22941358805.152008</v>
      </c>
      <c r="AE18" s="1" t="s">
        <v>43</v>
      </c>
      <c r="AF18" s="40"/>
      <c r="AG18" s="42">
        <v>73537638.388532996</v>
      </c>
      <c r="AH18" s="43">
        <f t="shared" si="2"/>
        <v>-68.930821585815622</v>
      </c>
      <c r="AI18" s="1">
        <f t="shared" si="0"/>
        <v>2.7225540182546359E-2</v>
      </c>
      <c r="AJ18" s="1">
        <v>270105341879.22638</v>
      </c>
      <c r="AK18" s="1"/>
      <c r="AL18" s="1"/>
    </row>
    <row r="19" spans="1:38">
      <c r="A19" s="36" t="s">
        <v>35</v>
      </c>
      <c r="B19" s="36">
        <v>1992</v>
      </c>
      <c r="C19" s="37"/>
      <c r="D19" s="1">
        <v>495935689516.74695</v>
      </c>
      <c r="E19" s="1">
        <v>5.4823960216700272</v>
      </c>
      <c r="F19" s="1">
        <v>549.23506996489539</v>
      </c>
      <c r="G19" s="43">
        <f t="shared" si="1"/>
        <v>3.2593954413406756</v>
      </c>
      <c r="H19" s="39"/>
      <c r="I19" s="1">
        <v>100437906942.16129</v>
      </c>
      <c r="J19" s="1">
        <v>10.60000476273899</v>
      </c>
      <c r="K19" s="40"/>
      <c r="L19" s="1">
        <v>324021661</v>
      </c>
      <c r="M19" s="1">
        <v>7.649</v>
      </c>
      <c r="N19" s="43">
        <f t="shared" si="3"/>
        <v>92.350999999999999</v>
      </c>
      <c r="O19" s="43">
        <f t="shared" si="4"/>
        <v>299237244.15011001</v>
      </c>
      <c r="P19" s="43">
        <f t="shared" si="5"/>
        <v>1657.3327659305828</v>
      </c>
      <c r="Q19" s="43">
        <f t="shared" ref="Q19:Q52" si="7">((P19-P18)/P18)*100</f>
        <v>2.8394319675635304</v>
      </c>
      <c r="R19" s="47">
        <f t="shared" si="6"/>
        <v>335.64641068468535</v>
      </c>
      <c r="S19" s="43">
        <f t="shared" ref="S19:S52" si="8">((R19-R18)/R18)*100</f>
        <v>7.8288140428024038</v>
      </c>
      <c r="T19" s="41"/>
      <c r="U19" s="1">
        <v>15.800799817080746</v>
      </c>
      <c r="V19" s="1">
        <v>3.0901834659496927</v>
      </c>
      <c r="W19" s="1">
        <v>61650002512.653206</v>
      </c>
      <c r="X19" s="1">
        <v>62.898333636700102</v>
      </c>
      <c r="Y19" s="1">
        <v>14.6628055390629</v>
      </c>
      <c r="Z19" s="1">
        <v>22.4388544747388</v>
      </c>
      <c r="AA19" s="39"/>
      <c r="AB19" s="1">
        <v>18.433099041828044</v>
      </c>
      <c r="AC19" s="1">
        <v>25486029046.697491</v>
      </c>
      <c r="AD19" s="1">
        <v>27639649994.189995</v>
      </c>
      <c r="AE19" s="1">
        <v>27.01</v>
      </c>
      <c r="AF19" s="40"/>
      <c r="AG19" s="42">
        <v>276512438.97389299</v>
      </c>
      <c r="AH19" s="43">
        <f t="shared" si="2"/>
        <v>276.01484767970277</v>
      </c>
      <c r="AI19" s="1">
        <f t="shared" si="0"/>
        <v>9.5941948713359065E-2</v>
      </c>
      <c r="AJ19" s="1">
        <v>288208070278.01288</v>
      </c>
      <c r="AK19" s="1"/>
      <c r="AL19" s="1"/>
    </row>
    <row r="20" spans="1:38">
      <c r="A20" s="36" t="s">
        <v>35</v>
      </c>
      <c r="B20" s="36">
        <v>1993</v>
      </c>
      <c r="C20" s="48"/>
      <c r="D20" s="1">
        <v>519496484318.7182</v>
      </c>
      <c r="E20" s="1">
        <v>4.7507762195799046</v>
      </c>
      <c r="F20" s="1">
        <v>563.37287233674715</v>
      </c>
      <c r="G20" s="43">
        <f t="shared" si="1"/>
        <v>2.5740895192208657</v>
      </c>
      <c r="H20" s="39"/>
      <c r="I20" s="1">
        <v>99608127916.484512</v>
      </c>
      <c r="J20" s="1">
        <v>-0.82616120839178109</v>
      </c>
      <c r="K20" s="40"/>
      <c r="L20" s="1">
        <v>332338730</v>
      </c>
      <c r="M20" s="1">
        <v>7.6619999999999999</v>
      </c>
      <c r="N20" s="43">
        <f t="shared" si="3"/>
        <v>92.337999999999994</v>
      </c>
      <c r="O20" s="43">
        <f t="shared" si="4"/>
        <v>306874936.50739998</v>
      </c>
      <c r="P20" s="43">
        <f t="shared" si="5"/>
        <v>1692.8605842862344</v>
      </c>
      <c r="Q20" s="43">
        <f t="shared" si="7"/>
        <v>2.1436744078189327</v>
      </c>
      <c r="R20" s="47">
        <f t="shared" si="6"/>
        <v>324.58867136607154</v>
      </c>
      <c r="S20" s="43">
        <f t="shared" si="8"/>
        <v>-3.2944607678232347</v>
      </c>
      <c r="T20" s="41"/>
      <c r="U20" s="1">
        <v>15.915712107843891</v>
      </c>
      <c r="V20" s="1">
        <v>8.5913410736169169</v>
      </c>
      <c r="W20" s="1">
        <v>66946564500.408646</v>
      </c>
      <c r="X20" s="1">
        <v>62.6630638065269</v>
      </c>
      <c r="Y20" s="1">
        <v>14.7602607112643</v>
      </c>
      <c r="Z20" s="1">
        <v>22.576675808073102</v>
      </c>
      <c r="AA20" s="39"/>
      <c r="AB20" s="1">
        <v>19.651539786468376</v>
      </c>
      <c r="AC20" s="1">
        <v>27466541462.913521</v>
      </c>
      <c r="AD20" s="1">
        <v>27419354118.763275</v>
      </c>
      <c r="AE20" s="1" t="s">
        <v>43</v>
      </c>
      <c r="AF20" s="40"/>
      <c r="AG20" s="42">
        <v>550370024.92938304</v>
      </c>
      <c r="AH20" s="43">
        <f t="shared" si="2"/>
        <v>99.039879352894644</v>
      </c>
      <c r="AI20" s="1">
        <f t="shared" si="0"/>
        <v>0.19705642638343079</v>
      </c>
      <c r="AJ20" s="1">
        <v>279295648982.52924</v>
      </c>
    </row>
    <row r="21" spans="1:38">
      <c r="A21" s="36" t="s">
        <v>35</v>
      </c>
      <c r="B21" s="45">
        <v>1994</v>
      </c>
      <c r="C21" s="48"/>
      <c r="D21" s="1">
        <v>554089360742.69373</v>
      </c>
      <c r="E21" s="1">
        <v>6.6589240674730661</v>
      </c>
      <c r="F21" s="1">
        <v>588.72789218063224</v>
      </c>
      <c r="G21" s="43">
        <f t="shared" si="1"/>
        <v>4.5005752120647955</v>
      </c>
      <c r="H21" s="39"/>
      <c r="I21" s="1">
        <v>105344556778.80779</v>
      </c>
      <c r="J21" s="1">
        <v>5.758996762927751</v>
      </c>
      <c r="K21" s="40"/>
      <c r="L21" s="1">
        <v>340802039</v>
      </c>
      <c r="M21" s="1">
        <v>7.593</v>
      </c>
      <c r="N21" s="43">
        <f t="shared" si="3"/>
        <v>92.406999999999996</v>
      </c>
      <c r="O21" s="43">
        <f t="shared" si="4"/>
        <v>314924940.17873001</v>
      </c>
      <c r="P21" s="43">
        <f t="shared" si="5"/>
        <v>1759.4330903999862</v>
      </c>
      <c r="Q21" s="43">
        <f t="shared" si="7"/>
        <v>3.9325451092489692</v>
      </c>
      <c r="R21" s="47">
        <f t="shared" si="6"/>
        <v>334.50687239639188</v>
      </c>
      <c r="S21" s="43">
        <f t="shared" si="8"/>
        <v>3.0556214388439291</v>
      </c>
      <c r="T21" s="41"/>
      <c r="U21" s="1">
        <v>16.764138131311991</v>
      </c>
      <c r="V21" s="1">
        <v>10.821183243712213</v>
      </c>
      <c r="W21" s="1">
        <v>74190974920.367859</v>
      </c>
      <c r="X21" s="1">
        <v>62.371240378322298</v>
      </c>
      <c r="Y21" s="1">
        <v>14.851350268644399</v>
      </c>
      <c r="Z21" s="1">
        <v>22.777409353033299</v>
      </c>
      <c r="AA21" s="39"/>
      <c r="AB21" s="1">
        <v>20.078144376925462</v>
      </c>
      <c r="AC21" s="1">
        <v>32361214431.432091</v>
      </c>
      <c r="AD21" s="1">
        <v>33349501147.708862</v>
      </c>
      <c r="AE21" s="1" t="s">
        <v>43</v>
      </c>
      <c r="AF21" s="40"/>
      <c r="AG21" s="42">
        <v>973271468.72287297</v>
      </c>
      <c r="AH21" s="43">
        <f t="shared" si="2"/>
        <v>76.839476104780886</v>
      </c>
      <c r="AI21" s="1">
        <f t="shared" si="0"/>
        <v>0.29738658139287311</v>
      </c>
      <c r="AJ21" s="1">
        <v>327274843459.42902</v>
      </c>
    </row>
    <row r="22" spans="1:38">
      <c r="A22" s="36" t="s">
        <v>35</v>
      </c>
      <c r="B22" s="45">
        <v>1995</v>
      </c>
      <c r="C22" s="48"/>
      <c r="D22" s="1">
        <v>596058814159.96411</v>
      </c>
      <c r="E22" s="1">
        <v>7.5744918402719463</v>
      </c>
      <c r="F22" s="1">
        <v>620.69995433636552</v>
      </c>
      <c r="G22" s="43">
        <f t="shared" si="1"/>
        <v>5.4307028052144135</v>
      </c>
      <c r="H22" s="39"/>
      <c r="I22" s="1">
        <v>118112446079.14948</v>
      </c>
      <c r="J22" s="1">
        <v>12.120122473105525</v>
      </c>
      <c r="K22" s="40"/>
      <c r="L22" s="1">
        <v>351330547</v>
      </c>
      <c r="M22" s="1">
        <v>7.57</v>
      </c>
      <c r="N22" s="43">
        <f t="shared" si="3"/>
        <v>92.43</v>
      </c>
      <c r="O22" s="43">
        <f t="shared" si="4"/>
        <v>324734824.59210002</v>
      </c>
      <c r="P22" s="43">
        <f t="shared" si="5"/>
        <v>1835.5247698138769</v>
      </c>
      <c r="Q22" s="43">
        <f t="shared" si="7"/>
        <v>4.3247839221093738</v>
      </c>
      <c r="R22" s="47">
        <f t="shared" si="6"/>
        <v>363.71967874868585</v>
      </c>
      <c r="S22" s="43">
        <f t="shared" si="8"/>
        <v>8.7330960177334376</v>
      </c>
      <c r="T22" s="41"/>
      <c r="U22" s="1">
        <v>17.865850596855431</v>
      </c>
      <c r="V22" s="1">
        <v>15.461462926030748</v>
      </c>
      <c r="W22" s="1">
        <v>85661985002.141296</v>
      </c>
      <c r="X22" s="1">
        <v>61.974428476754099</v>
      </c>
      <c r="Y22" s="1">
        <v>15.000483006233299</v>
      </c>
      <c r="Z22" s="1">
        <v>23.025088517012598</v>
      </c>
      <c r="AA22" s="39"/>
      <c r="AB22" s="1">
        <v>22.867448706249899</v>
      </c>
      <c r="AC22" s="1">
        <v>39068855117.851768</v>
      </c>
      <c r="AD22" s="1">
        <v>43318425767.770706</v>
      </c>
      <c r="AE22" s="1" t="s">
        <v>43</v>
      </c>
      <c r="AF22" s="40"/>
      <c r="AG22" s="42">
        <v>2143628110.28391</v>
      </c>
      <c r="AH22" s="43">
        <f t="shared" si="2"/>
        <v>120.24976372694654</v>
      </c>
      <c r="AI22" s="1">
        <f t="shared" si="0"/>
        <v>0.59498632956761577</v>
      </c>
      <c r="AJ22" s="1">
        <v>360281909643.48914</v>
      </c>
    </row>
    <row r="23" spans="1:38">
      <c r="A23" s="36" t="s">
        <v>35</v>
      </c>
      <c r="B23" s="45">
        <v>1996</v>
      </c>
      <c r="C23" s="48"/>
      <c r="D23" s="1">
        <v>641058406951.4303</v>
      </c>
      <c r="E23" s="1">
        <v>7.5495222488882945</v>
      </c>
      <c r="F23" s="1">
        <v>654.35592843405186</v>
      </c>
      <c r="G23" s="43">
        <f t="shared" si="1"/>
        <v>5.4222614102928901</v>
      </c>
      <c r="H23" s="39"/>
      <c r="I23" s="1">
        <v>123667339707.96796</v>
      </c>
      <c r="J23" s="1">
        <v>4.7030552775920285</v>
      </c>
      <c r="K23" s="40"/>
      <c r="L23" s="1">
        <v>362330724</v>
      </c>
      <c r="M23" s="1">
        <v>7.5369999999999999</v>
      </c>
      <c r="N23" s="43">
        <f t="shared" si="3"/>
        <v>92.462999999999994</v>
      </c>
      <c r="O23" s="43">
        <f t="shared" si="4"/>
        <v>335021857.33212</v>
      </c>
      <c r="P23" s="43">
        <f t="shared" si="5"/>
        <v>1913.4823383058394</v>
      </c>
      <c r="Q23" s="43">
        <f t="shared" si="7"/>
        <v>4.2471542620406852</v>
      </c>
      <c r="R23" s="47">
        <f t="shared" si="6"/>
        <v>369.13215362355237</v>
      </c>
      <c r="S23" s="43">
        <f t="shared" si="8"/>
        <v>1.4880896446096055</v>
      </c>
      <c r="T23" s="41"/>
      <c r="U23" s="1">
        <v>17.596340800641393</v>
      </c>
      <c r="V23" s="1">
        <v>9.5012767788913948</v>
      </c>
      <c r="W23" s="1">
        <v>93800967291.487167</v>
      </c>
      <c r="X23" s="1">
        <v>61.513380855523799</v>
      </c>
      <c r="Y23" s="1">
        <v>15.2712590554772</v>
      </c>
      <c r="Z23" s="1">
        <v>23.215360088998899</v>
      </c>
      <c r="AA23" s="39"/>
      <c r="AB23" s="1">
        <v>21.929487871386652</v>
      </c>
      <c r="AC23" s="1">
        <v>40803004618.175407</v>
      </c>
      <c r="AD23" s="1">
        <v>45357266003.202126</v>
      </c>
      <c r="AE23" s="1">
        <v>23.72</v>
      </c>
      <c r="AF23" s="40"/>
      <c r="AG23" s="42">
        <v>2426057021.9109201</v>
      </c>
      <c r="AH23" s="43">
        <f t="shared" si="2"/>
        <v>13.175275612037209</v>
      </c>
      <c r="AI23" s="1">
        <f t="shared" si="0"/>
        <v>0.61747935160370482</v>
      </c>
      <c r="AJ23" s="1">
        <v>392896866204.51581</v>
      </c>
    </row>
    <row r="24" spans="1:38">
      <c r="A24" s="36" t="s">
        <v>35</v>
      </c>
      <c r="B24" s="45">
        <v>1997</v>
      </c>
      <c r="C24" s="48"/>
      <c r="D24" s="1">
        <v>667020123970.57581</v>
      </c>
      <c r="E24" s="1">
        <v>4.049820849024826</v>
      </c>
      <c r="F24" s="1">
        <v>667.59842309339933</v>
      </c>
      <c r="G24" s="43">
        <f t="shared" si="1"/>
        <v>2.0237448892742926</v>
      </c>
      <c r="H24" s="39"/>
      <c r="I24" s="1">
        <v>134919118619.39548</v>
      </c>
      <c r="J24" s="1">
        <v>9.0984239961802587</v>
      </c>
      <c r="K24" s="40"/>
      <c r="L24" s="1">
        <v>373673862</v>
      </c>
      <c r="M24" s="1">
        <v>7.5739999999999998</v>
      </c>
      <c r="N24" s="43">
        <f t="shared" si="3"/>
        <v>92.426000000000002</v>
      </c>
      <c r="O24" s="43">
        <f t="shared" si="4"/>
        <v>345371803.69212002</v>
      </c>
      <c r="P24" s="43">
        <f t="shared" si="5"/>
        <v>1931.3103062842606</v>
      </c>
      <c r="Q24" s="43">
        <f t="shared" si="7"/>
        <v>0.93170277151372605</v>
      </c>
      <c r="R24" s="47">
        <f t="shared" si="6"/>
        <v>390.64890989094312</v>
      </c>
      <c r="S24" s="43">
        <f t="shared" si="8"/>
        <v>5.8290116577961193</v>
      </c>
      <c r="T24" s="41"/>
      <c r="U24" s="1">
        <v>16.518578530433338</v>
      </c>
      <c r="V24" s="1">
        <v>5.1186909042598927E-2</v>
      </c>
      <c r="W24" s="1">
        <v>93848981107.295746</v>
      </c>
      <c r="X24" s="1">
        <v>61.158625445787699</v>
      </c>
      <c r="Y24" s="1">
        <v>15.4726082964194</v>
      </c>
      <c r="Z24" s="1">
        <v>23.368766257792899</v>
      </c>
      <c r="AA24" s="39"/>
      <c r="AB24" s="1">
        <v>22.619386867047854</v>
      </c>
      <c r="AC24" s="1">
        <v>44459225642.5392</v>
      </c>
      <c r="AD24" s="1">
        <v>49607467421.089073</v>
      </c>
      <c r="AE24" s="1">
        <v>20.13</v>
      </c>
      <c r="AF24" s="40"/>
      <c r="AG24" s="42">
        <v>3577330042.34585</v>
      </c>
      <c r="AH24" s="43">
        <f t="shared" si="2"/>
        <v>47.454491384052979</v>
      </c>
      <c r="AI24" s="1">
        <f t="shared" si="0"/>
        <v>0.86020895966014088</v>
      </c>
      <c r="AJ24" s="1">
        <v>415867563592.82904</v>
      </c>
    </row>
    <row r="25" spans="1:38">
      <c r="A25" s="36" t="s">
        <v>35</v>
      </c>
      <c r="B25" s="45">
        <v>1998</v>
      </c>
      <c r="C25" s="48"/>
      <c r="D25" s="1">
        <v>708271422045.35559</v>
      </c>
      <c r="E25" s="1">
        <v>6.1844158208035509</v>
      </c>
      <c r="F25" s="1">
        <v>695.29370933708219</v>
      </c>
      <c r="G25" s="43">
        <f t="shared" si="1"/>
        <v>4.1484948564368</v>
      </c>
      <c r="H25" s="39"/>
      <c r="I25" s="1">
        <v>149246040757.48959</v>
      </c>
      <c r="J25" s="1">
        <v>10.618896924838438</v>
      </c>
      <c r="K25" s="40"/>
      <c r="L25" s="1">
        <v>385347723</v>
      </c>
      <c r="M25" s="1">
        <v>7.5960000000000001</v>
      </c>
      <c r="N25" s="43">
        <f t="shared" si="3"/>
        <v>92.403999999999996</v>
      </c>
      <c r="O25" s="43">
        <f t="shared" si="4"/>
        <v>356076709.96091998</v>
      </c>
      <c r="P25" s="43">
        <f t="shared" si="5"/>
        <v>1989.0978607477293</v>
      </c>
      <c r="Q25" s="43">
        <f t="shared" si="7"/>
        <v>2.9921423955246702</v>
      </c>
      <c r="R25" s="47">
        <f t="shared" si="6"/>
        <v>419.1401363314933</v>
      </c>
      <c r="S25" s="43">
        <f t="shared" si="8"/>
        <v>7.2933075503791969</v>
      </c>
      <c r="T25" s="41"/>
      <c r="U25" s="1">
        <v>15.719316016493851</v>
      </c>
      <c r="V25" s="1">
        <v>3.1318435932712987</v>
      </c>
      <c r="W25" s="1">
        <v>96788184409.454987</v>
      </c>
      <c r="X25" s="1">
        <v>60.647957461240999</v>
      </c>
      <c r="Y25" s="1">
        <v>15.7949095027609</v>
      </c>
      <c r="Z25" s="1">
        <v>23.557133035998099</v>
      </c>
      <c r="AA25" s="39"/>
      <c r="AB25" s="1">
        <v>23.699470079064739</v>
      </c>
      <c r="AC25" s="1">
        <v>46426465025.047661</v>
      </c>
      <c r="AD25" s="1">
        <v>53431564328.422447</v>
      </c>
      <c r="AE25" s="1" t="s">
        <v>43</v>
      </c>
      <c r="AF25" s="40"/>
      <c r="AG25" s="42">
        <v>2634651657.7714</v>
      </c>
      <c r="AH25" s="43">
        <f t="shared" si="2"/>
        <v>-26.351451317482706</v>
      </c>
      <c r="AI25" s="1">
        <f t="shared" si="0"/>
        <v>0.62528620418786374</v>
      </c>
      <c r="AJ25" s="1">
        <v>421351317224.94128</v>
      </c>
    </row>
    <row r="26" spans="1:38">
      <c r="A26" s="36" t="s">
        <v>35</v>
      </c>
      <c r="B26" s="45">
        <v>1999</v>
      </c>
      <c r="C26" s="48"/>
      <c r="D26" s="1">
        <v>770923380748.90613</v>
      </c>
      <c r="E26" s="1">
        <v>8.8457555611411607</v>
      </c>
      <c r="F26" s="1">
        <v>742.53920839811951</v>
      </c>
      <c r="G26" s="43">
        <f t="shared" si="1"/>
        <v>6.7950419263943669</v>
      </c>
      <c r="H26" s="39"/>
      <c r="I26" s="1">
        <v>174231612235.11862</v>
      </c>
      <c r="J26" s="1">
        <v>16.741195512334002</v>
      </c>
      <c r="K26" s="40"/>
      <c r="L26" s="1">
        <v>397354085</v>
      </c>
      <c r="M26" s="1">
        <v>7.5830000000000002</v>
      </c>
      <c r="N26" s="43">
        <f t="shared" si="3"/>
        <v>92.417000000000002</v>
      </c>
      <c r="O26" s="43">
        <f t="shared" si="4"/>
        <v>367222724.73445004</v>
      </c>
      <c r="P26" s="43">
        <f t="shared" si="5"/>
        <v>2099.3346239843527</v>
      </c>
      <c r="Q26" s="43">
        <f t="shared" si="7"/>
        <v>5.5420482527281907</v>
      </c>
      <c r="R26" s="47">
        <f t="shared" si="6"/>
        <v>474.45759888936834</v>
      </c>
      <c r="S26" s="43">
        <f t="shared" si="8"/>
        <v>13.19784429189694</v>
      </c>
      <c r="T26" s="41"/>
      <c r="U26" s="1">
        <v>15.180536713273817</v>
      </c>
      <c r="V26" s="1">
        <v>5.3937745157569168</v>
      </c>
      <c r="W26" s="1">
        <v>102008720834.39597</v>
      </c>
      <c r="X26" s="1">
        <v>59.878026680172397</v>
      </c>
      <c r="Y26" s="1">
        <v>16.309428466052999</v>
      </c>
      <c r="Z26" s="1">
        <v>23.8125410413714</v>
      </c>
      <c r="AA26" s="39"/>
      <c r="AB26" s="1">
        <v>24.815598044292916</v>
      </c>
      <c r="AC26" s="1">
        <v>52544483402.693581</v>
      </c>
      <c r="AD26" s="1">
        <v>61314704757.034523</v>
      </c>
      <c r="AE26" s="1">
        <v>28.51</v>
      </c>
      <c r="AF26" s="40"/>
      <c r="AG26" s="42">
        <v>2168591054.37924</v>
      </c>
      <c r="AH26" s="43">
        <f t="shared" si="2"/>
        <v>-17.689647966076528</v>
      </c>
      <c r="AI26" s="1">
        <f t="shared" si="0"/>
        <v>0.47264419145892755</v>
      </c>
      <c r="AJ26" s="1">
        <v>458821052615.78979</v>
      </c>
    </row>
    <row r="27" spans="1:38">
      <c r="A27" s="36" t="s">
        <v>35</v>
      </c>
      <c r="B27" s="45">
        <v>2000</v>
      </c>
      <c r="C27" s="48"/>
      <c r="D27" s="45">
        <v>800534479629.68042</v>
      </c>
      <c r="E27" s="45">
        <v>3.8409911568655417</v>
      </c>
      <c r="F27" s="45">
        <v>756.70410953318685</v>
      </c>
      <c r="G27" s="43">
        <f t="shared" si="1"/>
        <v>1.9076300584349333</v>
      </c>
      <c r="H27" s="39"/>
      <c r="I27" s="45">
        <v>171105928742.79523</v>
      </c>
      <c r="J27" s="45">
        <v>-1.7939818453297676</v>
      </c>
      <c r="K27" s="40"/>
      <c r="L27" s="45">
        <v>409617771</v>
      </c>
      <c r="M27" s="45">
        <v>7.5890000000000004</v>
      </c>
      <c r="N27" s="43">
        <f t="shared" si="3"/>
        <v>92.411000000000001</v>
      </c>
      <c r="O27" s="43">
        <f t="shared" si="4"/>
        <v>378531878.35881001</v>
      </c>
      <c r="P27" s="43">
        <f t="shared" si="5"/>
        <v>2114.8403223013479</v>
      </c>
      <c r="Q27" s="43">
        <f t="shared" si="7"/>
        <v>0.73860060896660529</v>
      </c>
      <c r="R27" s="47">
        <f t="shared" si="6"/>
        <v>452.02514906975438</v>
      </c>
      <c r="S27" s="43">
        <f t="shared" si="8"/>
        <v>-4.7280199267805703</v>
      </c>
      <c r="T27" s="41"/>
      <c r="U27" s="45">
        <v>15.927023018432255</v>
      </c>
      <c r="V27" s="45">
        <v>7.2990978490111296</v>
      </c>
      <c r="W27" s="45">
        <v>109454437182.62312</v>
      </c>
      <c r="X27" s="45">
        <v>59.607310099103998</v>
      </c>
      <c r="Y27" s="45">
        <v>16.341359744203</v>
      </c>
      <c r="Z27" s="45">
        <v>24.051330156692899</v>
      </c>
      <c r="AA27" s="39"/>
      <c r="AB27" s="45">
        <v>26.900922910447356</v>
      </c>
      <c r="AC27" s="45">
        <v>60878472821.200401</v>
      </c>
      <c r="AD27" s="45">
        <v>65124245375.053055</v>
      </c>
      <c r="AE27" s="45">
        <v>23.36</v>
      </c>
      <c r="AF27" s="40"/>
      <c r="AG27" s="46">
        <v>3584217307.1875501</v>
      </c>
      <c r="AH27" s="43">
        <f t="shared" si="2"/>
        <v>65.278617190161441</v>
      </c>
      <c r="AI27" s="1">
        <f t="shared" si="0"/>
        <v>0.76521169428081737</v>
      </c>
      <c r="AJ27" s="1">
        <v>468395521654.45789</v>
      </c>
    </row>
    <row r="28" spans="1:38">
      <c r="A28" s="36" t="s">
        <v>35</v>
      </c>
      <c r="B28" s="45">
        <v>2001</v>
      </c>
      <c r="C28" s="48"/>
      <c r="D28" s="45">
        <v>839151992858.48828</v>
      </c>
      <c r="E28" s="45">
        <v>4.8239662639730341</v>
      </c>
      <c r="F28" s="45">
        <v>778.50737752249859</v>
      </c>
      <c r="G28" s="43">
        <f t="shared" si="1"/>
        <v>2.8813465811309311</v>
      </c>
      <c r="H28" s="39"/>
      <c r="I28" s="45">
        <v>209074720249.12314</v>
      </c>
      <c r="J28" s="45">
        <v>22.190225543500745</v>
      </c>
      <c r="K28" s="40"/>
      <c r="L28" s="45">
        <v>418764922</v>
      </c>
      <c r="M28" s="45">
        <v>7.6109999999999998</v>
      </c>
      <c r="N28" s="43">
        <f t="shared" si="3"/>
        <v>92.388999999999996</v>
      </c>
      <c r="O28" s="43">
        <f t="shared" si="4"/>
        <v>386892723.78658003</v>
      </c>
      <c r="P28" s="43">
        <f t="shared" si="5"/>
        <v>2168.9526353599404</v>
      </c>
      <c r="Q28" s="43">
        <f t="shared" si="7"/>
        <v>2.5586949751226604</v>
      </c>
      <c r="R28" s="47">
        <f t="shared" si="6"/>
        <v>540.39455227504902</v>
      </c>
      <c r="S28" s="43">
        <f t="shared" si="8"/>
        <v>19.549665187247779</v>
      </c>
      <c r="T28" s="41"/>
      <c r="U28" s="45">
        <v>15.307021283153091</v>
      </c>
      <c r="V28" s="45">
        <v>2.2703251937848563</v>
      </c>
      <c r="W28" s="45">
        <v>111939408845.69563</v>
      </c>
      <c r="X28" s="45">
        <v>58.890809220715099</v>
      </c>
      <c r="Y28" s="45">
        <v>16.7528345033409</v>
      </c>
      <c r="Z28" s="45">
        <v>24.356356017475999</v>
      </c>
      <c r="AA28" s="39"/>
      <c r="AB28" s="45">
        <v>25.993254753436517</v>
      </c>
      <c r="AC28" s="45">
        <v>60963415576.644676</v>
      </c>
      <c r="AD28" s="45">
        <v>65218276482.132248</v>
      </c>
      <c r="AE28" s="45">
        <v>26.51</v>
      </c>
      <c r="AF28" s="40"/>
      <c r="AG28" s="46">
        <v>5128093561.6268797</v>
      </c>
      <c r="AH28" s="43">
        <f t="shared" si="2"/>
        <v>43.074292714990889</v>
      </c>
      <c r="AI28" s="1">
        <f t="shared" si="0"/>
        <v>1.0563802099335802</v>
      </c>
      <c r="AJ28" s="1">
        <v>485440139204.17053</v>
      </c>
    </row>
    <row r="29" spans="1:38">
      <c r="A29" s="36" t="s">
        <v>35</v>
      </c>
      <c r="B29" s="45">
        <v>2002</v>
      </c>
      <c r="C29" s="48"/>
      <c r="D29" s="45">
        <v>871073127574.1864</v>
      </c>
      <c r="E29" s="45">
        <v>3.8039753212003831</v>
      </c>
      <c r="F29" s="45">
        <v>793.61591290100171</v>
      </c>
      <c r="G29" s="43">
        <f t="shared" si="1"/>
        <v>1.9407054852304837</v>
      </c>
      <c r="H29" s="39"/>
      <c r="I29" s="45">
        <v>207574913684.3497</v>
      </c>
      <c r="J29" s="45">
        <v>-0.71735433293243034</v>
      </c>
      <c r="K29" s="40"/>
      <c r="L29" s="45">
        <v>427829074</v>
      </c>
      <c r="M29" s="45">
        <v>7.681</v>
      </c>
      <c r="N29" s="43">
        <f t="shared" si="3"/>
        <v>92.319000000000003</v>
      </c>
      <c r="O29" s="43">
        <f t="shared" si="4"/>
        <v>394967522.82606006</v>
      </c>
      <c r="P29" s="43">
        <f t="shared" si="5"/>
        <v>2205.4297562025085</v>
      </c>
      <c r="Q29" s="43">
        <f t="shared" si="7"/>
        <v>1.6817850352234529</v>
      </c>
      <c r="R29" s="47">
        <f t="shared" si="6"/>
        <v>525.54932162299258</v>
      </c>
      <c r="S29" s="43">
        <f t="shared" si="8"/>
        <v>-2.7471096052982684</v>
      </c>
      <c r="T29" s="41"/>
      <c r="U29" s="45">
        <v>15.55870172629556</v>
      </c>
      <c r="V29" s="45">
        <v>6.8667636076502419</v>
      </c>
      <c r="W29" s="45">
        <v>119626023434.93068</v>
      </c>
      <c r="X29" s="45">
        <v>58.2078564520654</v>
      </c>
      <c r="Y29" s="45">
        <v>17.056726884100499</v>
      </c>
      <c r="Z29" s="45">
        <v>24.735416917017901</v>
      </c>
      <c r="AA29" s="39"/>
      <c r="AB29" s="45">
        <v>29.508662935061398</v>
      </c>
      <c r="AC29" s="45">
        <v>73452895951.633087</v>
      </c>
      <c r="AD29" s="45">
        <v>78498759285.731339</v>
      </c>
      <c r="AE29" s="45">
        <v>23.08</v>
      </c>
      <c r="AF29" s="40"/>
      <c r="AG29" s="46">
        <v>5208967106.2789402</v>
      </c>
      <c r="AH29" s="43">
        <f t="shared" si="2"/>
        <v>1.5770684306002307</v>
      </c>
      <c r="AI29" s="1">
        <f t="shared" si="0"/>
        <v>1.0115694648991929</v>
      </c>
      <c r="AJ29" s="1">
        <v>514939140318.75562</v>
      </c>
    </row>
    <row r="30" spans="1:38">
      <c r="A30" s="36" t="s">
        <v>35</v>
      </c>
      <c r="B30" s="45">
        <v>2003</v>
      </c>
      <c r="C30" s="48"/>
      <c r="D30" s="45">
        <v>939542798331.65466</v>
      </c>
      <c r="E30" s="45">
        <v>7.8603814754504526</v>
      </c>
      <c r="F30" s="45">
        <v>841.27889456240837</v>
      </c>
      <c r="G30" s="43">
        <f t="shared" si="1"/>
        <v>6.0057996426984825</v>
      </c>
      <c r="H30" s="39"/>
      <c r="I30" s="45">
        <v>218194454914.32138</v>
      </c>
      <c r="J30" s="45">
        <v>5.1160041651855579</v>
      </c>
      <c r="K30" s="40"/>
      <c r="L30" s="45">
        <v>436753652</v>
      </c>
      <c r="M30" s="45">
        <v>7.633</v>
      </c>
      <c r="N30" s="43">
        <f t="shared" si="3"/>
        <v>92.367000000000004</v>
      </c>
      <c r="O30" s="43">
        <f t="shared" si="4"/>
        <v>403416245.74283999</v>
      </c>
      <c r="P30" s="43">
        <f t="shared" si="5"/>
        <v>2328.9661937178694</v>
      </c>
      <c r="Q30" s="43">
        <f t="shared" si="7"/>
        <v>5.6014677941081237</v>
      </c>
      <c r="R30" s="47">
        <f t="shared" si="6"/>
        <v>540.86680250703307</v>
      </c>
      <c r="S30" s="43">
        <f t="shared" si="8"/>
        <v>2.9145658178641169</v>
      </c>
      <c r="T30" s="41"/>
      <c r="U30" s="45">
        <v>15.58738664864604</v>
      </c>
      <c r="V30" s="45">
        <v>6.3366103225509107</v>
      </c>
      <c r="W30" s="45">
        <v>127206258384.36566</v>
      </c>
      <c r="X30" s="45">
        <v>57.164650542938602</v>
      </c>
      <c r="Y30" s="45">
        <v>17.6938066486046</v>
      </c>
      <c r="Z30" s="45">
        <v>25.1415353719471</v>
      </c>
      <c r="AA30" s="39"/>
      <c r="AB30" s="45">
        <v>30.592436132907984</v>
      </c>
      <c r="AC30" s="45">
        <v>90838575243.762054</v>
      </c>
      <c r="AD30" s="45">
        <v>95071869378.557297</v>
      </c>
      <c r="AE30" s="45">
        <v>21.45</v>
      </c>
      <c r="AF30" s="40"/>
      <c r="AG30" s="46">
        <v>3681984671.4342799</v>
      </c>
      <c r="AH30" s="43">
        <f t="shared" si="2"/>
        <v>-29.314495632042302</v>
      </c>
      <c r="AI30" s="1">
        <f t="shared" si="0"/>
        <v>0.60588785709179227</v>
      </c>
      <c r="AJ30" s="1">
        <v>607700687237.31787</v>
      </c>
    </row>
    <row r="31" spans="1:38">
      <c r="A31" s="36" t="s">
        <v>35</v>
      </c>
      <c r="B31" s="45">
        <v>2004</v>
      </c>
      <c r="C31" s="48"/>
      <c r="D31" s="45">
        <v>1013982178696.2278</v>
      </c>
      <c r="E31" s="45">
        <v>7.9229366130797843</v>
      </c>
      <c r="F31" s="45">
        <v>892.5966145807181</v>
      </c>
      <c r="G31" s="43">
        <f t="shared" si="1"/>
        <v>6.0999652255632375</v>
      </c>
      <c r="H31" s="39"/>
      <c r="I31" s="45">
        <v>243186386319.83929</v>
      </c>
      <c r="J31" s="45">
        <v>11.453971832295878</v>
      </c>
      <c r="K31" s="40"/>
      <c r="L31" s="45">
        <v>445825854</v>
      </c>
      <c r="M31" s="45">
        <v>7.5979999999999999</v>
      </c>
      <c r="N31" s="43">
        <f t="shared" si="3"/>
        <v>92.402000000000001</v>
      </c>
      <c r="O31" s="43">
        <f t="shared" si="4"/>
        <v>411952005.61308002</v>
      </c>
      <c r="P31" s="43">
        <f t="shared" si="5"/>
        <v>2461.408525459628</v>
      </c>
      <c r="Q31" s="43">
        <f t="shared" si="7"/>
        <v>5.686743418560873</v>
      </c>
      <c r="R31" s="47">
        <f t="shared" si="6"/>
        <v>590.32698713997422</v>
      </c>
      <c r="S31" s="43">
        <f t="shared" si="8"/>
        <v>9.1446146081960737</v>
      </c>
      <c r="T31" s="41"/>
      <c r="U31" s="45">
        <v>15.827245740502713</v>
      </c>
      <c r="V31" s="45">
        <v>7.3832533106597253</v>
      </c>
      <c r="W31" s="45">
        <v>136598218667.89571</v>
      </c>
      <c r="X31" s="45">
        <v>55.999457323776298</v>
      </c>
      <c r="Y31" s="45">
        <v>18.418479484316101</v>
      </c>
      <c r="Z31" s="45">
        <v>25.582063191907601</v>
      </c>
      <c r="AA31" s="39"/>
      <c r="AB31" s="45">
        <v>37.503814059446981</v>
      </c>
      <c r="AC31" s="45">
        <v>126648472020.75211</v>
      </c>
      <c r="AD31" s="45">
        <v>139310848797.43585</v>
      </c>
      <c r="AE31" s="45">
        <v>22.96</v>
      </c>
      <c r="AF31" s="40"/>
      <c r="AG31" s="46">
        <v>5429250989.8571701</v>
      </c>
      <c r="AH31" s="43">
        <f t="shared" si="2"/>
        <v>47.454470193170586</v>
      </c>
      <c r="AI31" s="1">
        <f t="shared" si="0"/>
        <v>0.76559685511028397</v>
      </c>
      <c r="AJ31" s="1">
        <v>709152728830.77454</v>
      </c>
    </row>
    <row r="32" spans="1:38">
      <c r="A32" s="36" t="s">
        <v>35</v>
      </c>
      <c r="B32" s="45">
        <v>2005</v>
      </c>
      <c r="C32" s="48"/>
      <c r="D32" s="45">
        <v>1094324353137.751</v>
      </c>
      <c r="E32" s="45">
        <v>7.9234306213178911</v>
      </c>
      <c r="F32" s="45">
        <v>947.73256564427152</v>
      </c>
      <c r="G32" s="43">
        <f t="shared" si="1"/>
        <v>6.1770289247010624</v>
      </c>
      <c r="H32" s="39"/>
      <c r="I32" s="45">
        <v>283169224039.13312</v>
      </c>
      <c r="J32" s="45">
        <v>16.441231898034076</v>
      </c>
      <c r="K32" s="40"/>
      <c r="L32" s="45">
        <v>454832471</v>
      </c>
      <c r="M32" s="45">
        <v>7.5510000000000002</v>
      </c>
      <c r="N32" s="43">
        <f t="shared" si="3"/>
        <v>92.448999999999998</v>
      </c>
      <c r="O32" s="43">
        <f t="shared" si="4"/>
        <v>420488071.11478996</v>
      </c>
      <c r="P32" s="43">
        <f t="shared" si="5"/>
        <v>2602.5098648732155</v>
      </c>
      <c r="Q32" s="43">
        <f t="shared" si="7"/>
        <v>5.7325445148216163</v>
      </c>
      <c r="R32" s="47">
        <f t="shared" si="6"/>
        <v>673.42986279824834</v>
      </c>
      <c r="S32" s="43">
        <f t="shared" si="8"/>
        <v>14.077431231950326</v>
      </c>
      <c r="T32" s="41"/>
      <c r="U32" s="45">
        <v>15.973017044613139</v>
      </c>
      <c r="V32" s="45">
        <v>9.3490886911469175</v>
      </c>
      <c r="W32" s="45">
        <v>149368907281.68408</v>
      </c>
      <c r="X32" s="45">
        <v>55.020453312310899</v>
      </c>
      <c r="Y32" s="45">
        <v>19.0012317655898</v>
      </c>
      <c r="Z32" s="45">
        <v>25.978314922099301</v>
      </c>
      <c r="AA32" s="39"/>
      <c r="AB32" s="45">
        <v>42.001669614869108</v>
      </c>
      <c r="AC32" s="45">
        <v>160838260680.77817</v>
      </c>
      <c r="AD32" s="45">
        <v>183736617243.32825</v>
      </c>
      <c r="AE32" s="45">
        <v>13.9</v>
      </c>
      <c r="AF32" s="40"/>
      <c r="AG32" s="46">
        <v>7269407225.6143799</v>
      </c>
      <c r="AH32" s="43">
        <f t="shared" si="2"/>
        <v>33.893372017520591</v>
      </c>
      <c r="AI32" s="1">
        <f t="shared" si="0"/>
        <v>0.88609837845882256</v>
      </c>
      <c r="AJ32" s="1">
        <v>820383763511.44543</v>
      </c>
    </row>
    <row r="33" spans="1:36">
      <c r="A33" s="36" t="s">
        <v>35</v>
      </c>
      <c r="B33" s="45">
        <v>2006</v>
      </c>
      <c r="C33" s="48"/>
      <c r="D33" s="45">
        <v>1182534912725.9507</v>
      </c>
      <c r="E33" s="45">
        <v>8.0607325730505721</v>
      </c>
      <c r="F33" s="45">
        <v>1008.2327534481848</v>
      </c>
      <c r="G33" s="43">
        <f t="shared" si="1"/>
        <v>6.383677209908373</v>
      </c>
      <c r="H33" s="39"/>
      <c r="I33" s="45">
        <v>322456437167.42218</v>
      </c>
      <c r="J33" s="45">
        <v>13.87411123564037</v>
      </c>
      <c r="K33" s="40"/>
      <c r="L33" s="45">
        <v>457611460</v>
      </c>
      <c r="M33" s="45">
        <v>7.5529999999999999</v>
      </c>
      <c r="N33" s="43">
        <f t="shared" si="3"/>
        <v>92.447000000000003</v>
      </c>
      <c r="O33" s="43">
        <f t="shared" si="4"/>
        <v>423048066.42619997</v>
      </c>
      <c r="P33" s="43">
        <f t="shared" si="5"/>
        <v>2795.2731771491076</v>
      </c>
      <c r="Q33" s="43">
        <f t="shared" si="7"/>
        <v>7.4068235005627061</v>
      </c>
      <c r="R33" s="47">
        <f t="shared" si="6"/>
        <v>762.22174915358983</v>
      </c>
      <c r="S33" s="43">
        <f t="shared" si="8"/>
        <v>13.185023602367703</v>
      </c>
      <c r="T33" s="41"/>
      <c r="U33" s="45">
        <v>17.303653331192518</v>
      </c>
      <c r="V33" s="45">
        <v>17.787792317977249</v>
      </c>
      <c r="W33" s="45">
        <v>175938338296.58203</v>
      </c>
      <c r="X33" s="45">
        <v>54.273017899929599</v>
      </c>
      <c r="Y33" s="45">
        <v>19.5238914291204</v>
      </c>
      <c r="Z33" s="45">
        <v>26.203090670950001</v>
      </c>
      <c r="AA33" s="39"/>
      <c r="AB33" s="45">
        <v>45.724480499265226</v>
      </c>
      <c r="AC33" s="45">
        <v>199973922363.78305</v>
      </c>
      <c r="AD33" s="45">
        <v>229955027127.37158</v>
      </c>
      <c r="AE33" s="45">
        <v>8.99</v>
      </c>
      <c r="AF33" s="40"/>
      <c r="AG33" s="46">
        <v>20029119267.139599</v>
      </c>
      <c r="AH33" s="43">
        <f t="shared" si="2"/>
        <v>175.52616940436738</v>
      </c>
      <c r="AI33" s="1">
        <f t="shared" si="0"/>
        <v>2.1301684253449515</v>
      </c>
      <c r="AJ33" s="1">
        <v>940259888787.72144</v>
      </c>
    </row>
    <row r="34" spans="1:36">
      <c r="A34" s="36" t="s">
        <v>35</v>
      </c>
      <c r="B34" s="45">
        <v>2007</v>
      </c>
      <c r="C34" s="48"/>
      <c r="D34" s="45">
        <v>1273126725470.218</v>
      </c>
      <c r="E34" s="45">
        <v>7.6608150651076556</v>
      </c>
      <c r="F34" s="45">
        <v>1069.246968122337</v>
      </c>
      <c r="G34" s="43">
        <f t="shared" si="1"/>
        <v>6.0516001355323787</v>
      </c>
      <c r="H34" s="39"/>
      <c r="I34" s="45">
        <v>375110021905.1532</v>
      </c>
      <c r="J34" s="45">
        <v>16.328898625891838</v>
      </c>
      <c r="K34" s="40"/>
      <c r="L34" s="45">
        <v>460225575</v>
      </c>
      <c r="M34" s="45">
        <v>7.5620000000000003</v>
      </c>
      <c r="N34" s="43">
        <f t="shared" si="3"/>
        <v>92.438000000000002</v>
      </c>
      <c r="O34" s="43">
        <f t="shared" si="4"/>
        <v>425423317.01850003</v>
      </c>
      <c r="P34" s="43">
        <f t="shared" si="5"/>
        <v>2992.6115343011502</v>
      </c>
      <c r="Q34" s="43">
        <f t="shared" si="7"/>
        <v>7.0597163370382106</v>
      </c>
      <c r="R34" s="47">
        <f t="shared" si="6"/>
        <v>881.73357429969246</v>
      </c>
      <c r="S34" s="43">
        <f t="shared" si="8"/>
        <v>15.679403700932792</v>
      </c>
      <c r="T34" s="41"/>
      <c r="U34" s="45">
        <v>16.864567775406833</v>
      </c>
      <c r="V34" s="45">
        <v>6.98058873129321</v>
      </c>
      <c r="W34" s="45">
        <v>188219870113.73776</v>
      </c>
      <c r="X34" s="45">
        <v>53.368868437721702</v>
      </c>
      <c r="Y34" s="45">
        <v>20.3219145451672</v>
      </c>
      <c r="Z34" s="45">
        <v>26.309209260168</v>
      </c>
      <c r="AA34" s="39"/>
      <c r="AB34" s="45">
        <v>45.686268679347975</v>
      </c>
      <c r="AC34" s="45">
        <v>253077526013.16815</v>
      </c>
      <c r="AD34" s="45">
        <v>302803952552.49994</v>
      </c>
      <c r="AE34" s="45">
        <v>11.99</v>
      </c>
      <c r="AF34" s="40"/>
      <c r="AG34" s="46">
        <v>25227740886.6819</v>
      </c>
      <c r="AH34" s="43">
        <f t="shared" si="2"/>
        <v>25.955318105630948</v>
      </c>
      <c r="AI34" s="1">
        <f t="shared" si="0"/>
        <v>2.0733940466875365</v>
      </c>
      <c r="AJ34" s="1">
        <v>1216736438834.9553</v>
      </c>
    </row>
    <row r="35" spans="1:36">
      <c r="A35" s="36" t="s">
        <v>35</v>
      </c>
      <c r="B35" s="45">
        <v>2008</v>
      </c>
      <c r="C35" s="48"/>
      <c r="D35" s="45">
        <v>1312424303400.2935</v>
      </c>
      <c r="E35" s="45">
        <v>3.0866980595008187</v>
      </c>
      <c r="F35" s="45">
        <v>1086.506052510045</v>
      </c>
      <c r="G35" s="43">
        <f t="shared" si="1"/>
        <v>1.6141345173057708</v>
      </c>
      <c r="H35" s="39"/>
      <c r="I35" s="45">
        <v>387111067148.48468</v>
      </c>
      <c r="J35" s="45">
        <v>3.199340071581986</v>
      </c>
      <c r="K35" s="40"/>
      <c r="L35" s="45">
        <v>462536166</v>
      </c>
      <c r="M35" s="45">
        <v>7.6289999999999996</v>
      </c>
      <c r="N35" s="43">
        <f t="shared" si="3"/>
        <v>92.370999999999995</v>
      </c>
      <c r="O35" s="43">
        <f t="shared" si="4"/>
        <v>427249281.89586002</v>
      </c>
      <c r="P35" s="43">
        <f t="shared" si="5"/>
        <v>3071.7999046753007</v>
      </c>
      <c r="Q35" s="43">
        <f t="shared" si="7"/>
        <v>2.6461292909720395</v>
      </c>
      <c r="R35" s="47">
        <f t="shared" si="6"/>
        <v>906.05434239873375</v>
      </c>
      <c r="S35" s="43">
        <f t="shared" si="8"/>
        <v>2.7582898970766538</v>
      </c>
      <c r="T35" s="41"/>
      <c r="U35" s="45">
        <v>17.098674148957809</v>
      </c>
      <c r="V35" s="45">
        <v>4.6636154823950164</v>
      </c>
      <c r="W35" s="45">
        <v>196997721117.30585</v>
      </c>
      <c r="X35" s="45">
        <v>52.879188395900101</v>
      </c>
      <c r="Y35" s="45">
        <v>20.751447752882001</v>
      </c>
      <c r="Z35" s="45">
        <v>26.369363851217901</v>
      </c>
      <c r="AA35" s="39"/>
      <c r="AB35" s="45">
        <v>53.368220439222625</v>
      </c>
      <c r="AC35" s="45">
        <v>288902044820.69763</v>
      </c>
      <c r="AD35" s="45">
        <v>350926955799.10577</v>
      </c>
      <c r="AE35" s="45">
        <v>5.98</v>
      </c>
      <c r="AF35" s="40"/>
      <c r="AG35" s="46">
        <v>43406277075.810799</v>
      </c>
      <c r="AH35" s="43">
        <f t="shared" si="2"/>
        <v>72.057725147817806</v>
      </c>
      <c r="AI35" s="1">
        <f t="shared" si="0"/>
        <v>3.6205232354016994</v>
      </c>
      <c r="AJ35" s="1">
        <v>1198895139005.9189</v>
      </c>
    </row>
    <row r="36" spans="1:36">
      <c r="A36" s="36" t="s">
        <v>35</v>
      </c>
      <c r="B36" s="45">
        <v>2009</v>
      </c>
      <c r="C36" s="48"/>
      <c r="D36" s="45">
        <v>1415605643151.3428</v>
      </c>
      <c r="E36" s="45">
        <v>7.8618888330338024</v>
      </c>
      <c r="F36" s="45">
        <v>1155.1016327381701</v>
      </c>
      <c r="G36" s="43">
        <f t="shared" si="1"/>
        <v>6.3134098581094547</v>
      </c>
      <c r="H36" s="39"/>
      <c r="I36" s="45">
        <v>416829118260.31561</v>
      </c>
      <c r="J36" s="45">
        <v>7.6768797468742775</v>
      </c>
      <c r="K36" s="40"/>
      <c r="L36" s="45">
        <v>464953334</v>
      </c>
      <c r="M36" s="45">
        <v>7.6360000000000001</v>
      </c>
      <c r="N36" s="43">
        <f t="shared" si="3"/>
        <v>92.364000000000004</v>
      </c>
      <c r="O36" s="43">
        <f t="shared" si="4"/>
        <v>429449497.41575998</v>
      </c>
      <c r="P36" s="43">
        <f t="shared" si="5"/>
        <v>3296.3262308370158</v>
      </c>
      <c r="Q36" s="43">
        <f t="shared" si="7"/>
        <v>7.3092757708594398</v>
      </c>
      <c r="R36" s="47">
        <f t="shared" si="6"/>
        <v>970.61265822549956</v>
      </c>
      <c r="S36" s="43">
        <f t="shared" si="8"/>
        <v>7.1252145490358645</v>
      </c>
      <c r="T36" s="41"/>
      <c r="U36" s="45">
        <v>17.143577667284617</v>
      </c>
      <c r="V36" s="45">
        <v>10.967629778823465</v>
      </c>
      <c r="W36" s="45">
        <v>218603701842.17108</v>
      </c>
      <c r="X36" s="45">
        <v>51.944426618063801</v>
      </c>
      <c r="Y36" s="45">
        <v>21.5635579497653</v>
      </c>
      <c r="Z36" s="45">
        <v>26.4920231164018</v>
      </c>
      <c r="AA36" s="39"/>
      <c r="AB36" s="45">
        <v>46.272869642883734</v>
      </c>
      <c r="AC36" s="45">
        <v>273752124889.21069</v>
      </c>
      <c r="AD36" s="45">
        <v>347177967968.3161</v>
      </c>
      <c r="AE36" s="45">
        <v>6.84</v>
      </c>
      <c r="AF36" s="40"/>
      <c r="AG36" s="46">
        <v>35581372929.664101</v>
      </c>
      <c r="AH36" s="43">
        <f t="shared" si="2"/>
        <v>-18.027125736861031</v>
      </c>
      <c r="AI36" s="1">
        <f t="shared" si="0"/>
        <v>2.6515903323547882</v>
      </c>
      <c r="AJ36" s="1">
        <v>1341888016994.8982</v>
      </c>
    </row>
    <row r="37" spans="1:36">
      <c r="A37" s="36" t="s">
        <v>35</v>
      </c>
      <c r="B37" s="45">
        <v>2010</v>
      </c>
      <c r="C37" s="48"/>
      <c r="D37" s="45">
        <v>1535897931719.5537</v>
      </c>
      <c r="E37" s="45">
        <v>8.4975847016562511</v>
      </c>
      <c r="F37" s="45">
        <v>1235.1593913293866</v>
      </c>
      <c r="G37" s="43">
        <f t="shared" si="1"/>
        <v>6.9307978036044728</v>
      </c>
      <c r="H37" s="39"/>
      <c r="I37" s="45">
        <v>462872670734.46613</v>
      </c>
      <c r="J37" s="45">
        <v>11.046145880191531</v>
      </c>
      <c r="K37" s="40"/>
      <c r="L37" s="45">
        <v>467561989</v>
      </c>
      <c r="M37" s="45">
        <v>7.6310000000000002</v>
      </c>
      <c r="N37" s="43">
        <f t="shared" si="3"/>
        <v>92.369</v>
      </c>
      <c r="O37" s="43">
        <f t="shared" si="4"/>
        <v>431882333.61940998</v>
      </c>
      <c r="P37" s="43">
        <f t="shared" si="5"/>
        <v>3556.2879334468016</v>
      </c>
      <c r="Q37" s="43">
        <f t="shared" si="7"/>
        <v>7.8864069999459758</v>
      </c>
      <c r="R37" s="47">
        <f t="shared" si="6"/>
        <v>1071.7564361925624</v>
      </c>
      <c r="S37" s="43">
        <f t="shared" si="8"/>
        <v>10.420611879508833</v>
      </c>
      <c r="T37" s="41"/>
      <c r="U37" s="45">
        <v>17.029934249862396</v>
      </c>
      <c r="V37" s="45">
        <v>7.6951064643586449</v>
      </c>
      <c r="W37" s="45">
        <v>235425489433.95529</v>
      </c>
      <c r="X37" s="45">
        <v>51.056070239904997</v>
      </c>
      <c r="Y37" s="45">
        <v>22.377888837294201</v>
      </c>
      <c r="Z37" s="45">
        <v>26.5660351341417</v>
      </c>
      <c r="AA37" s="39"/>
      <c r="AB37" s="45">
        <v>49.255206497416133</v>
      </c>
      <c r="AC37" s="45">
        <v>375353514026.26672</v>
      </c>
      <c r="AD37" s="45">
        <v>449974370198.80188</v>
      </c>
      <c r="AE37" s="45">
        <v>6.1</v>
      </c>
      <c r="AF37" s="40"/>
      <c r="AG37" s="46">
        <v>27396885033.783798</v>
      </c>
      <c r="AH37" s="43">
        <f t="shared" si="2"/>
        <v>-23.002170017607487</v>
      </c>
      <c r="AI37" s="1">
        <f t="shared" si="0"/>
        <v>1.635034094349096</v>
      </c>
      <c r="AJ37" s="1">
        <v>1675615519484.959</v>
      </c>
    </row>
    <row r="38" spans="1:36">
      <c r="A38" s="36" t="s">
        <v>35</v>
      </c>
      <c r="B38" s="45">
        <v>2011</v>
      </c>
      <c r="C38" s="48"/>
      <c r="D38" s="45">
        <v>1616399198833.9668</v>
      </c>
      <c r="E38" s="45">
        <v>5.2413162002429345</v>
      </c>
      <c r="F38" s="45">
        <v>1281.610543549368</v>
      </c>
      <c r="G38" s="43">
        <f t="shared" si="1"/>
        <v>3.7607415323124087</v>
      </c>
      <c r="H38" s="39"/>
      <c r="I38" s="45">
        <v>518847632198.9339</v>
      </c>
      <c r="J38" s="45">
        <v>12.09295017907391</v>
      </c>
      <c r="K38" s="40"/>
      <c r="L38" s="45">
        <v>471891929</v>
      </c>
      <c r="M38" s="45">
        <v>7.609</v>
      </c>
      <c r="N38" s="43">
        <f t="shared" si="3"/>
        <v>92.391000000000005</v>
      </c>
      <c r="O38" s="43">
        <f t="shared" si="4"/>
        <v>435985672.12239003</v>
      </c>
      <c r="P38" s="43">
        <f t="shared" si="5"/>
        <v>3707.4594469246931</v>
      </c>
      <c r="Q38" s="43">
        <f t="shared" si="7"/>
        <v>4.2508232265483086</v>
      </c>
      <c r="R38" s="47">
        <f t="shared" si="6"/>
        <v>1190.0566128083283</v>
      </c>
      <c r="S38" s="43">
        <f t="shared" si="8"/>
        <v>11.037972119489178</v>
      </c>
      <c r="T38" s="41"/>
      <c r="U38" s="45">
        <v>16.139337444628858</v>
      </c>
      <c r="V38" s="45">
        <v>3.1250562390001875</v>
      </c>
      <c r="W38" s="45">
        <v>242782668379.70786</v>
      </c>
      <c r="X38" s="45">
        <v>49.075305915587599</v>
      </c>
      <c r="Y38" s="45">
        <v>23.547382125569602</v>
      </c>
      <c r="Z38" s="45">
        <v>27.3773195279181</v>
      </c>
      <c r="AA38" s="39"/>
      <c r="AB38" s="45">
        <v>55.623880013529771</v>
      </c>
      <c r="AC38" s="45">
        <v>447384417625.09271</v>
      </c>
      <c r="AD38" s="45">
        <v>566667744819.90845</v>
      </c>
      <c r="AE38" s="45">
        <v>7.33</v>
      </c>
      <c r="AF38" s="40"/>
      <c r="AG38" s="46">
        <v>36498654597.858902</v>
      </c>
      <c r="AH38" s="43">
        <f t="shared" si="2"/>
        <v>33.221913925073885</v>
      </c>
      <c r="AI38" s="1">
        <f t="shared" si="0"/>
        <v>2.0020634629993026</v>
      </c>
      <c r="AJ38" s="1">
        <v>1823051829894.5461</v>
      </c>
    </row>
    <row r="39" spans="1:36">
      <c r="A39" s="36" t="s">
        <v>35</v>
      </c>
      <c r="B39" s="45">
        <v>2012</v>
      </c>
      <c r="C39" s="48"/>
      <c r="D39" s="45">
        <v>1704596203504.0764</v>
      </c>
      <c r="E39" s="45">
        <v>5.4563875516477225</v>
      </c>
      <c r="F39" s="45">
        <v>1333.0962655764886</v>
      </c>
      <c r="G39" s="43">
        <f t="shared" si="1"/>
        <v>4.0172673583453031</v>
      </c>
      <c r="H39" s="39"/>
      <c r="I39" s="45">
        <v>544473914757.74652</v>
      </c>
      <c r="J39" s="45">
        <v>4.9390767093232313</v>
      </c>
      <c r="K39" s="40"/>
      <c r="L39" s="45">
        <v>476101422</v>
      </c>
      <c r="M39" s="45">
        <v>7.6449999999999996</v>
      </c>
      <c r="N39" s="43">
        <f t="shared" si="3"/>
        <v>92.355000000000004</v>
      </c>
      <c r="O39" s="43">
        <f t="shared" si="4"/>
        <v>439703468.2881</v>
      </c>
      <c r="P39" s="43">
        <f t="shared" si="5"/>
        <v>3876.6949238326238</v>
      </c>
      <c r="Q39" s="43">
        <f t="shared" si="7"/>
        <v>4.564729010004684</v>
      </c>
      <c r="R39" s="47">
        <f t="shared" si="6"/>
        <v>1238.2752332556072</v>
      </c>
      <c r="S39" s="43">
        <f t="shared" si="8"/>
        <v>4.0517921524330918</v>
      </c>
      <c r="T39" s="41"/>
      <c r="U39" s="45">
        <v>15.816923007106634</v>
      </c>
      <c r="V39" s="45">
        <v>5.4530833068635332</v>
      </c>
      <c r="W39" s="45">
        <v>256021809541.07962</v>
      </c>
      <c r="X39" s="45">
        <v>47.088154462332199</v>
      </c>
      <c r="Y39" s="45">
        <v>24.692037963598398</v>
      </c>
      <c r="Z39" s="45">
        <v>28.219815079124601</v>
      </c>
      <c r="AA39" s="39"/>
      <c r="AB39" s="45">
        <v>55.793721728751144</v>
      </c>
      <c r="AC39" s="45">
        <v>448400477361.25354</v>
      </c>
      <c r="AD39" s="45">
        <v>571306554042.38562</v>
      </c>
      <c r="AE39" s="45">
        <v>6.32</v>
      </c>
      <c r="AF39" s="40"/>
      <c r="AG39" s="46">
        <v>23995685014.2141</v>
      </c>
      <c r="AH39" s="43">
        <f t="shared" si="2"/>
        <v>-34.255973874659631</v>
      </c>
      <c r="AI39" s="1">
        <f t="shared" si="0"/>
        <v>1.312934530353232</v>
      </c>
      <c r="AJ39" s="1">
        <v>1827637590410.4143</v>
      </c>
    </row>
    <row r="40" spans="1:36">
      <c r="A40" s="36" t="s">
        <v>35</v>
      </c>
      <c r="B40" s="45">
        <v>2013</v>
      </c>
      <c r="C40" s="48"/>
      <c r="D40" s="45">
        <v>1813453530765.8406</v>
      </c>
      <c r="E40" s="45">
        <v>6.3861064009171287</v>
      </c>
      <c r="F40" s="45">
        <v>1399.4537980280961</v>
      </c>
      <c r="G40" s="43">
        <f t="shared" si="1"/>
        <v>4.9776999729956986</v>
      </c>
      <c r="H40" s="39"/>
      <c r="I40" s="45">
        <v>552977528627.17017</v>
      </c>
      <c r="J40" s="45">
        <v>1.5618037226277721</v>
      </c>
      <c r="K40" s="40"/>
      <c r="L40" s="45">
        <v>484466830</v>
      </c>
      <c r="M40" s="45">
        <v>7.6779999999999999</v>
      </c>
      <c r="N40" s="43">
        <f t="shared" si="3"/>
        <v>92.322000000000003</v>
      </c>
      <c r="O40" s="43">
        <f t="shared" si="4"/>
        <v>447269466.79259998</v>
      </c>
      <c r="P40" s="43">
        <f t="shared" si="5"/>
        <v>4054.4988321475198</v>
      </c>
      <c r="Q40" s="43">
        <f t="shared" si="7"/>
        <v>4.5864818307423958</v>
      </c>
      <c r="R40" s="47">
        <f t="shared" si="6"/>
        <v>1236.3408854903732</v>
      </c>
      <c r="S40" s="43">
        <f t="shared" si="8"/>
        <v>-0.1562130706715556</v>
      </c>
      <c r="T40" s="41"/>
      <c r="U40" s="45">
        <v>15.253022692585985</v>
      </c>
      <c r="V40" s="45">
        <v>4.9658474395659624</v>
      </c>
      <c r="W40" s="45">
        <v>268735462014.90576</v>
      </c>
      <c r="X40" s="45">
        <v>46.241883981632697</v>
      </c>
      <c r="Y40" s="45">
        <v>24.754673840533499</v>
      </c>
      <c r="Z40" s="45">
        <v>29.003443966457802</v>
      </c>
      <c r="AA40" s="39"/>
      <c r="AB40" s="45">
        <v>53.844131946677734</v>
      </c>
      <c r="AC40" s="45">
        <v>472180271340.14923</v>
      </c>
      <c r="AD40" s="45">
        <v>527555307105.9563</v>
      </c>
      <c r="AE40" s="45">
        <v>6.34</v>
      </c>
      <c r="AF40" s="40"/>
      <c r="AG40" s="46">
        <v>28153031270.320202</v>
      </c>
      <c r="AH40" s="43">
        <f t="shared" si="2"/>
        <v>17.325391017774461</v>
      </c>
      <c r="AI40" s="1">
        <f t="shared" si="0"/>
        <v>1.5162764665974964</v>
      </c>
      <c r="AJ40" s="1">
        <v>1856721507621.5764</v>
      </c>
    </row>
    <row r="41" spans="1:36">
      <c r="A41" s="36" t="s">
        <v>35</v>
      </c>
      <c r="B41" s="45">
        <v>2014</v>
      </c>
      <c r="C41" s="48"/>
      <c r="D41" s="45">
        <v>1947834564909.5762</v>
      </c>
      <c r="E41" s="45">
        <v>7.4102276051697658</v>
      </c>
      <c r="F41" s="45">
        <v>1484.3164068296119</v>
      </c>
      <c r="G41" s="43">
        <f t="shared" si="1"/>
        <v>6.0639807417073452</v>
      </c>
      <c r="H41" s="39"/>
      <c r="I41" s="45">
        <v>567372901989.4071</v>
      </c>
      <c r="J41" s="45">
        <v>2.6032474408092128</v>
      </c>
      <c r="K41" s="40"/>
      <c r="L41" s="45">
        <v>492680645</v>
      </c>
      <c r="M41" s="45">
        <v>7.6559999999999997</v>
      </c>
      <c r="N41" s="43">
        <f t="shared" si="3"/>
        <v>92.343999999999994</v>
      </c>
      <c r="O41" s="43">
        <f t="shared" si="4"/>
        <v>454961014.81879997</v>
      </c>
      <c r="P41" s="43">
        <f t="shared" si="5"/>
        <v>4281.3219187260511</v>
      </c>
      <c r="Q41" s="43">
        <f t="shared" si="7"/>
        <v>5.594355701377558</v>
      </c>
      <c r="R41" s="47">
        <f t="shared" si="6"/>
        <v>1247.0802629437999</v>
      </c>
      <c r="S41" s="43">
        <f t="shared" si="8"/>
        <v>0.86864210182348323</v>
      </c>
      <c r="T41" s="41"/>
      <c r="U41" s="45">
        <v>15.065570110758902</v>
      </c>
      <c r="V41" s="45">
        <v>7.8956697662977433</v>
      </c>
      <c r="W41" s="45">
        <v>289953926640.53723</v>
      </c>
      <c r="X41" s="45">
        <v>45.254711115223699</v>
      </c>
      <c r="Y41" s="45">
        <v>24.896015202228199</v>
      </c>
      <c r="Z41" s="45">
        <v>29.849273682548102</v>
      </c>
      <c r="AA41" s="39"/>
      <c r="AB41" s="45">
        <v>48.922185747066905</v>
      </c>
      <c r="AC41" s="45">
        <v>468345815420.93292</v>
      </c>
      <c r="AD41" s="45">
        <v>529239428328.66528</v>
      </c>
      <c r="AE41" s="36" t="s">
        <v>43</v>
      </c>
      <c r="AF41" s="40"/>
      <c r="AG41" s="46">
        <v>34576643694.138199</v>
      </c>
      <c r="AH41" s="43">
        <f t="shared" si="2"/>
        <v>22.816770109547559</v>
      </c>
      <c r="AI41" s="1">
        <f t="shared" si="0"/>
        <v>1.6956595899080626</v>
      </c>
      <c r="AJ41" s="1">
        <v>2039126479154.5168</v>
      </c>
    </row>
    <row r="42" spans="1:36">
      <c r="A42" s="36" t="s">
        <v>35</v>
      </c>
      <c r="B42" s="45">
        <v>2015</v>
      </c>
      <c r="C42" s="48"/>
      <c r="D42" s="45">
        <v>2103588360044.9392</v>
      </c>
      <c r="E42" s="45">
        <v>7.996253785679869</v>
      </c>
      <c r="F42" s="45">
        <v>1583.9981590798479</v>
      </c>
      <c r="G42" s="43">
        <f t="shared" si="1"/>
        <v>6.7156673463677983</v>
      </c>
      <c r="H42" s="39"/>
      <c r="I42" s="45">
        <v>604427075366.9364</v>
      </c>
      <c r="J42" s="45">
        <v>6.5308324115593877</v>
      </c>
      <c r="K42" s="40"/>
      <c r="L42" s="45">
        <v>500640619</v>
      </c>
      <c r="M42" s="45">
        <v>7.6289999999999996</v>
      </c>
      <c r="N42" s="43">
        <f t="shared" si="3"/>
        <v>92.370999999999995</v>
      </c>
      <c r="O42" s="43">
        <f t="shared" si="4"/>
        <v>462446746.17649001</v>
      </c>
      <c r="P42" s="43">
        <f t="shared" si="5"/>
        <v>4548.8229238013009</v>
      </c>
      <c r="Q42" s="43">
        <f t="shared" si="7"/>
        <v>6.2480936998740653</v>
      </c>
      <c r="R42" s="47">
        <f t="shared" si="6"/>
        <v>1307.0198468566161</v>
      </c>
      <c r="S42" s="43">
        <f t="shared" si="8"/>
        <v>4.8063934370451555</v>
      </c>
      <c r="T42" s="41"/>
      <c r="U42" s="45">
        <v>15.583854586371334</v>
      </c>
      <c r="V42" s="45">
        <v>13.059393581395867</v>
      </c>
      <c r="W42" s="45">
        <v>327820151125.23682</v>
      </c>
      <c r="X42" s="45">
        <v>44.2796936892031</v>
      </c>
      <c r="Y42" s="45">
        <v>24.9480704919335</v>
      </c>
      <c r="Z42" s="45">
        <v>30.7722358188634</v>
      </c>
      <c r="AA42" s="39"/>
      <c r="AB42" s="45">
        <v>41.922913865864722</v>
      </c>
      <c r="AC42" s="45">
        <v>416787940847.81219</v>
      </c>
      <c r="AD42" s="45">
        <v>465097595426.1839</v>
      </c>
      <c r="AE42" s="45">
        <v>7.32</v>
      </c>
      <c r="AF42" s="40"/>
      <c r="AG42" s="46">
        <v>44009492129.531898</v>
      </c>
      <c r="AH42" s="43">
        <f t="shared" si="2"/>
        <v>27.28098342579403</v>
      </c>
      <c r="AI42" s="1">
        <f t="shared" si="0"/>
        <v>2.0921152144325288</v>
      </c>
      <c r="AJ42" s="1">
        <v>2103588360044.9392</v>
      </c>
    </row>
    <row r="43" spans="1:36">
      <c r="A43" s="36" t="s">
        <v>35</v>
      </c>
      <c r="B43" s="45">
        <v>2016</v>
      </c>
      <c r="C43" s="48"/>
      <c r="D43" s="45">
        <v>2277267041549.8516</v>
      </c>
      <c r="E43" s="45">
        <v>8.2563055017666187</v>
      </c>
      <c r="F43" s="45">
        <v>1694.465349737867</v>
      </c>
      <c r="G43" s="43">
        <f t="shared" si="1"/>
        <v>6.973946909268502</v>
      </c>
      <c r="H43" s="39"/>
      <c r="I43" s="45">
        <v>655552238064.46387</v>
      </c>
      <c r="J43" s="45">
        <v>8.458450122620718</v>
      </c>
      <c r="K43" s="40"/>
      <c r="L43" s="45">
        <v>508681288</v>
      </c>
      <c r="M43" s="45">
        <v>7.6109999999999998</v>
      </c>
      <c r="N43" s="43">
        <f t="shared" si="3"/>
        <v>92.388999999999996</v>
      </c>
      <c r="O43" s="43">
        <f t="shared" si="4"/>
        <v>469965555.17031997</v>
      </c>
      <c r="P43" s="43">
        <f t="shared" si="5"/>
        <v>4845.6041437431477</v>
      </c>
      <c r="Q43" s="43">
        <f t="shared" si="7"/>
        <v>6.52435201179114</v>
      </c>
      <c r="R43" s="47">
        <f t="shared" si="6"/>
        <v>1394.8942233157609</v>
      </c>
      <c r="S43" s="43">
        <f t="shared" si="8"/>
        <v>6.7232625939447423</v>
      </c>
      <c r="T43" s="41"/>
      <c r="U43" s="45">
        <v>15.162237133252901</v>
      </c>
      <c r="V43" s="45">
        <v>7.9268214208403975</v>
      </c>
      <c r="W43" s="45">
        <v>353805869086.46344</v>
      </c>
      <c r="X43" s="45">
        <v>43.204850592630699</v>
      </c>
      <c r="Y43" s="45">
        <v>25.189478375845301</v>
      </c>
      <c r="Z43" s="45">
        <v>31.605663371419499</v>
      </c>
      <c r="AA43" s="39"/>
      <c r="AB43" s="45">
        <v>40.082485713276021</v>
      </c>
      <c r="AC43" s="45">
        <v>439642578076.35834</v>
      </c>
      <c r="AD43" s="45">
        <v>480169055768.2821</v>
      </c>
      <c r="AE43" s="45">
        <v>6.35</v>
      </c>
      <c r="AF43" s="40"/>
      <c r="AG43" s="46">
        <v>44458571545.797997</v>
      </c>
      <c r="AH43" s="43">
        <f t="shared" si="2"/>
        <v>1.0204149026404012</v>
      </c>
      <c r="AI43" s="1">
        <f t="shared" si="0"/>
        <v>1.937364122443896</v>
      </c>
      <c r="AJ43" s="1">
        <v>2294796885663.1631</v>
      </c>
    </row>
    <row r="44" spans="1:36">
      <c r="A44" s="36" t="s">
        <v>35</v>
      </c>
      <c r="B44" s="45">
        <v>2017</v>
      </c>
      <c r="C44" s="48"/>
      <c r="D44" s="45">
        <v>2432016068498.2334</v>
      </c>
      <c r="E44" s="45">
        <v>6.7953834190242191</v>
      </c>
      <c r="F44" s="45">
        <v>1788.6977031848121</v>
      </c>
      <c r="G44" s="43">
        <f t="shared" si="1"/>
        <v>5.5611850346495917</v>
      </c>
      <c r="H44" s="39"/>
      <c r="I44" s="45">
        <v>706699366177.94397</v>
      </c>
      <c r="J44" s="45">
        <v>7.8021437718668096</v>
      </c>
      <c r="K44" s="40"/>
      <c r="L44" s="45">
        <v>516713963</v>
      </c>
      <c r="M44" s="45">
        <v>7.6260000000000003</v>
      </c>
      <c r="N44" s="43">
        <f t="shared" si="3"/>
        <v>92.373999999999995</v>
      </c>
      <c r="O44" s="43">
        <f t="shared" si="4"/>
        <v>477309356.18161994</v>
      </c>
      <c r="P44" s="43">
        <f t="shared" si="5"/>
        <v>5095.261672542686</v>
      </c>
      <c r="Q44" s="43">
        <f t="shared" si="7"/>
        <v>5.1522477155280395</v>
      </c>
      <c r="R44" s="47">
        <f t="shared" si="6"/>
        <v>1480.5898041291262</v>
      </c>
      <c r="S44" s="43">
        <f t="shared" si="8"/>
        <v>6.1435182238880373</v>
      </c>
      <c r="T44" s="41"/>
      <c r="U44" s="45">
        <v>15.018238750171792</v>
      </c>
      <c r="V44" s="45">
        <v>7.5270636029121931</v>
      </c>
      <c r="W44" s="45">
        <v>380437061883.43781</v>
      </c>
      <c r="X44" s="45">
        <v>42.267106468212397</v>
      </c>
      <c r="Y44" s="45">
        <v>25.265722733605099</v>
      </c>
      <c r="Z44" s="45">
        <v>32.467165141529698</v>
      </c>
      <c r="AA44" s="39"/>
      <c r="AB44" s="45">
        <v>40.74249695452253</v>
      </c>
      <c r="AC44" s="45">
        <v>498258808231.521</v>
      </c>
      <c r="AD44" s="45">
        <v>582018012521.56775</v>
      </c>
      <c r="AE44" s="45">
        <v>5.78</v>
      </c>
      <c r="AF44" s="40"/>
      <c r="AG44" s="46">
        <v>39966091358.738403</v>
      </c>
      <c r="AH44" s="43">
        <f t="shared" si="2"/>
        <v>-10.104868489604453</v>
      </c>
      <c r="AI44" s="1">
        <f t="shared" si="0"/>
        <v>1.5073158325589415</v>
      </c>
      <c r="AJ44" s="1">
        <v>2651474262755.4521</v>
      </c>
    </row>
    <row r="45" spans="1:36" ht="15.75" customHeight="1">
      <c r="A45" s="36" t="s">
        <v>35</v>
      </c>
      <c r="B45" s="45">
        <v>2018</v>
      </c>
      <c r="C45" s="48"/>
      <c r="D45" s="45">
        <v>2588974770244.4785</v>
      </c>
      <c r="E45" s="45">
        <v>6.4538513449529518</v>
      </c>
      <c r="F45" s="45">
        <v>1883.3577270505514</v>
      </c>
      <c r="G45" s="43">
        <f t="shared" si="1"/>
        <v>5.2921197191227565</v>
      </c>
      <c r="H45" s="39"/>
      <c r="I45" s="45">
        <v>785871380821.78479</v>
      </c>
      <c r="J45" s="45">
        <v>11.203068579504787</v>
      </c>
      <c r="K45" s="40"/>
      <c r="L45" s="45">
        <v>524292869</v>
      </c>
      <c r="M45" s="45">
        <v>7.6520000000000001</v>
      </c>
      <c r="N45" s="43">
        <f t="shared" si="3"/>
        <v>92.347999999999999</v>
      </c>
      <c r="O45" s="43">
        <f t="shared" si="4"/>
        <v>484173978.66412002</v>
      </c>
      <c r="P45" s="43">
        <f t="shared" si="5"/>
        <v>5347.1993215903403</v>
      </c>
      <c r="Q45" s="43">
        <f t="shared" si="7"/>
        <v>4.9445478022315186</v>
      </c>
      <c r="R45" s="47">
        <f t="shared" si="6"/>
        <v>1623.1177540562492</v>
      </c>
      <c r="S45" s="43">
        <f t="shared" si="8"/>
        <v>9.6264305974305344</v>
      </c>
      <c r="T45" s="41"/>
      <c r="U45" s="45">
        <v>14.881530667301684</v>
      </c>
      <c r="V45" s="45">
        <v>5.4115568850371574</v>
      </c>
      <c r="W45" s="45">
        <v>401024629899.02405</v>
      </c>
      <c r="X45" s="45">
        <v>41.294998924914097</v>
      </c>
      <c r="Y45" s="45">
        <v>25.3658737784355</v>
      </c>
      <c r="Z45" s="45">
        <v>33.339127296650503</v>
      </c>
      <c r="AA45" s="39"/>
      <c r="AB45" s="45">
        <v>43.616969332388891</v>
      </c>
      <c r="AC45" s="45">
        <v>538635186135.43817</v>
      </c>
      <c r="AD45" s="45">
        <v>640300806738.54187</v>
      </c>
      <c r="AE45" s="45">
        <v>4.88</v>
      </c>
      <c r="AF45" s="40"/>
      <c r="AG45" s="46">
        <v>42117450737.264397</v>
      </c>
      <c r="AH45" s="43">
        <f t="shared" si="2"/>
        <v>5.3829616692191458</v>
      </c>
      <c r="AI45" s="1">
        <f t="shared" si="0"/>
        <v>1.558214838014558</v>
      </c>
      <c r="AJ45" s="1">
        <v>2702929641648.7407</v>
      </c>
    </row>
    <row r="46" spans="1:36" ht="15.75" customHeight="1">
      <c r="A46" s="36" t="s">
        <v>35</v>
      </c>
      <c r="B46" s="45">
        <v>2019</v>
      </c>
      <c r="C46" s="48"/>
      <c r="D46" s="45">
        <v>2689205295885.2617</v>
      </c>
      <c r="E46" s="45">
        <v>3.8714369407052374</v>
      </c>
      <c r="F46" s="45">
        <v>1936.0306774106321</v>
      </c>
      <c r="G46" s="43">
        <f t="shared" si="1"/>
        <v>2.7967575996605598</v>
      </c>
      <c r="H46" s="39"/>
      <c r="I46" s="45">
        <v>794883609043.54114</v>
      </c>
      <c r="J46" s="45">
        <v>1.1467815779641057</v>
      </c>
      <c r="K46" s="40"/>
      <c r="L46" s="45">
        <v>531373378</v>
      </c>
      <c r="M46" s="45">
        <v>6.51</v>
      </c>
      <c r="N46" s="43">
        <f t="shared" si="3"/>
        <v>93.49</v>
      </c>
      <c r="O46" s="43">
        <f t="shared" si="4"/>
        <v>496780971.09219998</v>
      </c>
      <c r="P46" s="43">
        <f t="shared" si="5"/>
        <v>5413.2614821636535</v>
      </c>
      <c r="Q46" s="43">
        <f t="shared" si="7"/>
        <v>1.2354534888305828</v>
      </c>
      <c r="R46" s="47">
        <f t="shared" si="6"/>
        <v>1600.0685519333526</v>
      </c>
      <c r="S46" s="43">
        <f t="shared" si="8"/>
        <v>-1.4200572980792965</v>
      </c>
      <c r="T46" s="41"/>
      <c r="U46" s="45">
        <v>13.455807563339416</v>
      </c>
      <c r="V46" s="45">
        <v>-2.9749629420838488</v>
      </c>
      <c r="W46" s="45">
        <v>389094295770.89917</v>
      </c>
      <c r="X46" s="45">
        <v>40.651814999322703</v>
      </c>
      <c r="Y46" s="45">
        <v>25.251113046720999</v>
      </c>
      <c r="Z46" s="45">
        <v>34.097073966908198</v>
      </c>
      <c r="AA46" s="39"/>
      <c r="AB46" s="45">
        <v>39.905403530644193</v>
      </c>
      <c r="AC46" s="45">
        <v>529245063167.21539</v>
      </c>
      <c r="AD46" s="45">
        <v>602315056052.52625</v>
      </c>
      <c r="AE46" s="45">
        <v>6.59</v>
      </c>
      <c r="AF46" s="40"/>
      <c r="AG46" s="46">
        <v>50610647353.591103</v>
      </c>
      <c r="AH46" s="43">
        <f t="shared" si="2"/>
        <v>20.165504957336253</v>
      </c>
      <c r="AI46" s="1">
        <f t="shared" si="0"/>
        <v>1.7848263395716071</v>
      </c>
      <c r="AJ46" s="1">
        <v>2835606256558.1948</v>
      </c>
    </row>
    <row r="47" spans="1:36" ht="15.75" customHeight="1">
      <c r="A47" s="36" t="s">
        <v>35</v>
      </c>
      <c r="B47" s="45">
        <v>2020</v>
      </c>
      <c r="C47" s="48"/>
      <c r="D47" s="45">
        <v>2533830417086.3608</v>
      </c>
      <c r="E47" s="45">
        <v>-5.7777247068730304</v>
      </c>
      <c r="F47" s="45">
        <v>1806.5011058386517</v>
      </c>
      <c r="G47" s="43">
        <f t="shared" si="1"/>
        <v>-6.6904710283424453</v>
      </c>
      <c r="H47" s="39"/>
      <c r="I47" s="45">
        <v>738477753555.94299</v>
      </c>
      <c r="J47" s="45">
        <v>-7.0961150595959026</v>
      </c>
      <c r="K47" s="40"/>
      <c r="L47" s="45">
        <v>532528354</v>
      </c>
      <c r="M47" s="45">
        <v>7.859</v>
      </c>
      <c r="N47" s="43">
        <f t="shared" si="3"/>
        <v>92.141000000000005</v>
      </c>
      <c r="O47" s="43">
        <f t="shared" si="4"/>
        <v>490676950.65914005</v>
      </c>
      <c r="P47" s="43">
        <f t="shared" si="5"/>
        <v>5163.9483242133047</v>
      </c>
      <c r="Q47" s="43">
        <f t="shared" si="7"/>
        <v>-4.6055997622102591</v>
      </c>
      <c r="R47" s="47">
        <f t="shared" si="6"/>
        <v>1505.0182254616304</v>
      </c>
      <c r="S47" s="43">
        <f t="shared" si="8"/>
        <v>-5.9403908886824563</v>
      </c>
      <c r="T47" s="41"/>
      <c r="U47" s="45">
        <v>14.120485357692278</v>
      </c>
      <c r="V47" s="45">
        <v>3.0736109935103286</v>
      </c>
      <c r="W47" s="45">
        <v>401053540820.83514</v>
      </c>
      <c r="X47" s="45">
        <v>44.6754951957099</v>
      </c>
      <c r="Y47" s="45">
        <v>23.703647531851601</v>
      </c>
      <c r="Z47" s="45">
        <v>31.620857272438499</v>
      </c>
      <c r="AA47" s="39"/>
      <c r="AB47" s="45">
        <v>37.758105329276752</v>
      </c>
      <c r="AC47" s="45">
        <v>499728529072.62909</v>
      </c>
      <c r="AD47" s="45">
        <v>510244747372.17383</v>
      </c>
      <c r="AE47" s="45">
        <v>6.19</v>
      </c>
      <c r="AF47" s="40"/>
      <c r="AG47" s="46">
        <v>64362364994.375397</v>
      </c>
      <c r="AH47" s="43">
        <f t="shared" si="2"/>
        <v>27.171590089942871</v>
      </c>
      <c r="AI47" s="1">
        <f t="shared" si="0"/>
        <v>2.4062032267363627</v>
      </c>
      <c r="AJ47" s="1">
        <v>2674851578587.2686</v>
      </c>
    </row>
    <row r="48" spans="1:36" ht="15.75" customHeight="1">
      <c r="A48" s="36" t="s">
        <v>35</v>
      </c>
      <c r="B48" s="45">
        <v>2021</v>
      </c>
      <c r="C48" s="48"/>
      <c r="D48" s="45">
        <v>2779348258938.2803</v>
      </c>
      <c r="E48" s="45">
        <v>9.6895924919174092</v>
      </c>
      <c r="F48" s="45">
        <v>1965.3094343747164</v>
      </c>
      <c r="G48" s="43">
        <f t="shared" si="1"/>
        <v>8.7909344767513637</v>
      </c>
      <c r="H48" s="39"/>
      <c r="I48" s="45">
        <v>867868706472.12244</v>
      </c>
      <c r="J48" s="45">
        <v>17.521306808923057</v>
      </c>
      <c r="K48" s="40"/>
      <c r="L48" s="45">
        <v>550352877</v>
      </c>
      <c r="M48" s="45">
        <v>6.38</v>
      </c>
      <c r="N48" s="43">
        <f t="shared" si="3"/>
        <v>93.62</v>
      </c>
      <c r="O48" s="43">
        <f t="shared" si="4"/>
        <v>515240363.44739997</v>
      </c>
      <c r="P48" s="43">
        <f t="shared" si="5"/>
        <v>5394.2750920018307</v>
      </c>
      <c r="Q48" s="43">
        <f t="shared" si="7"/>
        <v>4.4602841339163648</v>
      </c>
      <c r="R48" s="47">
        <f t="shared" si="6"/>
        <v>1684.3958044461742</v>
      </c>
      <c r="S48" s="43">
        <f t="shared" si="8"/>
        <v>11.918631678332252</v>
      </c>
      <c r="T48" s="41"/>
      <c r="U48" s="45">
        <v>14.377028853128614</v>
      </c>
      <c r="V48" s="45">
        <v>9.9552196717495889</v>
      </c>
      <c r="W48" s="45">
        <v>440979301810.87921</v>
      </c>
      <c r="X48" s="45">
        <v>44.079186886638198</v>
      </c>
      <c r="Y48" s="45">
        <v>24.4704786231875</v>
      </c>
      <c r="Z48" s="45">
        <v>31.450327114961201</v>
      </c>
      <c r="AA48" s="39"/>
      <c r="AB48" s="45">
        <v>45.423088784044594</v>
      </c>
      <c r="AC48" s="45">
        <v>677769255428.55212</v>
      </c>
      <c r="AD48" s="45">
        <v>760902891806.01318</v>
      </c>
      <c r="AE48" s="45">
        <v>5.87</v>
      </c>
      <c r="AF48" s="40"/>
      <c r="AG48" s="46">
        <v>44727277562.880997</v>
      </c>
      <c r="AH48" s="43">
        <f t="shared" si="2"/>
        <v>-30.507094376053928</v>
      </c>
      <c r="AI48" s="1">
        <f t="shared" si="0"/>
        <v>1.41217101040888</v>
      </c>
      <c r="AJ48" s="1">
        <v>3167270623260.4688</v>
      </c>
    </row>
    <row r="49" spans="1:36" ht="15.75" customHeight="1">
      <c r="A49" s="36" t="s">
        <v>35</v>
      </c>
      <c r="B49" s="45">
        <v>2022</v>
      </c>
      <c r="C49" s="48"/>
      <c r="D49" s="45">
        <v>2990839011962.0557</v>
      </c>
      <c r="E49" s="45">
        <v>7.609364977693204</v>
      </c>
      <c r="F49" s="45">
        <v>2098.2112447612194</v>
      </c>
      <c r="G49" s="43">
        <f t="shared" si="1"/>
        <v>6.7623860172831822</v>
      </c>
      <c r="H49" s="39"/>
      <c r="I49" s="45">
        <v>941161453067.49158</v>
      </c>
      <c r="J49" s="45">
        <v>8.4451422258677127</v>
      </c>
      <c r="K49" s="40"/>
      <c r="L49" s="45">
        <v>569155867</v>
      </c>
      <c r="M49" s="45">
        <v>4.8220000000000001</v>
      </c>
      <c r="N49" s="43">
        <f t="shared" si="3"/>
        <v>95.177999999999997</v>
      </c>
      <c r="O49" s="43">
        <f t="shared" si="4"/>
        <v>541711171.09325993</v>
      </c>
      <c r="P49" s="43">
        <f t="shared" si="5"/>
        <v>5521.0953208257888</v>
      </c>
      <c r="Q49" s="43">
        <f t="shared" si="7"/>
        <v>2.3510152274583902</v>
      </c>
      <c r="R49" s="47">
        <f t="shared" si="6"/>
        <v>1737.3860892845851</v>
      </c>
      <c r="S49" s="43">
        <f t="shared" si="8"/>
        <v>3.1459520795846401</v>
      </c>
      <c r="T49" s="41"/>
      <c r="U49" s="45">
        <v>13.332720262397361</v>
      </c>
      <c r="V49" s="45">
        <v>-1.744196563454409</v>
      </c>
      <c r="W49" s="45">
        <v>433287755983.14862</v>
      </c>
      <c r="X49" s="45">
        <v>42.8609991503088</v>
      </c>
      <c r="Y49" s="45">
        <v>26.1203341573875</v>
      </c>
      <c r="Z49" s="45">
        <v>31.0186666923037</v>
      </c>
      <c r="AA49" s="39"/>
      <c r="AB49" s="45">
        <v>50.697938275804233</v>
      </c>
      <c r="AC49" s="45">
        <v>781290791563.82654</v>
      </c>
      <c r="AD49" s="45">
        <v>866361019118.76611</v>
      </c>
      <c r="AE49" s="45">
        <v>4.59</v>
      </c>
      <c r="AF49" s="40"/>
      <c r="AG49" s="46">
        <v>49940258404.2659</v>
      </c>
      <c r="AH49" s="43">
        <f t="shared" si="2"/>
        <v>11.655037206447675</v>
      </c>
      <c r="AI49" s="1">
        <f t="shared" si="0"/>
        <v>1.5366524174839336</v>
      </c>
      <c r="AJ49" s="1">
        <v>3249938492013.4712</v>
      </c>
    </row>
    <row r="50" spans="1:36" ht="15.75" customHeight="1">
      <c r="A50" s="36" t="s">
        <v>35</v>
      </c>
      <c r="B50" s="45">
        <v>2023</v>
      </c>
      <c r="C50" s="48"/>
      <c r="D50" s="45">
        <v>3206485223026.3037</v>
      </c>
      <c r="E50" s="45">
        <v>7.2102246293350021</v>
      </c>
      <c r="F50" s="45">
        <v>2229.7149122303699</v>
      </c>
      <c r="G50" s="43">
        <f t="shared" si="1"/>
        <v>6.2674179159742271</v>
      </c>
      <c r="H50" s="39"/>
      <c r="I50" s="45">
        <v>1009423253895.8359</v>
      </c>
      <c r="J50" s="45">
        <v>7.2529320666354664</v>
      </c>
      <c r="K50" s="40"/>
      <c r="L50" s="45">
        <v>589486854</v>
      </c>
      <c r="M50" s="45">
        <v>4.1719999999999997</v>
      </c>
      <c r="N50" s="43">
        <f t="shared" si="3"/>
        <v>95.828000000000003</v>
      </c>
      <c r="O50" s="43">
        <f t="shared" si="4"/>
        <v>564893462.45112002</v>
      </c>
      <c r="P50" s="43">
        <f t="shared" si="5"/>
        <v>5676.2654131508198</v>
      </c>
      <c r="Q50" s="43">
        <f t="shared" si="7"/>
        <v>2.8104947172298091</v>
      </c>
      <c r="R50" s="47">
        <f t="shared" si="6"/>
        <v>1786.9267764506671</v>
      </c>
      <c r="S50" s="43">
        <f t="shared" si="8"/>
        <v>2.851449512093295</v>
      </c>
      <c r="T50" s="41"/>
      <c r="U50" s="45">
        <v>13.312843875072023</v>
      </c>
      <c r="V50" s="45">
        <v>12.707025648704672</v>
      </c>
      <c r="W50" s="45">
        <v>488345742268.62421</v>
      </c>
      <c r="X50" s="45">
        <v>43.513581124579296</v>
      </c>
      <c r="Y50" s="45">
        <v>25.029211598620101</v>
      </c>
      <c r="Z50" s="45">
        <v>31.457207276800599</v>
      </c>
      <c r="AA50" s="39"/>
      <c r="AB50" s="45">
        <v>46.322952058233838</v>
      </c>
      <c r="AC50" s="45">
        <v>782620610192.05066</v>
      </c>
      <c r="AD50" s="45">
        <v>839102411987.34082</v>
      </c>
      <c r="AE50" s="36" t="s">
        <v>43</v>
      </c>
      <c r="AF50" s="40"/>
      <c r="AG50" s="46">
        <v>28086193530.3979</v>
      </c>
      <c r="AH50" s="43">
        <f t="shared" si="2"/>
        <v>-43.760416089479477</v>
      </c>
      <c r="AI50" s="1">
        <f t="shared" si="0"/>
        <v>0.8022549958367563</v>
      </c>
      <c r="AJ50" s="1">
        <v>3500906030644.7642</v>
      </c>
    </row>
    <row r="51" spans="1:36" ht="15.75" customHeight="1">
      <c r="A51" s="36" t="s">
        <v>35</v>
      </c>
      <c r="B51" s="45">
        <v>2024</v>
      </c>
      <c r="C51" s="48"/>
      <c r="D51" s="45">
        <v>3434122552914.7739</v>
      </c>
      <c r="E51" s="45">
        <v>7.0992789317651841</v>
      </c>
      <c r="F51" s="45">
        <v>2366.8328910323048</v>
      </c>
      <c r="G51" s="43">
        <f t="shared" si="1"/>
        <v>6.1495744612828842</v>
      </c>
      <c r="H51" s="39"/>
      <c r="I51" s="45">
        <v>1074125919425.715</v>
      </c>
      <c r="J51" s="45">
        <v>6.4098647698238835</v>
      </c>
      <c r="K51" s="40"/>
      <c r="L51" s="45">
        <v>608500805</v>
      </c>
      <c r="M51" s="45">
        <v>4.173</v>
      </c>
      <c r="N51" s="43">
        <f t="shared" si="3"/>
        <v>95.826999999999998</v>
      </c>
      <c r="O51" s="43">
        <f t="shared" si="4"/>
        <v>583108066.40734994</v>
      </c>
      <c r="P51" s="43">
        <f t="shared" si="5"/>
        <v>5889.3415316188593</v>
      </c>
      <c r="Q51" s="43">
        <f t="shared" si="7"/>
        <v>3.7538082340967178</v>
      </c>
      <c r="R51" s="47">
        <f t="shared" si="6"/>
        <v>1842.0700746666532</v>
      </c>
      <c r="S51" s="43">
        <f t="shared" si="8"/>
        <v>3.0859293700615971</v>
      </c>
      <c r="T51" s="41"/>
      <c r="U51" s="45">
        <v>13.139219949132599</v>
      </c>
      <c r="V51" s="45">
        <v>9.2890336559855626</v>
      </c>
      <c r="W51" s="45">
        <v>533708342625.52924</v>
      </c>
      <c r="X51" s="45">
        <v>42.3547738876441</v>
      </c>
      <c r="Y51" s="45">
        <v>25.370925971161199</v>
      </c>
      <c r="Z51" s="45">
        <v>32.274309744917801</v>
      </c>
      <c r="AA51" s="39"/>
      <c r="AB51" s="45">
        <v>45.916690767874819</v>
      </c>
      <c r="AC51" s="45">
        <v>829785193474.45898</v>
      </c>
      <c r="AD51" s="45">
        <v>897055898132.00037</v>
      </c>
      <c r="AE51" s="36" t="s">
        <v>43</v>
      </c>
      <c r="AF51" s="40"/>
      <c r="AG51" s="46">
        <v>27139853378.140202</v>
      </c>
      <c r="AH51" s="43">
        <f t="shared" si="2"/>
        <v>-3.3694140547506621</v>
      </c>
      <c r="AI51" s="1">
        <f t="shared" si="0"/>
        <v>0.72164848352677746</v>
      </c>
      <c r="AJ51" s="1">
        <v>3760813470500.8564</v>
      </c>
    </row>
    <row r="52" spans="1:36" ht="15.75" customHeight="1">
      <c r="A52" s="36" t="s">
        <v>35</v>
      </c>
      <c r="B52" s="45">
        <v>2025</v>
      </c>
      <c r="C52" s="48"/>
      <c r="D52" s="45">
        <v>3693970992045.5615</v>
      </c>
      <c r="E52" s="45">
        <v>7.5666617928424387</v>
      </c>
      <c r="F52" s="45">
        <v>2523.4360185137643</v>
      </c>
      <c r="G52" s="43">
        <f t="shared" si="1"/>
        <v>6.6165688365584767</v>
      </c>
      <c r="H52" s="39"/>
      <c r="I52" s="45">
        <v>1150204050793.3862</v>
      </c>
      <c r="J52" s="45">
        <v>7.0827944835691881</v>
      </c>
      <c r="K52" s="40"/>
      <c r="L52" s="45">
        <v>617625336</v>
      </c>
      <c r="M52" s="45">
        <v>4.2190000000000003</v>
      </c>
      <c r="N52" s="43">
        <f t="shared" si="3"/>
        <v>95.781000000000006</v>
      </c>
      <c r="O52" s="43">
        <f t="shared" si="4"/>
        <v>591567723.0741601</v>
      </c>
      <c r="P52" s="43">
        <f t="shared" si="5"/>
        <v>6244.3754923770211</v>
      </c>
      <c r="Q52" s="43">
        <f t="shared" si="7"/>
        <v>6.0284152116504996</v>
      </c>
      <c r="R52" s="47">
        <f t="shared" si="6"/>
        <v>1944.3319943424201</v>
      </c>
      <c r="S52" s="43">
        <f t="shared" si="8"/>
        <v>5.5514673997552739</v>
      </c>
      <c r="T52" s="41"/>
      <c r="U52" s="45">
        <v>13.471055068464782</v>
      </c>
      <c r="V52" s="45">
        <v>11.531872924542057</v>
      </c>
      <c r="W52" s="45">
        <v>595254910484.78479</v>
      </c>
      <c r="X52" s="45">
        <v>41.625128087757297</v>
      </c>
      <c r="Y52" s="45">
        <v>25.817307380638098</v>
      </c>
      <c r="Z52" s="45">
        <v>32.557562503110901</v>
      </c>
      <c r="AA52" s="39"/>
      <c r="AB52" s="45">
        <v>46.268200685990735</v>
      </c>
      <c r="AC52" s="45">
        <v>880740846621.54529</v>
      </c>
      <c r="AD52" s="45">
        <v>949660225776.15845</v>
      </c>
      <c r="AE52" s="36" t="s">
        <v>43</v>
      </c>
      <c r="AF52" s="40"/>
      <c r="AG52" s="46">
        <v>39097233086.213303</v>
      </c>
      <c r="AH52" s="43">
        <f t="shared" si="2"/>
        <v>44.058379908950336</v>
      </c>
      <c r="AI52" s="1">
        <f t="shared" si="0"/>
        <v>0.98828538399524557</v>
      </c>
      <c r="AJ52" s="1">
        <v>3956067115771.6313</v>
      </c>
    </row>
    <row r="53" spans="1:36" ht="15.75" customHeight="1">
      <c r="C53" s="48"/>
      <c r="H53" s="39"/>
      <c r="K53" s="40"/>
      <c r="T53" s="41"/>
      <c r="AA53" s="39"/>
      <c r="AF53" s="40"/>
      <c r="AG53" s="42"/>
      <c r="AJ53" s="1"/>
    </row>
    <row r="54" spans="1:36" ht="15.75" customHeight="1">
      <c r="C54" s="48"/>
      <c r="H54" s="39"/>
      <c r="K54" s="40"/>
      <c r="T54" s="41"/>
      <c r="AA54" s="39"/>
      <c r="AF54" s="40"/>
      <c r="AG54" s="42"/>
      <c r="AJ54" s="1"/>
    </row>
    <row r="55" spans="1:36" ht="15.75" customHeight="1">
      <c r="C55" s="48"/>
      <c r="H55" s="39"/>
      <c r="K55" s="40"/>
      <c r="T55" s="41"/>
      <c r="AA55" s="39"/>
      <c r="AF55" s="40"/>
      <c r="AG55" s="42"/>
      <c r="AJ55" s="1"/>
    </row>
    <row r="56" spans="1:36" ht="15.75" customHeight="1">
      <c r="C56" s="48"/>
      <c r="H56" s="39"/>
      <c r="K56" s="40"/>
      <c r="T56" s="41"/>
      <c r="AA56" s="39"/>
      <c r="AF56" s="40"/>
      <c r="AG56" s="42"/>
      <c r="AJ56" s="1"/>
    </row>
    <row r="57" spans="1:36" ht="15.75" customHeight="1">
      <c r="C57" s="48"/>
      <c r="H57" s="39"/>
      <c r="K57" s="40"/>
      <c r="T57" s="41"/>
      <c r="AA57" s="39"/>
      <c r="AF57" s="40"/>
      <c r="AG57" s="42"/>
      <c r="AJ57" s="1"/>
    </row>
    <row r="58" spans="1:36" ht="15.75" customHeight="1">
      <c r="C58" s="48"/>
      <c r="H58" s="39"/>
      <c r="K58" s="40"/>
      <c r="T58" s="41"/>
      <c r="AA58" s="39"/>
      <c r="AF58" s="40"/>
      <c r="AG58" s="42"/>
      <c r="AJ58" s="1"/>
    </row>
    <row r="59" spans="1:36" ht="15.75" customHeight="1">
      <c r="C59" s="48"/>
      <c r="H59" s="39"/>
      <c r="K59" s="40"/>
      <c r="T59" s="41"/>
      <c r="AA59" s="39"/>
      <c r="AF59" s="40"/>
      <c r="AG59" s="42"/>
      <c r="AJ59" s="1"/>
    </row>
    <row r="60" spans="1:36" ht="15.75" customHeight="1">
      <c r="C60" s="48"/>
      <c r="H60" s="39"/>
      <c r="K60" s="40"/>
      <c r="T60" s="41"/>
      <c r="AA60" s="39"/>
      <c r="AF60" s="40"/>
      <c r="AG60" s="42"/>
      <c r="AJ60" s="1"/>
    </row>
    <row r="61" spans="1:36" ht="15.75" customHeight="1">
      <c r="C61" s="48"/>
      <c r="H61" s="39"/>
      <c r="K61" s="40"/>
      <c r="T61" s="41"/>
      <c r="AA61" s="39"/>
      <c r="AF61" s="40"/>
      <c r="AG61" s="42"/>
      <c r="AJ61" s="1"/>
    </row>
    <row r="62" spans="1:36" ht="15.75" customHeight="1">
      <c r="C62" s="48"/>
      <c r="H62" s="39"/>
      <c r="K62" s="40"/>
      <c r="T62" s="41"/>
      <c r="AA62" s="39"/>
      <c r="AF62" s="40"/>
      <c r="AG62" s="42"/>
      <c r="AJ62" s="1"/>
    </row>
    <row r="63" spans="1:36" ht="15.75" customHeight="1">
      <c r="C63" s="48"/>
      <c r="H63" s="39"/>
      <c r="K63" s="40"/>
      <c r="T63" s="41"/>
      <c r="AA63" s="39"/>
      <c r="AF63" s="40"/>
      <c r="AG63" s="42"/>
      <c r="AJ63" s="1"/>
    </row>
    <row r="64" spans="1:36" ht="15.75" customHeight="1">
      <c r="C64" s="48"/>
      <c r="H64" s="39"/>
      <c r="K64" s="40"/>
      <c r="T64" s="41"/>
      <c r="AA64" s="39"/>
      <c r="AF64" s="40"/>
      <c r="AG64" s="42"/>
      <c r="AJ64" s="1"/>
    </row>
    <row r="65" spans="3:36" ht="15.75" customHeight="1">
      <c r="C65" s="48"/>
      <c r="H65" s="39"/>
      <c r="K65" s="40"/>
      <c r="T65" s="41"/>
      <c r="AA65" s="39"/>
      <c r="AF65" s="40"/>
      <c r="AG65" s="42"/>
      <c r="AJ65" s="1"/>
    </row>
    <row r="66" spans="3:36" ht="15.75" customHeight="1">
      <c r="C66" s="48"/>
      <c r="H66" s="39"/>
      <c r="K66" s="40"/>
      <c r="T66" s="41"/>
      <c r="AA66" s="39"/>
      <c r="AF66" s="40"/>
      <c r="AG66" s="42"/>
      <c r="AJ66" s="1"/>
    </row>
    <row r="67" spans="3:36" ht="15.75" customHeight="1">
      <c r="C67" s="48"/>
      <c r="H67" s="39"/>
      <c r="K67" s="40"/>
      <c r="T67" s="41"/>
      <c r="AA67" s="39"/>
      <c r="AF67" s="40"/>
      <c r="AG67" s="42"/>
      <c r="AJ67" s="1"/>
    </row>
    <row r="68" spans="3:36" ht="15.75" customHeight="1">
      <c r="C68" s="48"/>
      <c r="H68" s="39"/>
      <c r="K68" s="40"/>
      <c r="T68" s="41"/>
      <c r="AA68" s="39"/>
      <c r="AF68" s="40"/>
      <c r="AG68" s="42"/>
      <c r="AJ68" s="1"/>
    </row>
    <row r="69" spans="3:36" ht="15.75" customHeight="1">
      <c r="C69" s="48"/>
      <c r="H69" s="39"/>
      <c r="K69" s="40"/>
      <c r="T69" s="41"/>
      <c r="AA69" s="39"/>
      <c r="AF69" s="40"/>
      <c r="AG69" s="42"/>
      <c r="AJ69" s="1"/>
    </row>
    <row r="70" spans="3:36" ht="15.75" customHeight="1">
      <c r="C70" s="48"/>
      <c r="H70" s="39"/>
      <c r="K70" s="40"/>
      <c r="T70" s="41"/>
      <c r="AA70" s="39"/>
      <c r="AF70" s="40"/>
      <c r="AG70" s="42"/>
      <c r="AJ70" s="1"/>
    </row>
    <row r="71" spans="3:36" ht="15.75" customHeight="1">
      <c r="C71" s="48"/>
      <c r="H71" s="39"/>
      <c r="K71" s="40"/>
      <c r="T71" s="41"/>
      <c r="AA71" s="39"/>
      <c r="AF71" s="40"/>
      <c r="AG71" s="42"/>
      <c r="AJ71" s="1"/>
    </row>
    <row r="72" spans="3:36" ht="15.75" customHeight="1">
      <c r="C72" s="48"/>
      <c r="H72" s="39"/>
      <c r="K72" s="40"/>
      <c r="T72" s="41"/>
      <c r="AA72" s="39"/>
      <c r="AF72" s="40"/>
      <c r="AG72" s="42"/>
      <c r="AJ72" s="1"/>
    </row>
    <row r="73" spans="3:36" ht="15.75" customHeight="1">
      <c r="C73" s="48"/>
      <c r="H73" s="39"/>
      <c r="K73" s="40"/>
      <c r="T73" s="41"/>
      <c r="AA73" s="39"/>
      <c r="AF73" s="40"/>
      <c r="AG73" s="42"/>
      <c r="AJ73" s="1"/>
    </row>
    <row r="74" spans="3:36" ht="15.75" customHeight="1">
      <c r="C74" s="48"/>
      <c r="H74" s="39"/>
      <c r="K74" s="40"/>
      <c r="T74" s="41"/>
      <c r="AA74" s="39"/>
      <c r="AF74" s="40"/>
      <c r="AG74" s="42"/>
      <c r="AJ74" s="1"/>
    </row>
    <row r="75" spans="3:36" ht="15.75" customHeight="1">
      <c r="C75" s="48"/>
      <c r="H75" s="39"/>
      <c r="K75" s="40"/>
      <c r="T75" s="41"/>
      <c r="AA75" s="39"/>
      <c r="AF75" s="40"/>
      <c r="AG75" s="42"/>
      <c r="AJ75" s="1"/>
    </row>
    <row r="76" spans="3:36" ht="15.75" customHeight="1">
      <c r="C76" s="48"/>
      <c r="H76" s="39"/>
      <c r="K76" s="40"/>
      <c r="T76" s="41"/>
      <c r="AA76" s="39"/>
      <c r="AF76" s="40"/>
      <c r="AG76" s="42"/>
      <c r="AJ76" s="1"/>
    </row>
    <row r="77" spans="3:36" ht="15.75" customHeight="1">
      <c r="C77" s="48"/>
      <c r="H77" s="39"/>
      <c r="K77" s="40"/>
      <c r="T77" s="41"/>
      <c r="AA77" s="39"/>
      <c r="AF77" s="40"/>
      <c r="AG77" s="42"/>
      <c r="AJ77" s="1"/>
    </row>
    <row r="78" spans="3:36" ht="15.75" customHeight="1">
      <c r="C78" s="48"/>
      <c r="H78" s="39"/>
      <c r="K78" s="40"/>
      <c r="T78" s="41"/>
      <c r="AA78" s="39"/>
      <c r="AF78" s="40"/>
      <c r="AG78" s="42"/>
      <c r="AJ78" s="1"/>
    </row>
    <row r="79" spans="3:36" ht="15.75" customHeight="1">
      <c r="C79" s="48"/>
      <c r="H79" s="39"/>
      <c r="K79" s="40"/>
      <c r="T79" s="41"/>
      <c r="AA79" s="39"/>
      <c r="AF79" s="40"/>
      <c r="AG79" s="42"/>
      <c r="AJ79" s="1"/>
    </row>
    <row r="80" spans="3:36" ht="15.75" customHeight="1">
      <c r="C80" s="48"/>
      <c r="H80" s="39"/>
      <c r="K80" s="40"/>
      <c r="T80" s="41"/>
      <c r="AA80" s="39"/>
      <c r="AF80" s="40"/>
      <c r="AG80" s="42"/>
      <c r="AJ80" s="1"/>
    </row>
    <row r="81" spans="3:36" ht="15.75" customHeight="1">
      <c r="C81" s="48"/>
      <c r="H81" s="39"/>
      <c r="K81" s="40"/>
      <c r="T81" s="41"/>
      <c r="AA81" s="39"/>
      <c r="AF81" s="40"/>
      <c r="AG81" s="42"/>
      <c r="AJ81" s="1"/>
    </row>
    <row r="82" spans="3:36" ht="15.75" customHeight="1">
      <c r="C82" s="48"/>
      <c r="H82" s="39"/>
      <c r="K82" s="40"/>
      <c r="T82" s="41"/>
      <c r="AA82" s="39"/>
      <c r="AF82" s="40"/>
      <c r="AG82" s="42"/>
      <c r="AJ82" s="1"/>
    </row>
    <row r="83" spans="3:36" ht="15.75" customHeight="1">
      <c r="C83" s="48"/>
      <c r="H83" s="39"/>
      <c r="K83" s="40"/>
      <c r="T83" s="41"/>
      <c r="AA83" s="39"/>
      <c r="AF83" s="40"/>
      <c r="AG83" s="42"/>
      <c r="AJ83" s="1"/>
    </row>
    <row r="84" spans="3:36" ht="15.75" customHeight="1">
      <c r="C84" s="48"/>
      <c r="H84" s="39"/>
      <c r="K84" s="40"/>
      <c r="T84" s="41"/>
      <c r="AA84" s="39"/>
      <c r="AF84" s="40"/>
      <c r="AG84" s="42"/>
      <c r="AJ84" s="1"/>
    </row>
    <row r="85" spans="3:36" ht="15.75" customHeight="1">
      <c r="C85" s="48"/>
      <c r="H85" s="39"/>
      <c r="K85" s="40"/>
      <c r="T85" s="41"/>
      <c r="AA85" s="39"/>
      <c r="AF85" s="40"/>
      <c r="AG85" s="42"/>
      <c r="AJ85" s="1"/>
    </row>
    <row r="86" spans="3:36" ht="15.75" customHeight="1">
      <c r="C86" s="48"/>
      <c r="H86" s="39"/>
      <c r="K86" s="40"/>
      <c r="T86" s="41"/>
      <c r="AA86" s="39"/>
      <c r="AF86" s="40"/>
      <c r="AG86" s="42"/>
      <c r="AJ86" s="1"/>
    </row>
    <row r="87" spans="3:36" ht="15.75" customHeight="1">
      <c r="C87" s="48"/>
      <c r="H87" s="39"/>
      <c r="K87" s="40"/>
      <c r="T87" s="41"/>
      <c r="AA87" s="39"/>
      <c r="AF87" s="40"/>
      <c r="AG87" s="42"/>
      <c r="AJ87" s="1"/>
    </row>
    <row r="88" spans="3:36" ht="15.75" customHeight="1">
      <c r="C88" s="48"/>
      <c r="H88" s="39"/>
      <c r="K88" s="40"/>
      <c r="T88" s="41"/>
      <c r="AA88" s="39"/>
      <c r="AF88" s="40"/>
      <c r="AG88" s="42"/>
      <c r="AJ88" s="1"/>
    </row>
    <row r="89" spans="3:36" ht="15.75" customHeight="1">
      <c r="C89" s="48"/>
      <c r="H89" s="39"/>
      <c r="K89" s="40"/>
      <c r="T89" s="41"/>
      <c r="AA89" s="39"/>
      <c r="AF89" s="40"/>
      <c r="AG89" s="42"/>
      <c r="AJ89" s="1"/>
    </row>
    <row r="90" spans="3:36" ht="15.75" customHeight="1">
      <c r="C90" s="48"/>
      <c r="H90" s="39"/>
      <c r="K90" s="40"/>
      <c r="T90" s="41"/>
      <c r="AA90" s="39"/>
      <c r="AF90" s="40"/>
      <c r="AG90" s="42"/>
      <c r="AJ90" s="1"/>
    </row>
    <row r="91" spans="3:36" ht="15.75" customHeight="1">
      <c r="C91" s="48"/>
      <c r="H91" s="39"/>
      <c r="K91" s="40"/>
      <c r="T91" s="41"/>
      <c r="AA91" s="39"/>
      <c r="AF91" s="40"/>
      <c r="AG91" s="42"/>
      <c r="AJ91" s="1"/>
    </row>
    <row r="92" spans="3:36" ht="15.75" customHeight="1">
      <c r="C92" s="48"/>
      <c r="H92" s="39"/>
      <c r="K92" s="40"/>
      <c r="T92" s="41"/>
      <c r="AA92" s="39"/>
      <c r="AF92" s="40"/>
      <c r="AG92" s="42"/>
      <c r="AJ92" s="1"/>
    </row>
    <row r="93" spans="3:36" ht="15.75" customHeight="1">
      <c r="C93" s="48"/>
      <c r="H93" s="39"/>
      <c r="K93" s="40"/>
      <c r="T93" s="41"/>
      <c r="AA93" s="39"/>
      <c r="AF93" s="40"/>
      <c r="AG93" s="42"/>
      <c r="AJ93" s="1"/>
    </row>
    <row r="94" spans="3:36" ht="15.75" customHeight="1">
      <c r="C94" s="48"/>
      <c r="H94" s="39"/>
      <c r="K94" s="40"/>
      <c r="T94" s="41"/>
      <c r="AA94" s="39"/>
      <c r="AF94" s="40"/>
      <c r="AG94" s="42"/>
      <c r="AJ94" s="1"/>
    </row>
    <row r="95" spans="3:36" ht="15.75" customHeight="1">
      <c r="C95" s="48"/>
      <c r="H95" s="39"/>
      <c r="K95" s="40"/>
      <c r="T95" s="41"/>
      <c r="AA95" s="39"/>
      <c r="AF95" s="40"/>
      <c r="AG95" s="42"/>
      <c r="AJ95" s="1"/>
    </row>
    <row r="96" spans="3:36" ht="15.75" customHeight="1">
      <c r="C96" s="48"/>
      <c r="H96" s="39"/>
      <c r="K96" s="40"/>
      <c r="T96" s="41"/>
      <c r="AA96" s="39"/>
      <c r="AF96" s="40"/>
      <c r="AG96" s="42"/>
      <c r="AJ96" s="1"/>
    </row>
    <row r="97" spans="3:36" ht="15.75" customHeight="1">
      <c r="C97" s="48"/>
      <c r="H97" s="39"/>
      <c r="K97" s="40"/>
      <c r="T97" s="41"/>
      <c r="AA97" s="39"/>
      <c r="AF97" s="40"/>
      <c r="AG97" s="42"/>
      <c r="AJ97" s="1"/>
    </row>
    <row r="98" spans="3:36" ht="15.75" customHeight="1">
      <c r="C98" s="48"/>
      <c r="H98" s="39"/>
      <c r="K98" s="40"/>
      <c r="T98" s="41"/>
      <c r="AA98" s="39"/>
      <c r="AF98" s="40"/>
      <c r="AG98" s="42"/>
      <c r="AJ98" s="1"/>
    </row>
    <row r="99" spans="3:36" ht="15.75" customHeight="1">
      <c r="C99" s="48"/>
      <c r="H99" s="39"/>
      <c r="K99" s="40"/>
      <c r="T99" s="41"/>
      <c r="AA99" s="39"/>
      <c r="AF99" s="40"/>
      <c r="AG99" s="42"/>
      <c r="AJ99" s="1"/>
    </row>
    <row r="100" spans="3:36" ht="15.75" customHeight="1">
      <c r="C100" s="48"/>
      <c r="H100" s="39"/>
      <c r="K100" s="40"/>
      <c r="T100" s="41"/>
      <c r="AA100" s="39"/>
      <c r="AF100" s="40"/>
      <c r="AG100" s="42"/>
      <c r="AJ100" s="1"/>
    </row>
    <row r="101" spans="3:36" ht="15.75" customHeight="1">
      <c r="C101" s="48"/>
      <c r="H101" s="39"/>
      <c r="K101" s="40"/>
      <c r="T101" s="41"/>
      <c r="AA101" s="39"/>
      <c r="AF101" s="40"/>
      <c r="AG101" s="42"/>
      <c r="AJ101" s="1"/>
    </row>
    <row r="102" spans="3:36" ht="15.75" customHeight="1">
      <c r="C102" s="48"/>
      <c r="H102" s="39"/>
      <c r="K102" s="40"/>
      <c r="T102" s="41"/>
      <c r="AA102" s="39"/>
      <c r="AF102" s="40"/>
      <c r="AG102" s="42"/>
      <c r="AJ102" s="1"/>
    </row>
    <row r="103" spans="3:36" ht="15.75" customHeight="1">
      <c r="C103" s="48"/>
      <c r="H103" s="39"/>
      <c r="K103" s="40"/>
      <c r="T103" s="41"/>
      <c r="AA103" s="39"/>
      <c r="AF103" s="40"/>
      <c r="AG103" s="42"/>
      <c r="AJ103" s="1"/>
    </row>
    <row r="104" spans="3:36" ht="15.75" customHeight="1">
      <c r="C104" s="48"/>
      <c r="H104" s="39"/>
      <c r="K104" s="40"/>
      <c r="T104" s="41"/>
      <c r="AA104" s="39"/>
      <c r="AF104" s="40"/>
      <c r="AG104" s="42"/>
      <c r="AJ104" s="1"/>
    </row>
    <row r="105" spans="3:36" ht="15.75" customHeight="1">
      <c r="C105" s="48"/>
      <c r="H105" s="39"/>
      <c r="K105" s="40"/>
      <c r="T105" s="41"/>
      <c r="AA105" s="39"/>
      <c r="AF105" s="40"/>
      <c r="AG105" s="42"/>
      <c r="AJ105" s="1"/>
    </row>
    <row r="106" spans="3:36" ht="15.75" customHeight="1">
      <c r="C106" s="48"/>
      <c r="H106" s="39"/>
      <c r="K106" s="40"/>
      <c r="T106" s="41"/>
      <c r="AA106" s="39"/>
      <c r="AF106" s="40"/>
      <c r="AG106" s="42"/>
      <c r="AJ106" s="1"/>
    </row>
    <row r="107" spans="3:36" ht="15.75" customHeight="1">
      <c r="C107" s="48"/>
      <c r="H107" s="39"/>
      <c r="K107" s="40"/>
      <c r="T107" s="41"/>
      <c r="AA107" s="39"/>
      <c r="AF107" s="40"/>
      <c r="AG107" s="42"/>
      <c r="AJ107" s="1"/>
    </row>
    <row r="108" spans="3:36" ht="15.75" customHeight="1">
      <c r="C108" s="48"/>
      <c r="H108" s="39"/>
      <c r="K108" s="40"/>
      <c r="T108" s="41"/>
      <c r="AA108" s="39"/>
      <c r="AF108" s="40"/>
      <c r="AG108" s="42"/>
      <c r="AJ108" s="1"/>
    </row>
    <row r="109" spans="3:36" ht="15.75" customHeight="1">
      <c r="C109" s="48"/>
      <c r="H109" s="39"/>
      <c r="K109" s="40"/>
      <c r="T109" s="41"/>
      <c r="AA109" s="39"/>
      <c r="AF109" s="40"/>
      <c r="AG109" s="42"/>
      <c r="AJ109" s="1"/>
    </row>
    <row r="110" spans="3:36" ht="15.75" customHeight="1">
      <c r="C110" s="48"/>
      <c r="H110" s="39"/>
      <c r="K110" s="40"/>
      <c r="T110" s="41"/>
      <c r="AA110" s="39"/>
      <c r="AF110" s="40"/>
      <c r="AG110" s="42"/>
      <c r="AJ110" s="1"/>
    </row>
    <row r="111" spans="3:36" ht="15.75" customHeight="1">
      <c r="C111" s="48"/>
      <c r="H111" s="39"/>
      <c r="K111" s="40"/>
      <c r="T111" s="41"/>
      <c r="AA111" s="39"/>
      <c r="AF111" s="40"/>
      <c r="AG111" s="42"/>
      <c r="AJ111" s="1"/>
    </row>
    <row r="112" spans="3:36" ht="15.75" customHeight="1">
      <c r="C112" s="48"/>
      <c r="H112" s="39"/>
      <c r="K112" s="40"/>
      <c r="T112" s="41"/>
      <c r="AA112" s="39"/>
      <c r="AF112" s="40"/>
      <c r="AG112" s="42"/>
      <c r="AJ112" s="1"/>
    </row>
    <row r="113" spans="3:36" ht="15.75" customHeight="1">
      <c r="C113" s="48"/>
      <c r="H113" s="39"/>
      <c r="K113" s="40"/>
      <c r="T113" s="41"/>
      <c r="AA113" s="39"/>
      <c r="AF113" s="40"/>
      <c r="AG113" s="42"/>
      <c r="AJ113" s="1"/>
    </row>
    <row r="114" spans="3:36" ht="15.75" customHeight="1">
      <c r="C114" s="48"/>
      <c r="H114" s="39"/>
      <c r="K114" s="40"/>
      <c r="T114" s="41"/>
      <c r="AA114" s="39"/>
      <c r="AF114" s="40"/>
      <c r="AG114" s="42"/>
      <c r="AJ114" s="1"/>
    </row>
    <row r="115" spans="3:36" ht="15.75" customHeight="1">
      <c r="C115" s="48"/>
      <c r="H115" s="39"/>
      <c r="K115" s="40"/>
      <c r="T115" s="41"/>
      <c r="AA115" s="39"/>
      <c r="AF115" s="40"/>
      <c r="AG115" s="42"/>
      <c r="AJ115" s="1"/>
    </row>
    <row r="116" spans="3:36" ht="15.75" customHeight="1">
      <c r="C116" s="48"/>
      <c r="H116" s="39"/>
      <c r="K116" s="40"/>
      <c r="T116" s="41"/>
      <c r="AA116" s="39"/>
      <c r="AF116" s="40"/>
      <c r="AG116" s="42"/>
      <c r="AJ116" s="1"/>
    </row>
    <row r="117" spans="3:36" ht="15.75" customHeight="1">
      <c r="C117" s="48"/>
      <c r="H117" s="39"/>
      <c r="K117" s="40"/>
      <c r="T117" s="41"/>
      <c r="AA117" s="39"/>
      <c r="AF117" s="40"/>
      <c r="AG117" s="42"/>
      <c r="AJ117" s="1"/>
    </row>
    <row r="118" spans="3:36" ht="15.75" customHeight="1">
      <c r="C118" s="48"/>
      <c r="H118" s="39"/>
      <c r="K118" s="40"/>
      <c r="T118" s="41"/>
      <c r="AA118" s="39"/>
      <c r="AF118" s="40"/>
      <c r="AG118" s="42"/>
      <c r="AJ118" s="1"/>
    </row>
    <row r="119" spans="3:36" ht="15.75" customHeight="1">
      <c r="C119" s="48"/>
      <c r="H119" s="39"/>
      <c r="K119" s="40"/>
      <c r="T119" s="41"/>
      <c r="AA119" s="39"/>
      <c r="AF119" s="40"/>
      <c r="AG119" s="42"/>
      <c r="AJ119" s="1"/>
    </row>
    <row r="120" spans="3:36" ht="15.75" customHeight="1">
      <c r="C120" s="48"/>
      <c r="H120" s="39"/>
      <c r="K120" s="40"/>
      <c r="T120" s="41"/>
      <c r="AA120" s="39"/>
      <c r="AF120" s="40"/>
      <c r="AG120" s="42"/>
      <c r="AJ120" s="1"/>
    </row>
    <row r="121" spans="3:36" ht="15.75" customHeight="1">
      <c r="C121" s="48"/>
      <c r="H121" s="39"/>
      <c r="K121" s="40"/>
      <c r="T121" s="41"/>
      <c r="AA121" s="39"/>
      <c r="AF121" s="40"/>
      <c r="AG121" s="42"/>
      <c r="AJ121" s="1"/>
    </row>
    <row r="122" spans="3:36" ht="15.75" customHeight="1">
      <c r="C122" s="48"/>
      <c r="H122" s="39"/>
      <c r="K122" s="40"/>
      <c r="T122" s="41"/>
      <c r="AA122" s="39"/>
      <c r="AF122" s="40"/>
      <c r="AG122" s="42"/>
      <c r="AJ122" s="1"/>
    </row>
    <row r="123" spans="3:36" ht="15.75" customHeight="1">
      <c r="C123" s="48"/>
      <c r="H123" s="39"/>
      <c r="K123" s="40"/>
      <c r="T123" s="41"/>
      <c r="AA123" s="39"/>
      <c r="AF123" s="40"/>
      <c r="AG123" s="42"/>
      <c r="AJ123" s="1"/>
    </row>
    <row r="124" spans="3:36" ht="15.75" customHeight="1">
      <c r="C124" s="48"/>
      <c r="H124" s="39"/>
      <c r="K124" s="40"/>
      <c r="T124" s="41"/>
      <c r="AA124" s="39"/>
      <c r="AF124" s="40"/>
      <c r="AG124" s="42"/>
      <c r="AJ124" s="1"/>
    </row>
    <row r="125" spans="3:36" ht="15.75" customHeight="1">
      <c r="C125" s="48"/>
      <c r="H125" s="39"/>
      <c r="K125" s="40"/>
      <c r="T125" s="41"/>
      <c r="AA125" s="39"/>
      <c r="AF125" s="40"/>
      <c r="AG125" s="42"/>
      <c r="AJ125" s="1"/>
    </row>
    <row r="126" spans="3:36" ht="15.75" customHeight="1">
      <c r="C126" s="48"/>
      <c r="H126" s="39"/>
      <c r="K126" s="40"/>
      <c r="T126" s="41"/>
      <c r="AA126" s="39"/>
      <c r="AF126" s="40"/>
      <c r="AG126" s="42"/>
      <c r="AJ126" s="1"/>
    </row>
    <row r="127" spans="3:36" ht="15.75" customHeight="1">
      <c r="C127" s="48"/>
      <c r="H127" s="39"/>
      <c r="K127" s="40"/>
      <c r="T127" s="41"/>
      <c r="AA127" s="39"/>
      <c r="AF127" s="40"/>
      <c r="AG127" s="42"/>
      <c r="AJ127" s="1"/>
    </row>
    <row r="128" spans="3:36" ht="15.75" customHeight="1">
      <c r="C128" s="48"/>
      <c r="H128" s="39"/>
      <c r="K128" s="40"/>
      <c r="T128" s="41"/>
      <c r="AA128" s="39"/>
      <c r="AF128" s="40"/>
      <c r="AG128" s="42"/>
      <c r="AJ128" s="1"/>
    </row>
    <row r="129" spans="3:36" ht="15.75" customHeight="1">
      <c r="C129" s="48"/>
      <c r="H129" s="39"/>
      <c r="K129" s="40"/>
      <c r="T129" s="41"/>
      <c r="AA129" s="39"/>
      <c r="AF129" s="40"/>
      <c r="AG129" s="42"/>
      <c r="AJ129" s="1"/>
    </row>
    <row r="130" spans="3:36" ht="15.75" customHeight="1">
      <c r="C130" s="48"/>
      <c r="H130" s="39"/>
      <c r="K130" s="40"/>
      <c r="T130" s="41"/>
      <c r="AA130" s="39"/>
      <c r="AF130" s="40"/>
      <c r="AG130" s="42"/>
      <c r="AJ130" s="1"/>
    </row>
    <row r="131" spans="3:36" ht="15.75" customHeight="1">
      <c r="C131" s="48"/>
      <c r="H131" s="39"/>
      <c r="K131" s="40"/>
      <c r="T131" s="41"/>
      <c r="AA131" s="39"/>
      <c r="AF131" s="40"/>
      <c r="AG131" s="42"/>
      <c r="AJ131" s="1"/>
    </row>
    <row r="132" spans="3:36" ht="15.75" customHeight="1">
      <c r="C132" s="48"/>
      <c r="H132" s="39"/>
      <c r="K132" s="40"/>
      <c r="T132" s="41"/>
      <c r="AA132" s="39"/>
      <c r="AF132" s="40"/>
      <c r="AG132" s="42"/>
      <c r="AJ132" s="1"/>
    </row>
    <row r="133" spans="3:36" ht="15.75" customHeight="1">
      <c r="C133" s="48"/>
      <c r="H133" s="39"/>
      <c r="K133" s="40"/>
      <c r="T133" s="41"/>
      <c r="AA133" s="39"/>
      <c r="AF133" s="40"/>
      <c r="AG133" s="42"/>
      <c r="AJ133" s="1"/>
    </row>
    <row r="134" spans="3:36" ht="15.75" customHeight="1">
      <c r="C134" s="48"/>
      <c r="H134" s="39"/>
      <c r="K134" s="40"/>
      <c r="T134" s="41"/>
      <c r="AA134" s="39"/>
      <c r="AF134" s="40"/>
      <c r="AG134" s="42"/>
      <c r="AJ134" s="1"/>
    </row>
    <row r="135" spans="3:36" ht="15.75" customHeight="1">
      <c r="C135" s="48"/>
      <c r="H135" s="39"/>
      <c r="K135" s="40"/>
      <c r="T135" s="41"/>
      <c r="AA135" s="39"/>
      <c r="AF135" s="40"/>
      <c r="AG135" s="42"/>
      <c r="AJ135" s="1"/>
    </row>
    <row r="136" spans="3:36" ht="15.75" customHeight="1">
      <c r="C136" s="48"/>
      <c r="H136" s="39"/>
      <c r="K136" s="40"/>
      <c r="T136" s="41"/>
      <c r="AA136" s="39"/>
      <c r="AF136" s="40"/>
      <c r="AG136" s="42"/>
      <c r="AJ136" s="1"/>
    </row>
    <row r="137" spans="3:36" ht="15.75" customHeight="1">
      <c r="C137" s="48"/>
      <c r="H137" s="39"/>
      <c r="K137" s="40"/>
      <c r="T137" s="41"/>
      <c r="AA137" s="39"/>
      <c r="AF137" s="40"/>
      <c r="AG137" s="42"/>
      <c r="AJ137" s="1"/>
    </row>
    <row r="138" spans="3:36" ht="15.75" customHeight="1">
      <c r="C138" s="48"/>
      <c r="H138" s="39"/>
      <c r="K138" s="40"/>
      <c r="T138" s="41"/>
      <c r="AA138" s="39"/>
      <c r="AF138" s="40"/>
      <c r="AG138" s="42"/>
      <c r="AJ138" s="1"/>
    </row>
    <row r="139" spans="3:36" ht="15.75" customHeight="1">
      <c r="C139" s="48"/>
      <c r="H139" s="39"/>
      <c r="K139" s="40"/>
      <c r="T139" s="41"/>
      <c r="AA139" s="39"/>
      <c r="AF139" s="40"/>
      <c r="AG139" s="42"/>
      <c r="AJ139" s="1"/>
    </row>
    <row r="140" spans="3:36" ht="15.75" customHeight="1">
      <c r="C140" s="48"/>
      <c r="H140" s="39"/>
      <c r="K140" s="40"/>
      <c r="T140" s="41"/>
      <c r="AA140" s="39"/>
      <c r="AF140" s="40"/>
      <c r="AG140" s="42"/>
      <c r="AJ140" s="1"/>
    </row>
    <row r="141" spans="3:36" ht="15.75" customHeight="1">
      <c r="C141" s="48"/>
      <c r="H141" s="39"/>
      <c r="K141" s="40"/>
      <c r="T141" s="41"/>
      <c r="AA141" s="39"/>
      <c r="AF141" s="40"/>
      <c r="AG141" s="42"/>
      <c r="AJ141" s="1"/>
    </row>
    <row r="142" spans="3:36" ht="15.75" customHeight="1">
      <c r="C142" s="48"/>
      <c r="H142" s="39"/>
      <c r="K142" s="40"/>
      <c r="T142" s="41"/>
      <c r="AA142" s="39"/>
      <c r="AF142" s="40"/>
      <c r="AG142" s="42"/>
      <c r="AJ142" s="1"/>
    </row>
    <row r="143" spans="3:36" ht="15.75" customHeight="1">
      <c r="C143" s="48"/>
      <c r="H143" s="39"/>
      <c r="K143" s="40"/>
      <c r="T143" s="41"/>
      <c r="AA143" s="39"/>
      <c r="AF143" s="40"/>
      <c r="AG143" s="42"/>
      <c r="AJ143" s="1"/>
    </row>
    <row r="144" spans="3:36" ht="15.75" customHeight="1">
      <c r="C144" s="48"/>
      <c r="H144" s="39"/>
      <c r="K144" s="40"/>
      <c r="T144" s="41"/>
      <c r="AA144" s="39"/>
      <c r="AF144" s="40"/>
      <c r="AG144" s="42"/>
      <c r="AJ144" s="1"/>
    </row>
    <row r="145" spans="3:36" ht="15.75" customHeight="1">
      <c r="C145" s="48"/>
      <c r="H145" s="39"/>
      <c r="K145" s="40"/>
      <c r="T145" s="41"/>
      <c r="AA145" s="39"/>
      <c r="AF145" s="40"/>
      <c r="AG145" s="42"/>
      <c r="AJ145" s="1"/>
    </row>
    <row r="146" spans="3:36" ht="15.75" customHeight="1">
      <c r="C146" s="48"/>
      <c r="H146" s="39"/>
      <c r="K146" s="40"/>
      <c r="T146" s="41"/>
      <c r="AA146" s="39"/>
      <c r="AF146" s="40"/>
      <c r="AG146" s="42"/>
      <c r="AJ146" s="1"/>
    </row>
    <row r="147" spans="3:36" ht="15.75" customHeight="1">
      <c r="C147" s="48"/>
      <c r="H147" s="39"/>
      <c r="K147" s="40"/>
      <c r="T147" s="41"/>
      <c r="AA147" s="39"/>
      <c r="AF147" s="40"/>
      <c r="AG147" s="42"/>
      <c r="AJ147" s="1"/>
    </row>
    <row r="148" spans="3:36" ht="15.75" customHeight="1">
      <c r="C148" s="48"/>
      <c r="H148" s="39"/>
      <c r="K148" s="40"/>
      <c r="T148" s="41"/>
      <c r="AA148" s="39"/>
      <c r="AF148" s="40"/>
      <c r="AG148" s="42"/>
      <c r="AJ148" s="1"/>
    </row>
    <row r="149" spans="3:36" ht="15.75" customHeight="1">
      <c r="C149" s="48"/>
      <c r="H149" s="39"/>
      <c r="K149" s="40"/>
      <c r="T149" s="41"/>
      <c r="AA149" s="39"/>
      <c r="AF149" s="40"/>
      <c r="AG149" s="42"/>
      <c r="AJ149" s="1"/>
    </row>
    <row r="150" spans="3:36" ht="15.75" customHeight="1">
      <c r="C150" s="48"/>
      <c r="H150" s="39"/>
      <c r="K150" s="40"/>
      <c r="T150" s="41"/>
      <c r="AA150" s="39"/>
      <c r="AF150" s="40"/>
      <c r="AG150" s="42"/>
      <c r="AJ150" s="1"/>
    </row>
    <row r="151" spans="3:36" ht="15.75" customHeight="1">
      <c r="C151" s="48"/>
      <c r="H151" s="39"/>
      <c r="K151" s="40"/>
      <c r="T151" s="41"/>
      <c r="AA151" s="39"/>
      <c r="AF151" s="40"/>
      <c r="AG151" s="42"/>
      <c r="AJ151" s="1"/>
    </row>
    <row r="152" spans="3:36" ht="15.75" customHeight="1">
      <c r="C152" s="48"/>
      <c r="H152" s="39"/>
      <c r="K152" s="40"/>
      <c r="T152" s="41"/>
      <c r="AA152" s="39"/>
      <c r="AF152" s="40"/>
      <c r="AG152" s="42"/>
      <c r="AJ152" s="1"/>
    </row>
    <row r="153" spans="3:36" ht="15.75" customHeight="1">
      <c r="C153" s="48"/>
      <c r="H153" s="39"/>
      <c r="K153" s="40"/>
      <c r="T153" s="41"/>
      <c r="AA153" s="39"/>
      <c r="AF153" s="40"/>
      <c r="AG153" s="42"/>
      <c r="AJ153" s="1"/>
    </row>
    <row r="154" spans="3:36" ht="15.75" customHeight="1">
      <c r="C154" s="48"/>
      <c r="H154" s="39"/>
      <c r="K154" s="40"/>
      <c r="T154" s="41"/>
      <c r="AA154" s="39"/>
      <c r="AF154" s="40"/>
      <c r="AG154" s="42"/>
      <c r="AJ154" s="1"/>
    </row>
    <row r="155" spans="3:36" ht="15.75" customHeight="1">
      <c r="C155" s="48"/>
      <c r="H155" s="39"/>
      <c r="K155" s="40"/>
      <c r="T155" s="41"/>
      <c r="AA155" s="39"/>
      <c r="AF155" s="40"/>
      <c r="AG155" s="42"/>
      <c r="AJ155" s="1"/>
    </row>
    <row r="156" spans="3:36" ht="15.75" customHeight="1">
      <c r="C156" s="48"/>
      <c r="H156" s="39"/>
      <c r="K156" s="40"/>
      <c r="T156" s="41"/>
      <c r="AA156" s="39"/>
      <c r="AF156" s="40"/>
      <c r="AG156" s="42"/>
      <c r="AJ156" s="1"/>
    </row>
    <row r="157" spans="3:36" ht="15.75" customHeight="1">
      <c r="C157" s="48"/>
      <c r="H157" s="39"/>
      <c r="K157" s="40"/>
      <c r="T157" s="41"/>
      <c r="AA157" s="39"/>
      <c r="AF157" s="40"/>
      <c r="AG157" s="42"/>
      <c r="AJ157" s="1"/>
    </row>
    <row r="158" spans="3:36" ht="15.75" customHeight="1">
      <c r="C158" s="48"/>
      <c r="H158" s="39"/>
      <c r="K158" s="40"/>
      <c r="T158" s="41"/>
      <c r="AA158" s="39"/>
      <c r="AF158" s="40"/>
      <c r="AG158" s="42"/>
      <c r="AJ158" s="1"/>
    </row>
    <row r="159" spans="3:36" ht="15.75" customHeight="1">
      <c r="C159" s="48"/>
      <c r="H159" s="39"/>
      <c r="K159" s="40"/>
      <c r="T159" s="41"/>
      <c r="AA159" s="39"/>
      <c r="AF159" s="40"/>
      <c r="AG159" s="42"/>
      <c r="AJ159" s="1"/>
    </row>
    <row r="160" spans="3:36" ht="15.75" customHeight="1">
      <c r="C160" s="48"/>
      <c r="H160" s="39"/>
      <c r="K160" s="40"/>
      <c r="T160" s="41"/>
      <c r="AA160" s="39"/>
      <c r="AF160" s="40"/>
      <c r="AG160" s="42"/>
      <c r="AJ160" s="1"/>
    </row>
    <row r="161" spans="3:36" ht="15.75" customHeight="1">
      <c r="C161" s="48"/>
      <c r="H161" s="39"/>
      <c r="K161" s="40"/>
      <c r="T161" s="41"/>
      <c r="AA161" s="39"/>
      <c r="AF161" s="40"/>
      <c r="AG161" s="42"/>
      <c r="AJ161" s="1"/>
    </row>
    <row r="162" spans="3:36" ht="15.75" customHeight="1">
      <c r="C162" s="48"/>
      <c r="H162" s="39"/>
      <c r="K162" s="40"/>
      <c r="T162" s="41"/>
      <c r="AA162" s="39"/>
      <c r="AF162" s="40"/>
      <c r="AG162" s="42"/>
      <c r="AJ162" s="1"/>
    </row>
    <row r="163" spans="3:36" ht="15.75" customHeight="1">
      <c r="C163" s="48"/>
      <c r="H163" s="39"/>
      <c r="K163" s="40"/>
      <c r="T163" s="41"/>
      <c r="AA163" s="39"/>
      <c r="AF163" s="40"/>
      <c r="AG163" s="42"/>
      <c r="AJ163" s="1"/>
    </row>
    <row r="164" spans="3:36" ht="15.75" customHeight="1">
      <c r="C164" s="48"/>
      <c r="H164" s="39"/>
      <c r="K164" s="40"/>
      <c r="T164" s="41"/>
      <c r="AA164" s="39"/>
      <c r="AF164" s="40"/>
      <c r="AG164" s="42"/>
      <c r="AJ164" s="1"/>
    </row>
    <row r="165" spans="3:36" ht="15.75" customHeight="1">
      <c r="C165" s="48"/>
      <c r="H165" s="39"/>
      <c r="K165" s="40"/>
      <c r="T165" s="41"/>
      <c r="AA165" s="39"/>
      <c r="AF165" s="40"/>
      <c r="AG165" s="42"/>
      <c r="AJ165" s="1"/>
    </row>
    <row r="166" spans="3:36" ht="15.75" customHeight="1">
      <c r="C166" s="48"/>
      <c r="H166" s="39"/>
      <c r="K166" s="40"/>
      <c r="T166" s="41"/>
      <c r="AA166" s="39"/>
      <c r="AF166" s="40"/>
      <c r="AG166" s="42"/>
      <c r="AJ166" s="1"/>
    </row>
    <row r="167" spans="3:36" ht="15.75" customHeight="1">
      <c r="C167" s="48"/>
      <c r="H167" s="39"/>
      <c r="K167" s="40"/>
      <c r="T167" s="41"/>
      <c r="AA167" s="39"/>
      <c r="AF167" s="40"/>
      <c r="AG167" s="42"/>
      <c r="AJ167" s="1"/>
    </row>
    <row r="168" spans="3:36" ht="15.75" customHeight="1">
      <c r="C168" s="48"/>
      <c r="H168" s="39"/>
      <c r="K168" s="40"/>
      <c r="T168" s="41"/>
      <c r="AA168" s="39"/>
      <c r="AF168" s="40"/>
      <c r="AG168" s="42"/>
      <c r="AJ168" s="1"/>
    </row>
    <row r="169" spans="3:36" ht="15.75" customHeight="1">
      <c r="C169" s="48"/>
      <c r="H169" s="39"/>
      <c r="K169" s="40"/>
      <c r="T169" s="41"/>
      <c r="AA169" s="39"/>
      <c r="AF169" s="40"/>
      <c r="AG169" s="42"/>
      <c r="AJ169" s="1"/>
    </row>
    <row r="170" spans="3:36" ht="15.75" customHeight="1">
      <c r="C170" s="48"/>
      <c r="H170" s="39"/>
      <c r="K170" s="40"/>
      <c r="T170" s="41"/>
      <c r="AA170" s="39"/>
      <c r="AF170" s="40"/>
      <c r="AG170" s="42"/>
      <c r="AJ170" s="1"/>
    </row>
    <row r="171" spans="3:36" ht="15.75" customHeight="1">
      <c r="C171" s="48"/>
      <c r="H171" s="39"/>
      <c r="K171" s="40"/>
      <c r="T171" s="41"/>
      <c r="AA171" s="39"/>
      <c r="AF171" s="40"/>
      <c r="AG171" s="42"/>
      <c r="AJ171" s="1"/>
    </row>
    <row r="172" spans="3:36" ht="15.75" customHeight="1">
      <c r="C172" s="48"/>
      <c r="H172" s="39"/>
      <c r="K172" s="40"/>
      <c r="T172" s="41"/>
      <c r="AA172" s="39"/>
      <c r="AF172" s="40"/>
      <c r="AG172" s="42"/>
      <c r="AJ172" s="1"/>
    </row>
    <row r="173" spans="3:36" ht="15.75" customHeight="1">
      <c r="C173" s="48"/>
      <c r="H173" s="39"/>
      <c r="K173" s="40"/>
      <c r="T173" s="41"/>
      <c r="AA173" s="39"/>
      <c r="AF173" s="40"/>
      <c r="AG173" s="42"/>
      <c r="AJ173" s="1"/>
    </row>
    <row r="174" spans="3:36" ht="15.75" customHeight="1">
      <c r="C174" s="48"/>
      <c r="H174" s="39"/>
      <c r="K174" s="40"/>
      <c r="T174" s="41"/>
      <c r="AA174" s="39"/>
      <c r="AF174" s="40"/>
      <c r="AG174" s="42"/>
      <c r="AJ174" s="1"/>
    </row>
    <row r="175" spans="3:36" ht="15.75" customHeight="1">
      <c r="C175" s="48"/>
      <c r="H175" s="39"/>
      <c r="K175" s="40"/>
      <c r="T175" s="41"/>
      <c r="AA175" s="39"/>
      <c r="AF175" s="40"/>
      <c r="AG175" s="42"/>
      <c r="AJ175" s="1"/>
    </row>
    <row r="176" spans="3:36" ht="15.75" customHeight="1">
      <c r="C176" s="48"/>
      <c r="H176" s="39"/>
      <c r="K176" s="40"/>
      <c r="T176" s="41"/>
      <c r="AA176" s="39"/>
      <c r="AF176" s="40"/>
      <c r="AG176" s="42"/>
      <c r="AJ176" s="1"/>
    </row>
    <row r="177" spans="3:36" ht="15.75" customHeight="1">
      <c r="C177" s="48"/>
      <c r="H177" s="39"/>
      <c r="K177" s="40"/>
      <c r="T177" s="41"/>
      <c r="AA177" s="39"/>
      <c r="AF177" s="40"/>
      <c r="AG177" s="42"/>
      <c r="AJ177" s="1"/>
    </row>
    <row r="178" spans="3:36" ht="15.75" customHeight="1">
      <c r="C178" s="48"/>
      <c r="H178" s="39"/>
      <c r="K178" s="40"/>
      <c r="T178" s="41"/>
      <c r="AA178" s="39"/>
      <c r="AF178" s="40"/>
      <c r="AG178" s="42"/>
      <c r="AJ178" s="1"/>
    </row>
    <row r="179" spans="3:36" ht="15.75" customHeight="1">
      <c r="C179" s="48"/>
      <c r="H179" s="39"/>
      <c r="K179" s="40"/>
      <c r="T179" s="41"/>
      <c r="AA179" s="39"/>
      <c r="AF179" s="40"/>
      <c r="AG179" s="42"/>
      <c r="AJ179" s="1"/>
    </row>
    <row r="180" spans="3:36" ht="15.75" customHeight="1">
      <c r="C180" s="48"/>
      <c r="H180" s="39"/>
      <c r="K180" s="40"/>
      <c r="T180" s="41"/>
      <c r="AA180" s="39"/>
      <c r="AF180" s="40"/>
      <c r="AG180" s="42"/>
      <c r="AJ180" s="1"/>
    </row>
    <row r="181" spans="3:36" ht="15.75" customHeight="1">
      <c r="C181" s="48"/>
      <c r="H181" s="39"/>
      <c r="K181" s="40"/>
      <c r="T181" s="41"/>
      <c r="AA181" s="39"/>
      <c r="AF181" s="40"/>
      <c r="AG181" s="42"/>
      <c r="AJ181" s="1"/>
    </row>
    <row r="182" spans="3:36" ht="15.75" customHeight="1">
      <c r="C182" s="48"/>
      <c r="H182" s="39"/>
      <c r="K182" s="40"/>
      <c r="T182" s="41"/>
      <c r="AA182" s="39"/>
      <c r="AF182" s="40"/>
      <c r="AG182" s="42"/>
      <c r="AJ182" s="1"/>
    </row>
    <row r="183" spans="3:36" ht="15.75" customHeight="1">
      <c r="C183" s="48"/>
      <c r="H183" s="39"/>
      <c r="K183" s="40"/>
      <c r="T183" s="41"/>
      <c r="AA183" s="39"/>
      <c r="AF183" s="40"/>
      <c r="AG183" s="42"/>
      <c r="AJ183" s="1"/>
    </row>
    <row r="184" spans="3:36" ht="15.75" customHeight="1">
      <c r="C184" s="48"/>
      <c r="H184" s="39"/>
      <c r="K184" s="40"/>
      <c r="T184" s="41"/>
      <c r="AA184" s="39"/>
      <c r="AF184" s="40"/>
      <c r="AG184" s="42"/>
      <c r="AJ184" s="1"/>
    </row>
    <row r="185" spans="3:36" ht="15.75" customHeight="1">
      <c r="C185" s="48"/>
      <c r="H185" s="39"/>
      <c r="K185" s="40"/>
      <c r="T185" s="41"/>
      <c r="AA185" s="39"/>
      <c r="AF185" s="40"/>
      <c r="AG185" s="42"/>
      <c r="AJ185" s="1"/>
    </row>
    <row r="186" spans="3:36" ht="15.75" customHeight="1">
      <c r="C186" s="48"/>
      <c r="H186" s="39"/>
      <c r="K186" s="40"/>
      <c r="T186" s="41"/>
      <c r="AA186" s="39"/>
      <c r="AF186" s="40"/>
      <c r="AG186" s="42"/>
      <c r="AJ186" s="1"/>
    </row>
    <row r="187" spans="3:36" ht="15.75" customHeight="1">
      <c r="C187" s="48"/>
      <c r="H187" s="39"/>
      <c r="K187" s="40"/>
      <c r="T187" s="41"/>
      <c r="AA187" s="39"/>
      <c r="AF187" s="40"/>
      <c r="AG187" s="42"/>
      <c r="AJ187" s="1"/>
    </row>
    <row r="188" spans="3:36" ht="15.75" customHeight="1">
      <c r="C188" s="48"/>
      <c r="H188" s="39"/>
      <c r="K188" s="40"/>
      <c r="T188" s="41"/>
      <c r="AA188" s="39"/>
      <c r="AF188" s="40"/>
      <c r="AG188" s="42"/>
      <c r="AJ188" s="1"/>
    </row>
    <row r="189" spans="3:36" ht="15.75" customHeight="1">
      <c r="C189" s="48"/>
      <c r="H189" s="39"/>
      <c r="K189" s="40"/>
      <c r="T189" s="41"/>
      <c r="AA189" s="39"/>
      <c r="AF189" s="40"/>
      <c r="AG189" s="42"/>
      <c r="AJ189" s="1"/>
    </row>
    <row r="190" spans="3:36" ht="15.75" customHeight="1">
      <c r="C190" s="48"/>
      <c r="H190" s="39"/>
      <c r="K190" s="40"/>
      <c r="T190" s="41"/>
      <c r="AA190" s="39"/>
      <c r="AF190" s="40"/>
      <c r="AG190" s="42"/>
      <c r="AJ190" s="1"/>
    </row>
    <row r="191" spans="3:36" ht="15.75" customHeight="1">
      <c r="C191" s="48"/>
      <c r="H191" s="39"/>
      <c r="K191" s="40"/>
      <c r="T191" s="41"/>
      <c r="AA191" s="39"/>
      <c r="AF191" s="40"/>
      <c r="AG191" s="42"/>
      <c r="AJ191" s="1"/>
    </row>
    <row r="192" spans="3:36" ht="15.75" customHeight="1">
      <c r="C192" s="48"/>
      <c r="H192" s="39"/>
      <c r="K192" s="40"/>
      <c r="T192" s="41"/>
      <c r="AA192" s="39"/>
      <c r="AF192" s="40"/>
      <c r="AG192" s="42"/>
      <c r="AJ192" s="1"/>
    </row>
    <row r="193" spans="3:36" ht="15.75" customHeight="1">
      <c r="C193" s="48"/>
      <c r="H193" s="39"/>
      <c r="K193" s="40"/>
      <c r="T193" s="41"/>
      <c r="AA193" s="39"/>
      <c r="AF193" s="40"/>
      <c r="AG193" s="42"/>
      <c r="AJ193" s="1"/>
    </row>
    <row r="194" spans="3:36" ht="15.75" customHeight="1">
      <c r="C194" s="48"/>
      <c r="H194" s="39"/>
      <c r="K194" s="40"/>
      <c r="T194" s="41"/>
      <c r="AA194" s="39"/>
      <c r="AF194" s="40"/>
      <c r="AG194" s="42"/>
      <c r="AJ194" s="1"/>
    </row>
    <row r="195" spans="3:36" ht="15.75" customHeight="1">
      <c r="C195" s="48"/>
      <c r="H195" s="39"/>
      <c r="K195" s="40"/>
      <c r="T195" s="41"/>
      <c r="AA195" s="39"/>
      <c r="AF195" s="40"/>
      <c r="AG195" s="42"/>
      <c r="AJ195" s="1"/>
    </row>
    <row r="196" spans="3:36" ht="15.75" customHeight="1">
      <c r="C196" s="48"/>
      <c r="H196" s="39"/>
      <c r="K196" s="40"/>
      <c r="T196" s="41"/>
      <c r="AA196" s="39"/>
      <c r="AF196" s="40"/>
      <c r="AG196" s="42"/>
      <c r="AJ196" s="1"/>
    </row>
    <row r="197" spans="3:36" ht="15.75" customHeight="1">
      <c r="C197" s="48"/>
      <c r="H197" s="39"/>
      <c r="K197" s="40"/>
      <c r="T197" s="41"/>
      <c r="AA197" s="39"/>
      <c r="AF197" s="40"/>
      <c r="AG197" s="42"/>
      <c r="AJ197" s="1"/>
    </row>
    <row r="198" spans="3:36" ht="15.75" customHeight="1">
      <c r="C198" s="48"/>
      <c r="H198" s="39"/>
      <c r="K198" s="40"/>
      <c r="T198" s="41"/>
      <c r="AA198" s="39"/>
      <c r="AF198" s="40"/>
      <c r="AG198" s="42"/>
      <c r="AJ198" s="1"/>
    </row>
    <row r="199" spans="3:36" ht="15.75" customHeight="1">
      <c r="C199" s="48"/>
      <c r="H199" s="39"/>
      <c r="K199" s="40"/>
      <c r="T199" s="41"/>
      <c r="AA199" s="39"/>
      <c r="AF199" s="40"/>
      <c r="AG199" s="42"/>
      <c r="AJ199" s="1"/>
    </row>
    <row r="200" spans="3:36" ht="15.75" customHeight="1">
      <c r="C200" s="48"/>
      <c r="H200" s="39"/>
      <c r="K200" s="40"/>
      <c r="T200" s="41"/>
      <c r="AA200" s="39"/>
      <c r="AF200" s="40"/>
      <c r="AG200" s="42"/>
      <c r="AJ200" s="1"/>
    </row>
    <row r="201" spans="3:36" ht="15.75" customHeight="1">
      <c r="C201" s="48"/>
      <c r="H201" s="39"/>
      <c r="K201" s="40"/>
      <c r="T201" s="41"/>
      <c r="AA201" s="39"/>
      <c r="AF201" s="40"/>
      <c r="AG201" s="42"/>
      <c r="AJ201" s="1"/>
    </row>
    <row r="202" spans="3:36" ht="15.75" customHeight="1">
      <c r="C202" s="48"/>
      <c r="H202" s="39"/>
      <c r="K202" s="40"/>
      <c r="T202" s="41"/>
      <c r="AA202" s="39"/>
      <c r="AF202" s="40"/>
      <c r="AG202" s="42"/>
      <c r="AJ202" s="1"/>
    </row>
    <row r="203" spans="3:36" ht="15.75" customHeight="1">
      <c r="C203" s="48"/>
      <c r="H203" s="39"/>
      <c r="K203" s="40"/>
      <c r="T203" s="41"/>
      <c r="AA203" s="39"/>
      <c r="AF203" s="40"/>
      <c r="AG203" s="42"/>
      <c r="AJ203" s="1"/>
    </row>
    <row r="204" spans="3:36" ht="15.75" customHeight="1">
      <c r="C204" s="48"/>
      <c r="H204" s="39"/>
      <c r="K204" s="40"/>
      <c r="T204" s="41"/>
      <c r="AA204" s="39"/>
      <c r="AF204" s="40"/>
      <c r="AG204" s="42"/>
      <c r="AJ204" s="1"/>
    </row>
    <row r="205" spans="3:36" ht="15.75" customHeight="1">
      <c r="C205" s="48"/>
      <c r="H205" s="39"/>
      <c r="K205" s="40"/>
      <c r="T205" s="41"/>
      <c r="AA205" s="39"/>
      <c r="AF205" s="40"/>
      <c r="AG205" s="42"/>
      <c r="AJ205" s="1"/>
    </row>
    <row r="206" spans="3:36" ht="15.75" customHeight="1">
      <c r="C206" s="48"/>
      <c r="H206" s="39"/>
      <c r="K206" s="40"/>
      <c r="T206" s="41"/>
      <c r="AA206" s="39"/>
      <c r="AF206" s="40"/>
      <c r="AG206" s="42"/>
      <c r="AJ206" s="1"/>
    </row>
    <row r="207" spans="3:36" ht="15.75" customHeight="1">
      <c r="C207" s="48"/>
      <c r="H207" s="39"/>
      <c r="K207" s="40"/>
      <c r="T207" s="41"/>
      <c r="AA207" s="39"/>
      <c r="AF207" s="40"/>
      <c r="AG207" s="42"/>
      <c r="AJ207" s="1"/>
    </row>
    <row r="208" spans="3:36" ht="15.75" customHeight="1">
      <c r="C208" s="48"/>
      <c r="H208" s="39"/>
      <c r="K208" s="40"/>
      <c r="T208" s="41"/>
      <c r="AA208" s="39"/>
      <c r="AF208" s="40"/>
      <c r="AG208" s="42"/>
      <c r="AJ208" s="1"/>
    </row>
    <row r="209" spans="3:36" ht="15.75" customHeight="1">
      <c r="C209" s="48"/>
      <c r="H209" s="39"/>
      <c r="K209" s="40"/>
      <c r="T209" s="41"/>
      <c r="AA209" s="39"/>
      <c r="AF209" s="40"/>
      <c r="AG209" s="42"/>
      <c r="AJ209" s="1"/>
    </row>
    <row r="210" spans="3:36" ht="15.75" customHeight="1">
      <c r="C210" s="48"/>
      <c r="H210" s="39"/>
      <c r="K210" s="40"/>
      <c r="T210" s="41"/>
      <c r="AA210" s="39"/>
      <c r="AF210" s="40"/>
      <c r="AG210" s="42"/>
      <c r="AJ210" s="1"/>
    </row>
    <row r="211" spans="3:36" ht="15.75" customHeight="1">
      <c r="C211" s="48"/>
      <c r="H211" s="39"/>
      <c r="K211" s="40"/>
      <c r="T211" s="41"/>
      <c r="AA211" s="39"/>
      <c r="AF211" s="40"/>
      <c r="AG211" s="42"/>
      <c r="AJ211" s="1"/>
    </row>
    <row r="212" spans="3:36" ht="15.75" customHeight="1">
      <c r="C212" s="48"/>
      <c r="H212" s="39"/>
      <c r="K212" s="40"/>
      <c r="T212" s="41"/>
      <c r="AA212" s="39"/>
      <c r="AF212" s="40"/>
      <c r="AG212" s="42"/>
      <c r="AJ212" s="1"/>
    </row>
    <row r="213" spans="3:36" ht="15.75" customHeight="1">
      <c r="C213" s="48"/>
      <c r="H213" s="39"/>
      <c r="K213" s="40"/>
      <c r="T213" s="41"/>
      <c r="AA213" s="39"/>
      <c r="AF213" s="40"/>
      <c r="AG213" s="42"/>
      <c r="AJ213" s="1"/>
    </row>
    <row r="214" spans="3:36" ht="15.75" customHeight="1">
      <c r="C214" s="48"/>
      <c r="H214" s="39"/>
      <c r="K214" s="40"/>
      <c r="T214" s="41"/>
      <c r="AA214" s="39"/>
      <c r="AF214" s="40"/>
      <c r="AG214" s="42"/>
      <c r="AJ214" s="1"/>
    </row>
    <row r="215" spans="3:36" ht="15.75" customHeight="1">
      <c r="C215" s="48"/>
      <c r="H215" s="39"/>
      <c r="K215" s="40"/>
      <c r="T215" s="41"/>
      <c r="AA215" s="39"/>
      <c r="AF215" s="40"/>
      <c r="AG215" s="42"/>
      <c r="AJ215" s="1"/>
    </row>
    <row r="216" spans="3:36" ht="15.75" customHeight="1">
      <c r="C216" s="48"/>
      <c r="H216" s="39"/>
      <c r="K216" s="40"/>
      <c r="T216" s="41"/>
      <c r="AA216" s="39"/>
      <c r="AF216" s="40"/>
      <c r="AG216" s="42"/>
      <c r="AJ216" s="1"/>
    </row>
    <row r="217" spans="3:36" ht="15.75" customHeight="1">
      <c r="C217" s="48"/>
      <c r="H217" s="39"/>
      <c r="K217" s="40"/>
      <c r="T217" s="41"/>
      <c r="AA217" s="39"/>
      <c r="AF217" s="40"/>
      <c r="AG217" s="42"/>
      <c r="AJ217" s="1"/>
    </row>
    <row r="218" spans="3:36" ht="15.75" customHeight="1">
      <c r="C218" s="48"/>
      <c r="H218" s="39"/>
      <c r="K218" s="40"/>
      <c r="T218" s="41"/>
      <c r="AA218" s="39"/>
      <c r="AF218" s="40"/>
      <c r="AG218" s="42"/>
      <c r="AJ218" s="1"/>
    </row>
    <row r="219" spans="3:36" ht="15.75" customHeight="1">
      <c r="C219" s="48"/>
      <c r="H219" s="39"/>
      <c r="K219" s="40"/>
      <c r="T219" s="41"/>
      <c r="AA219" s="39"/>
      <c r="AF219" s="40"/>
      <c r="AG219" s="42"/>
      <c r="AJ219" s="1"/>
    </row>
    <row r="220" spans="3:36" ht="15.75" customHeight="1">
      <c r="C220" s="48"/>
      <c r="H220" s="39"/>
      <c r="K220" s="40"/>
      <c r="T220" s="41"/>
      <c r="AA220" s="39"/>
      <c r="AF220" s="40"/>
      <c r="AG220" s="42"/>
      <c r="AJ220" s="1"/>
    </row>
    <row r="221" spans="3:36" ht="15.75" customHeight="1">
      <c r="C221" s="48"/>
      <c r="H221" s="39"/>
      <c r="K221" s="40"/>
      <c r="T221" s="41"/>
      <c r="AA221" s="39"/>
      <c r="AF221" s="40"/>
      <c r="AG221" s="42"/>
      <c r="AJ221" s="1"/>
    </row>
    <row r="222" spans="3:36" ht="15.75" customHeight="1">
      <c r="C222" s="48"/>
      <c r="H222" s="39"/>
      <c r="K222" s="40"/>
      <c r="T222" s="41"/>
      <c r="AA222" s="39"/>
      <c r="AF222" s="40"/>
      <c r="AG222" s="42"/>
      <c r="AJ222" s="1"/>
    </row>
    <row r="223" spans="3:36" ht="15.75" customHeight="1">
      <c r="C223" s="48"/>
      <c r="H223" s="39"/>
      <c r="K223" s="40"/>
      <c r="T223" s="41"/>
      <c r="AA223" s="39"/>
      <c r="AF223" s="40"/>
      <c r="AG223" s="42"/>
      <c r="AJ223" s="1"/>
    </row>
    <row r="224" spans="3:36" ht="15.75" customHeight="1">
      <c r="C224" s="48"/>
      <c r="H224" s="39"/>
      <c r="K224" s="40"/>
      <c r="T224" s="41"/>
      <c r="AA224" s="39"/>
      <c r="AF224" s="40"/>
      <c r="AG224" s="42"/>
      <c r="AJ224" s="1"/>
    </row>
    <row r="225" spans="3:36" ht="15.75" customHeight="1">
      <c r="C225" s="48"/>
      <c r="H225" s="39"/>
      <c r="K225" s="40"/>
      <c r="T225" s="41"/>
      <c r="AA225" s="39"/>
      <c r="AF225" s="40"/>
      <c r="AG225" s="42"/>
      <c r="AJ225" s="1"/>
    </row>
    <row r="226" spans="3:36" ht="15.75" customHeight="1">
      <c r="C226" s="48"/>
      <c r="H226" s="39"/>
      <c r="K226" s="40"/>
      <c r="T226" s="41"/>
      <c r="AA226" s="39"/>
      <c r="AF226" s="40"/>
      <c r="AG226" s="42"/>
      <c r="AJ226" s="1"/>
    </row>
    <row r="227" spans="3:36" ht="15.75" customHeight="1">
      <c r="C227" s="48"/>
      <c r="H227" s="39"/>
      <c r="K227" s="40"/>
      <c r="T227" s="41"/>
      <c r="AA227" s="39"/>
      <c r="AF227" s="40"/>
      <c r="AG227" s="42"/>
      <c r="AJ227" s="1"/>
    </row>
    <row r="228" spans="3:36" ht="15.75" customHeight="1">
      <c r="C228" s="48"/>
      <c r="H228" s="39"/>
      <c r="K228" s="40"/>
      <c r="T228" s="41"/>
      <c r="AA228" s="39"/>
      <c r="AF228" s="40"/>
      <c r="AG228" s="42"/>
      <c r="AJ228" s="1"/>
    </row>
    <row r="229" spans="3:36" ht="15.75" customHeight="1">
      <c r="C229" s="48"/>
      <c r="H229" s="39"/>
      <c r="K229" s="40"/>
      <c r="T229" s="41"/>
      <c r="AA229" s="39"/>
      <c r="AF229" s="40"/>
      <c r="AG229" s="42"/>
      <c r="AJ229" s="1"/>
    </row>
    <row r="230" spans="3:36" ht="15.75" customHeight="1">
      <c r="C230" s="48"/>
      <c r="H230" s="39"/>
      <c r="K230" s="40"/>
      <c r="T230" s="41"/>
      <c r="AA230" s="39"/>
      <c r="AF230" s="40"/>
      <c r="AG230" s="42"/>
      <c r="AJ230" s="1"/>
    </row>
    <row r="231" spans="3:36" ht="15.75" customHeight="1">
      <c r="C231" s="48"/>
      <c r="H231" s="39"/>
      <c r="K231" s="40"/>
      <c r="T231" s="41"/>
      <c r="AA231" s="39"/>
      <c r="AF231" s="40"/>
      <c r="AG231" s="42"/>
      <c r="AJ231" s="1"/>
    </row>
    <row r="232" spans="3:36" ht="15.75" customHeight="1">
      <c r="C232" s="48"/>
      <c r="H232" s="39"/>
      <c r="K232" s="40"/>
      <c r="T232" s="41"/>
      <c r="AA232" s="39"/>
      <c r="AF232" s="40"/>
      <c r="AG232" s="42"/>
      <c r="AJ232" s="1"/>
    </row>
    <row r="233" spans="3:36" ht="15.75" customHeight="1">
      <c r="C233" s="48"/>
      <c r="H233" s="39"/>
      <c r="K233" s="40"/>
      <c r="T233" s="41"/>
      <c r="AA233" s="39"/>
      <c r="AF233" s="40"/>
      <c r="AG233" s="42"/>
      <c r="AJ233" s="1"/>
    </row>
    <row r="234" spans="3:36" ht="15.75" customHeight="1">
      <c r="C234" s="48"/>
      <c r="H234" s="39"/>
      <c r="K234" s="40"/>
      <c r="T234" s="41"/>
      <c r="AA234" s="39"/>
      <c r="AF234" s="40"/>
      <c r="AG234" s="42"/>
      <c r="AJ234" s="1"/>
    </row>
    <row r="235" spans="3:36" ht="15.75" customHeight="1">
      <c r="C235" s="48"/>
      <c r="H235" s="39"/>
      <c r="K235" s="40"/>
      <c r="T235" s="41"/>
      <c r="AA235" s="39"/>
      <c r="AF235" s="40"/>
      <c r="AG235" s="42"/>
      <c r="AJ235" s="1"/>
    </row>
    <row r="236" spans="3:36" ht="15.75" customHeight="1">
      <c r="C236" s="48"/>
      <c r="H236" s="39"/>
      <c r="K236" s="40"/>
      <c r="T236" s="41"/>
      <c r="AA236" s="39"/>
      <c r="AF236" s="40"/>
      <c r="AG236" s="42"/>
      <c r="AJ236" s="1"/>
    </row>
    <row r="237" spans="3:36" ht="15.75" customHeight="1">
      <c r="C237" s="48"/>
      <c r="H237" s="39"/>
      <c r="K237" s="40"/>
      <c r="T237" s="41"/>
      <c r="AA237" s="39"/>
      <c r="AF237" s="40"/>
      <c r="AG237" s="42"/>
      <c r="AJ237" s="1"/>
    </row>
    <row r="238" spans="3:36" ht="15.75" customHeight="1">
      <c r="C238" s="48"/>
      <c r="H238" s="39"/>
      <c r="K238" s="40"/>
      <c r="T238" s="41"/>
      <c r="AA238" s="39"/>
      <c r="AF238" s="40"/>
      <c r="AG238" s="42"/>
      <c r="AJ238" s="1"/>
    </row>
    <row r="239" spans="3:36" ht="15.75" customHeight="1">
      <c r="C239" s="48"/>
      <c r="H239" s="39"/>
      <c r="K239" s="40"/>
      <c r="T239" s="41"/>
      <c r="AA239" s="39"/>
      <c r="AF239" s="40"/>
      <c r="AG239" s="42"/>
      <c r="AJ239" s="1"/>
    </row>
    <row r="240" spans="3:36" ht="15.75" customHeight="1">
      <c r="C240" s="48"/>
      <c r="H240" s="39"/>
      <c r="K240" s="40"/>
      <c r="T240" s="41"/>
      <c r="AA240" s="39"/>
      <c r="AF240" s="40"/>
      <c r="AG240" s="42"/>
      <c r="AJ240" s="1"/>
    </row>
    <row r="241" spans="3:36" ht="15.75" customHeight="1">
      <c r="C241" s="48"/>
      <c r="H241" s="39"/>
      <c r="K241" s="40"/>
      <c r="T241" s="41"/>
      <c r="AA241" s="39"/>
      <c r="AF241" s="40"/>
      <c r="AG241" s="42"/>
      <c r="AJ241" s="1"/>
    </row>
    <row r="242" spans="3:36" ht="15.75" customHeight="1">
      <c r="C242" s="48"/>
      <c r="H242" s="39"/>
      <c r="K242" s="40"/>
      <c r="T242" s="41"/>
      <c r="AA242" s="39"/>
      <c r="AF242" s="40"/>
      <c r="AG242" s="42"/>
      <c r="AJ242" s="1"/>
    </row>
    <row r="243" spans="3:36" ht="15.75" customHeight="1">
      <c r="C243" s="48"/>
      <c r="H243" s="39"/>
      <c r="K243" s="40"/>
      <c r="T243" s="41"/>
      <c r="AA243" s="39"/>
      <c r="AF243" s="40"/>
      <c r="AG243" s="42"/>
      <c r="AJ243" s="1"/>
    </row>
    <row r="244" spans="3:36" ht="15.75" customHeight="1">
      <c r="C244" s="48"/>
      <c r="H244" s="39"/>
      <c r="K244" s="40"/>
      <c r="T244" s="41"/>
      <c r="AA244" s="39"/>
      <c r="AF244" s="40"/>
      <c r="AG244" s="42"/>
      <c r="AJ244" s="1"/>
    </row>
    <row r="245" spans="3:36" ht="15.75" customHeight="1">
      <c r="C245" s="48"/>
      <c r="H245" s="39"/>
      <c r="K245" s="40"/>
      <c r="T245" s="41"/>
      <c r="AA245" s="39"/>
      <c r="AF245" s="40"/>
      <c r="AG245" s="42"/>
      <c r="AJ245" s="1"/>
    </row>
    <row r="246" spans="3:36" ht="15.75" customHeight="1">
      <c r="C246" s="48"/>
      <c r="H246" s="39"/>
      <c r="K246" s="40"/>
      <c r="T246" s="41"/>
      <c r="AA246" s="39"/>
      <c r="AF246" s="40"/>
      <c r="AG246" s="42"/>
      <c r="AJ246" s="1"/>
    </row>
    <row r="247" spans="3:36" ht="15.75" customHeight="1">
      <c r="C247" s="48"/>
      <c r="H247" s="39"/>
      <c r="K247" s="40"/>
      <c r="T247" s="41"/>
      <c r="AA247" s="39"/>
      <c r="AF247" s="40"/>
      <c r="AG247" s="42"/>
      <c r="AJ247" s="1"/>
    </row>
    <row r="248" spans="3:36" ht="15.75" customHeight="1">
      <c r="C248" s="48"/>
      <c r="H248" s="39"/>
      <c r="K248" s="40"/>
      <c r="T248" s="41"/>
      <c r="AA248" s="39"/>
      <c r="AF248" s="40"/>
      <c r="AG248" s="42"/>
      <c r="AJ248" s="1"/>
    </row>
    <row r="249" spans="3:36" ht="15.75" customHeight="1">
      <c r="C249" s="48"/>
      <c r="H249" s="39"/>
      <c r="K249" s="40"/>
      <c r="T249" s="41"/>
      <c r="AA249" s="39"/>
      <c r="AF249" s="40"/>
      <c r="AG249" s="42"/>
      <c r="AJ249" s="1"/>
    </row>
    <row r="250" spans="3:36" ht="15.75" customHeight="1">
      <c r="C250" s="48"/>
      <c r="H250" s="39"/>
      <c r="K250" s="40"/>
      <c r="T250" s="41"/>
      <c r="AA250" s="39"/>
      <c r="AF250" s="40"/>
      <c r="AG250" s="42"/>
      <c r="AJ250" s="1"/>
    </row>
    <row r="251" spans="3:36" ht="15.75" customHeight="1">
      <c r="C251" s="48"/>
      <c r="H251" s="39"/>
      <c r="K251" s="40"/>
      <c r="T251" s="41"/>
      <c r="AA251" s="39"/>
      <c r="AF251" s="40"/>
      <c r="AG251" s="42"/>
      <c r="AJ251" s="1"/>
    </row>
    <row r="252" spans="3:36" ht="15.75" customHeight="1">
      <c r="C252" s="48"/>
      <c r="H252" s="39"/>
      <c r="K252" s="40"/>
      <c r="T252" s="41"/>
      <c r="AA252" s="39"/>
      <c r="AF252" s="40"/>
      <c r="AG252" s="42"/>
      <c r="AJ252" s="1"/>
    </row>
    <row r="253" spans="3:36" ht="15.75" customHeight="1">
      <c r="C253" s="48"/>
      <c r="H253" s="39"/>
      <c r="K253" s="40"/>
      <c r="T253" s="41"/>
      <c r="AA253" s="39"/>
      <c r="AF253" s="40"/>
      <c r="AG253" s="42"/>
      <c r="AJ253" s="1"/>
    </row>
    <row r="254" spans="3:36" ht="15.75" customHeight="1">
      <c r="C254" s="48"/>
      <c r="H254" s="39"/>
      <c r="K254" s="40"/>
      <c r="T254" s="41"/>
      <c r="AA254" s="39"/>
      <c r="AF254" s="40"/>
      <c r="AG254" s="42"/>
      <c r="AJ254" s="1"/>
    </row>
    <row r="255" spans="3:36" ht="15.75" customHeight="1">
      <c r="C255" s="48"/>
      <c r="H255" s="39"/>
      <c r="K255" s="40"/>
      <c r="T255" s="41"/>
      <c r="AA255" s="39"/>
      <c r="AF255" s="40"/>
      <c r="AG255" s="42"/>
      <c r="AJ255" s="1"/>
    </row>
    <row r="256" spans="3:36" ht="15.75" customHeight="1">
      <c r="C256" s="48"/>
      <c r="H256" s="39"/>
      <c r="K256" s="40"/>
      <c r="T256" s="41"/>
      <c r="AA256" s="39"/>
      <c r="AF256" s="40"/>
      <c r="AG256" s="42"/>
      <c r="AJ256" s="1"/>
    </row>
    <row r="257" spans="3:36" ht="15.75" customHeight="1">
      <c r="C257" s="48"/>
      <c r="H257" s="39"/>
      <c r="K257" s="40"/>
      <c r="T257" s="41"/>
      <c r="AA257" s="39"/>
      <c r="AF257" s="40"/>
      <c r="AG257" s="42"/>
      <c r="AJ257" s="1"/>
    </row>
    <row r="258" spans="3:36" ht="15.75" customHeight="1">
      <c r="C258" s="48"/>
      <c r="H258" s="39"/>
      <c r="K258" s="40"/>
      <c r="T258" s="41"/>
      <c r="AA258" s="39"/>
      <c r="AF258" s="40"/>
      <c r="AG258" s="42"/>
      <c r="AJ258" s="1"/>
    </row>
    <row r="259" spans="3:36" ht="15.75" customHeight="1">
      <c r="C259" s="48"/>
      <c r="H259" s="39"/>
      <c r="K259" s="40"/>
      <c r="T259" s="41"/>
      <c r="AA259" s="39"/>
      <c r="AF259" s="40"/>
      <c r="AG259" s="42"/>
      <c r="AJ259" s="1"/>
    </row>
    <row r="260" spans="3:36" ht="15.75" customHeight="1">
      <c r="C260" s="48"/>
      <c r="H260" s="39"/>
      <c r="K260" s="40"/>
      <c r="T260" s="41"/>
      <c r="AA260" s="39"/>
      <c r="AF260" s="40"/>
      <c r="AG260" s="42"/>
      <c r="AJ260" s="1"/>
    </row>
    <row r="261" spans="3:36" ht="15.75" customHeight="1">
      <c r="C261" s="48"/>
      <c r="H261" s="39"/>
      <c r="K261" s="40"/>
      <c r="T261" s="41"/>
      <c r="AA261" s="39"/>
      <c r="AF261" s="40"/>
      <c r="AG261" s="42"/>
      <c r="AJ261" s="1"/>
    </row>
    <row r="262" spans="3:36" ht="15.75" customHeight="1">
      <c r="C262" s="48"/>
      <c r="H262" s="39"/>
      <c r="K262" s="40"/>
      <c r="T262" s="41"/>
      <c r="AA262" s="39"/>
      <c r="AF262" s="40"/>
      <c r="AG262" s="42"/>
      <c r="AJ262" s="1"/>
    </row>
    <row r="263" spans="3:36" ht="15.75" customHeight="1">
      <c r="C263" s="48"/>
      <c r="H263" s="39"/>
      <c r="K263" s="40"/>
      <c r="T263" s="41"/>
      <c r="AA263" s="39"/>
      <c r="AF263" s="40"/>
      <c r="AG263" s="42"/>
      <c r="AJ263" s="1"/>
    </row>
    <row r="264" spans="3:36" ht="15.75" customHeight="1">
      <c r="C264" s="48"/>
      <c r="H264" s="39"/>
      <c r="K264" s="40"/>
      <c r="T264" s="41"/>
      <c r="AA264" s="39"/>
      <c r="AF264" s="40"/>
      <c r="AG264" s="42"/>
      <c r="AJ264" s="1"/>
    </row>
    <row r="265" spans="3:36" ht="15.75" customHeight="1">
      <c r="C265" s="48"/>
      <c r="H265" s="39"/>
      <c r="K265" s="40"/>
      <c r="T265" s="41"/>
      <c r="AA265" s="39"/>
      <c r="AF265" s="40"/>
      <c r="AG265" s="42"/>
      <c r="AJ265" s="1"/>
    </row>
    <row r="266" spans="3:36" ht="15.75" customHeight="1">
      <c r="C266" s="48"/>
      <c r="H266" s="39"/>
      <c r="K266" s="40"/>
      <c r="T266" s="41"/>
      <c r="AA266" s="39"/>
      <c r="AF266" s="40"/>
      <c r="AG266" s="42"/>
      <c r="AJ266" s="1"/>
    </row>
    <row r="267" spans="3:36" ht="15.75" customHeight="1">
      <c r="C267" s="48"/>
      <c r="H267" s="39"/>
      <c r="K267" s="40"/>
      <c r="T267" s="41"/>
      <c r="AA267" s="39"/>
      <c r="AF267" s="40"/>
      <c r="AG267" s="42"/>
      <c r="AJ267" s="1"/>
    </row>
    <row r="268" spans="3:36" ht="15.75" customHeight="1">
      <c r="C268" s="48"/>
      <c r="H268" s="39"/>
      <c r="K268" s="40"/>
      <c r="T268" s="41"/>
      <c r="AA268" s="39"/>
      <c r="AF268" s="40"/>
      <c r="AG268" s="42"/>
      <c r="AJ268" s="1"/>
    </row>
    <row r="269" spans="3:36" ht="15.75" customHeight="1">
      <c r="C269" s="48"/>
      <c r="H269" s="39"/>
      <c r="K269" s="40"/>
      <c r="T269" s="41"/>
      <c r="AA269" s="39"/>
      <c r="AF269" s="40"/>
      <c r="AG269" s="42"/>
      <c r="AJ269" s="1"/>
    </row>
    <row r="270" spans="3:36" ht="15.75" customHeight="1">
      <c r="C270" s="48"/>
      <c r="H270" s="39"/>
      <c r="K270" s="40"/>
      <c r="T270" s="41"/>
      <c r="AA270" s="39"/>
      <c r="AF270" s="40"/>
      <c r="AG270" s="42"/>
      <c r="AJ270" s="1"/>
    </row>
    <row r="271" spans="3:36" ht="15.75" customHeight="1">
      <c r="C271" s="48"/>
      <c r="H271" s="39"/>
      <c r="K271" s="40"/>
      <c r="T271" s="41"/>
      <c r="AA271" s="39"/>
      <c r="AF271" s="40"/>
      <c r="AG271" s="42"/>
      <c r="AJ271" s="1"/>
    </row>
    <row r="272" spans="3:36" ht="15.75" customHeight="1">
      <c r="C272" s="48"/>
      <c r="H272" s="39"/>
      <c r="K272" s="40"/>
      <c r="T272" s="41"/>
      <c r="AA272" s="39"/>
      <c r="AF272" s="40"/>
      <c r="AG272" s="42"/>
      <c r="AJ272" s="1"/>
    </row>
    <row r="273" spans="3:36" ht="15.75" customHeight="1">
      <c r="C273" s="48"/>
      <c r="H273" s="39"/>
      <c r="K273" s="40"/>
      <c r="T273" s="41"/>
      <c r="AA273" s="39"/>
      <c r="AF273" s="40"/>
      <c r="AG273" s="42"/>
      <c r="AJ273" s="1"/>
    </row>
    <row r="274" spans="3:36" ht="15.75" customHeight="1">
      <c r="C274" s="48"/>
      <c r="H274" s="39"/>
      <c r="K274" s="40"/>
      <c r="T274" s="41"/>
      <c r="AA274" s="39"/>
      <c r="AF274" s="40"/>
      <c r="AG274" s="42"/>
      <c r="AJ274" s="1"/>
    </row>
    <row r="275" spans="3:36" ht="15.75" customHeight="1">
      <c r="C275" s="48"/>
      <c r="H275" s="39"/>
      <c r="K275" s="40"/>
      <c r="T275" s="41"/>
      <c r="AA275" s="39"/>
      <c r="AF275" s="40"/>
      <c r="AG275" s="42"/>
      <c r="AJ275" s="1"/>
    </row>
    <row r="276" spans="3:36" ht="15.75" customHeight="1">
      <c r="C276" s="48"/>
      <c r="H276" s="39"/>
      <c r="K276" s="40"/>
      <c r="T276" s="41"/>
      <c r="AA276" s="39"/>
      <c r="AF276" s="40"/>
      <c r="AG276" s="42"/>
      <c r="AJ276" s="1"/>
    </row>
    <row r="277" spans="3:36" ht="15.75" customHeight="1">
      <c r="C277" s="48"/>
      <c r="H277" s="39"/>
      <c r="K277" s="40"/>
      <c r="T277" s="41"/>
      <c r="AA277" s="39"/>
      <c r="AF277" s="40"/>
      <c r="AG277" s="42"/>
      <c r="AJ277" s="1"/>
    </row>
    <row r="278" spans="3:36" ht="15.75" customHeight="1">
      <c r="C278" s="48"/>
      <c r="H278" s="39"/>
      <c r="K278" s="40"/>
      <c r="T278" s="41"/>
      <c r="AA278" s="39"/>
      <c r="AF278" s="40"/>
      <c r="AG278" s="42"/>
      <c r="AJ278" s="1"/>
    </row>
    <row r="279" spans="3:36" ht="15.75" customHeight="1">
      <c r="C279" s="48"/>
      <c r="H279" s="39"/>
      <c r="K279" s="40"/>
      <c r="T279" s="41"/>
      <c r="AA279" s="39"/>
      <c r="AF279" s="40"/>
      <c r="AG279" s="42"/>
      <c r="AJ279" s="1"/>
    </row>
    <row r="280" spans="3:36" ht="15.75" customHeight="1">
      <c r="C280" s="48"/>
      <c r="H280" s="39"/>
      <c r="K280" s="40"/>
      <c r="T280" s="41"/>
      <c r="AA280" s="39"/>
      <c r="AF280" s="40"/>
      <c r="AG280" s="42"/>
      <c r="AJ280" s="1"/>
    </row>
    <row r="281" spans="3:36" ht="15.75" customHeight="1">
      <c r="C281" s="48"/>
      <c r="H281" s="39"/>
      <c r="K281" s="40"/>
      <c r="T281" s="41"/>
      <c r="AA281" s="39"/>
      <c r="AF281" s="40"/>
      <c r="AG281" s="42"/>
      <c r="AJ281" s="1"/>
    </row>
    <row r="282" spans="3:36" ht="15.75" customHeight="1">
      <c r="C282" s="48"/>
      <c r="H282" s="39"/>
      <c r="K282" s="40"/>
      <c r="T282" s="41"/>
      <c r="AA282" s="39"/>
      <c r="AF282" s="40"/>
      <c r="AG282" s="42"/>
      <c r="AJ282" s="1"/>
    </row>
    <row r="283" spans="3:36" ht="15.75" customHeight="1">
      <c r="C283" s="48"/>
      <c r="H283" s="39"/>
      <c r="K283" s="40"/>
      <c r="T283" s="41"/>
      <c r="AA283" s="39"/>
      <c r="AF283" s="40"/>
      <c r="AG283" s="42"/>
      <c r="AJ283" s="1"/>
    </row>
    <row r="284" spans="3:36" ht="15.75" customHeight="1">
      <c r="C284" s="48"/>
      <c r="H284" s="39"/>
      <c r="K284" s="40"/>
      <c r="T284" s="41"/>
      <c r="AA284" s="39"/>
      <c r="AF284" s="40"/>
      <c r="AG284" s="42"/>
      <c r="AJ284" s="1"/>
    </row>
    <row r="285" spans="3:36" ht="15.75" customHeight="1">
      <c r="C285" s="48"/>
      <c r="H285" s="39"/>
      <c r="K285" s="40"/>
      <c r="T285" s="41"/>
      <c r="AA285" s="39"/>
      <c r="AF285" s="40"/>
      <c r="AG285" s="42"/>
      <c r="AJ285" s="1"/>
    </row>
    <row r="286" spans="3:36" ht="15.75" customHeight="1">
      <c r="C286" s="48"/>
      <c r="H286" s="39"/>
      <c r="K286" s="40"/>
      <c r="T286" s="41"/>
      <c r="AA286" s="39"/>
      <c r="AF286" s="40"/>
      <c r="AG286" s="42"/>
      <c r="AJ286" s="1"/>
    </row>
    <row r="287" spans="3:36" ht="15.75" customHeight="1">
      <c r="C287" s="48"/>
      <c r="H287" s="39"/>
      <c r="K287" s="40"/>
      <c r="T287" s="41"/>
      <c r="AA287" s="39"/>
      <c r="AF287" s="40"/>
      <c r="AG287" s="42"/>
      <c r="AJ287" s="1"/>
    </row>
    <row r="288" spans="3:36" ht="15.75" customHeight="1">
      <c r="C288" s="48"/>
      <c r="H288" s="39"/>
      <c r="K288" s="40"/>
      <c r="T288" s="41"/>
      <c r="AA288" s="39"/>
      <c r="AF288" s="40"/>
      <c r="AG288" s="42"/>
      <c r="AJ288" s="1"/>
    </row>
    <row r="289" spans="3:36" ht="15.75" customHeight="1">
      <c r="C289" s="48"/>
      <c r="H289" s="39"/>
      <c r="K289" s="40"/>
      <c r="T289" s="41"/>
      <c r="AA289" s="39"/>
      <c r="AF289" s="40"/>
      <c r="AG289" s="42"/>
      <c r="AJ289" s="1"/>
    </row>
    <row r="290" spans="3:36" ht="15.75" customHeight="1">
      <c r="C290" s="48"/>
      <c r="H290" s="39"/>
      <c r="K290" s="40"/>
      <c r="T290" s="41"/>
      <c r="AA290" s="39"/>
      <c r="AF290" s="40"/>
      <c r="AG290" s="42"/>
      <c r="AJ290" s="1"/>
    </row>
    <row r="291" spans="3:36" ht="15.75" customHeight="1">
      <c r="C291" s="48"/>
      <c r="H291" s="39"/>
      <c r="K291" s="40"/>
      <c r="T291" s="41"/>
      <c r="AA291" s="39"/>
      <c r="AF291" s="40"/>
      <c r="AG291" s="42"/>
      <c r="AJ291" s="1"/>
    </row>
    <row r="292" spans="3:36" ht="15.75" customHeight="1">
      <c r="C292" s="48"/>
      <c r="H292" s="39"/>
      <c r="K292" s="40"/>
      <c r="T292" s="41"/>
      <c r="AA292" s="39"/>
      <c r="AF292" s="40"/>
      <c r="AG292" s="42"/>
      <c r="AJ292" s="1"/>
    </row>
    <row r="293" spans="3:36" ht="15.75" customHeight="1">
      <c r="C293" s="48"/>
      <c r="H293" s="39"/>
      <c r="K293" s="40"/>
      <c r="T293" s="41"/>
      <c r="AA293" s="39"/>
      <c r="AF293" s="40"/>
      <c r="AG293" s="42"/>
      <c r="AJ293" s="1"/>
    </row>
    <row r="294" spans="3:36" ht="15.75" customHeight="1">
      <c r="C294" s="48"/>
      <c r="H294" s="39"/>
      <c r="K294" s="40"/>
      <c r="T294" s="41"/>
      <c r="AA294" s="39"/>
      <c r="AF294" s="40"/>
      <c r="AG294" s="42"/>
      <c r="AJ294" s="1"/>
    </row>
    <row r="295" spans="3:36" ht="15.75" customHeight="1">
      <c r="C295" s="48"/>
      <c r="H295" s="39"/>
      <c r="K295" s="40"/>
      <c r="T295" s="41"/>
      <c r="AA295" s="39"/>
      <c r="AF295" s="40"/>
      <c r="AG295" s="42"/>
      <c r="AJ295" s="1"/>
    </row>
    <row r="296" spans="3:36" ht="15.75" customHeight="1">
      <c r="C296" s="48"/>
      <c r="H296" s="39"/>
      <c r="K296" s="40"/>
      <c r="T296" s="41"/>
      <c r="AA296" s="39"/>
      <c r="AF296" s="40"/>
      <c r="AG296" s="42"/>
      <c r="AJ296" s="1"/>
    </row>
    <row r="297" spans="3:36" ht="15.75" customHeight="1">
      <c r="C297" s="48"/>
      <c r="H297" s="39"/>
      <c r="K297" s="40"/>
      <c r="T297" s="41"/>
      <c r="AA297" s="39"/>
      <c r="AF297" s="40"/>
      <c r="AG297" s="42"/>
      <c r="AJ297" s="1"/>
    </row>
    <row r="298" spans="3:36" ht="15.75" customHeight="1">
      <c r="C298" s="48"/>
      <c r="H298" s="39"/>
      <c r="K298" s="40"/>
      <c r="T298" s="41"/>
      <c r="AA298" s="39"/>
      <c r="AF298" s="40"/>
      <c r="AG298" s="42"/>
      <c r="AJ298" s="1"/>
    </row>
    <row r="299" spans="3:36" ht="15.75" customHeight="1">
      <c r="C299" s="48"/>
      <c r="H299" s="39"/>
      <c r="K299" s="40"/>
      <c r="T299" s="41"/>
      <c r="AA299" s="39"/>
      <c r="AF299" s="40"/>
      <c r="AG299" s="42"/>
      <c r="AJ299" s="1"/>
    </row>
    <row r="300" spans="3:36" ht="15.75" customHeight="1">
      <c r="C300" s="48"/>
      <c r="H300" s="39"/>
      <c r="K300" s="40"/>
      <c r="T300" s="41"/>
      <c r="AA300" s="39"/>
      <c r="AF300" s="40"/>
      <c r="AG300" s="42"/>
      <c r="AJ300" s="1"/>
    </row>
    <row r="301" spans="3:36" ht="15.75" customHeight="1">
      <c r="C301" s="48"/>
      <c r="H301" s="39"/>
      <c r="K301" s="40"/>
      <c r="T301" s="41"/>
      <c r="AA301" s="39"/>
      <c r="AF301" s="40"/>
      <c r="AG301" s="42"/>
      <c r="AJ301" s="1"/>
    </row>
    <row r="302" spans="3:36" ht="15.75" customHeight="1">
      <c r="C302" s="48"/>
      <c r="H302" s="39"/>
      <c r="K302" s="40"/>
      <c r="T302" s="41"/>
      <c r="AA302" s="39"/>
      <c r="AF302" s="40"/>
      <c r="AG302" s="42"/>
      <c r="AJ302" s="1"/>
    </row>
    <row r="303" spans="3:36" ht="15.75" customHeight="1">
      <c r="C303" s="48"/>
      <c r="H303" s="39"/>
      <c r="K303" s="40"/>
      <c r="T303" s="41"/>
      <c r="AA303" s="39"/>
      <c r="AF303" s="40"/>
      <c r="AG303" s="42"/>
      <c r="AJ303" s="1"/>
    </row>
    <row r="304" spans="3:36" ht="15.75" customHeight="1">
      <c r="C304" s="48"/>
      <c r="H304" s="39"/>
      <c r="K304" s="40"/>
      <c r="T304" s="41"/>
      <c r="AA304" s="39"/>
      <c r="AF304" s="40"/>
      <c r="AG304" s="42"/>
      <c r="AJ304" s="1"/>
    </row>
    <row r="305" spans="3:36" ht="15.75" customHeight="1">
      <c r="C305" s="48"/>
      <c r="H305" s="39"/>
      <c r="K305" s="40"/>
      <c r="T305" s="41"/>
      <c r="AA305" s="39"/>
      <c r="AF305" s="40"/>
      <c r="AG305" s="42"/>
      <c r="AJ305" s="1"/>
    </row>
    <row r="306" spans="3:36" ht="15.75" customHeight="1">
      <c r="C306" s="48"/>
      <c r="H306" s="39"/>
      <c r="K306" s="40"/>
      <c r="T306" s="41"/>
      <c r="AA306" s="39"/>
      <c r="AF306" s="40"/>
      <c r="AG306" s="42"/>
      <c r="AJ306" s="1"/>
    </row>
    <row r="307" spans="3:36" ht="15.75" customHeight="1">
      <c r="C307" s="48"/>
      <c r="H307" s="39"/>
      <c r="K307" s="40"/>
      <c r="T307" s="41"/>
      <c r="AA307" s="39"/>
      <c r="AF307" s="40"/>
      <c r="AG307" s="42"/>
      <c r="AJ307" s="1"/>
    </row>
    <row r="308" spans="3:36" ht="15.75" customHeight="1">
      <c r="C308" s="48"/>
      <c r="H308" s="39"/>
      <c r="K308" s="40"/>
      <c r="T308" s="41"/>
      <c r="AA308" s="39"/>
      <c r="AF308" s="40"/>
      <c r="AG308" s="42"/>
      <c r="AJ308" s="1"/>
    </row>
    <row r="309" spans="3:36" ht="15.75" customHeight="1">
      <c r="C309" s="48"/>
      <c r="H309" s="39"/>
      <c r="K309" s="40"/>
      <c r="T309" s="41"/>
      <c r="AA309" s="39"/>
      <c r="AF309" s="40"/>
      <c r="AG309" s="42"/>
      <c r="AJ309" s="1"/>
    </row>
    <row r="310" spans="3:36" ht="15.75" customHeight="1">
      <c r="C310" s="48"/>
      <c r="H310" s="39"/>
      <c r="K310" s="40"/>
      <c r="T310" s="41"/>
      <c r="AA310" s="39"/>
      <c r="AF310" s="40"/>
      <c r="AG310" s="42"/>
      <c r="AJ310" s="1"/>
    </row>
    <row r="311" spans="3:36" ht="15.75" customHeight="1">
      <c r="C311" s="48"/>
      <c r="H311" s="39"/>
      <c r="K311" s="40"/>
      <c r="T311" s="41"/>
      <c r="AA311" s="39"/>
      <c r="AF311" s="40"/>
      <c r="AG311" s="42"/>
      <c r="AJ311" s="1"/>
    </row>
    <row r="312" spans="3:36" ht="15.75" customHeight="1">
      <c r="C312" s="48"/>
      <c r="H312" s="39"/>
      <c r="K312" s="40"/>
      <c r="T312" s="41"/>
      <c r="AA312" s="39"/>
      <c r="AF312" s="40"/>
      <c r="AG312" s="42"/>
      <c r="AJ312" s="1"/>
    </row>
    <row r="313" spans="3:36" ht="15.75" customHeight="1">
      <c r="C313" s="48"/>
      <c r="H313" s="39"/>
      <c r="K313" s="40"/>
      <c r="T313" s="41"/>
      <c r="AA313" s="39"/>
      <c r="AF313" s="40"/>
      <c r="AG313" s="42"/>
      <c r="AJ313" s="1"/>
    </row>
    <row r="314" spans="3:36" ht="15.75" customHeight="1">
      <c r="C314" s="48"/>
      <c r="H314" s="39"/>
      <c r="K314" s="40"/>
      <c r="T314" s="41"/>
      <c r="AA314" s="39"/>
      <c r="AF314" s="40"/>
      <c r="AG314" s="42"/>
      <c r="AJ314" s="1"/>
    </row>
    <row r="315" spans="3:36" ht="15.75" customHeight="1">
      <c r="C315" s="48"/>
      <c r="H315" s="39"/>
      <c r="K315" s="40"/>
      <c r="T315" s="41"/>
      <c r="AA315" s="39"/>
      <c r="AF315" s="40"/>
      <c r="AG315" s="42"/>
      <c r="AJ315" s="1"/>
    </row>
    <row r="316" spans="3:36" ht="15.75" customHeight="1">
      <c r="C316" s="48"/>
      <c r="H316" s="39"/>
      <c r="K316" s="40"/>
      <c r="T316" s="41"/>
      <c r="AA316" s="39"/>
      <c r="AF316" s="40"/>
      <c r="AG316" s="42"/>
      <c r="AJ316" s="1"/>
    </row>
    <row r="317" spans="3:36" ht="15.75" customHeight="1">
      <c r="C317" s="48"/>
      <c r="H317" s="39"/>
      <c r="K317" s="40"/>
      <c r="T317" s="41"/>
      <c r="AA317" s="39"/>
      <c r="AF317" s="40"/>
      <c r="AG317" s="42"/>
      <c r="AJ317" s="1"/>
    </row>
    <row r="318" spans="3:36" ht="15.75" customHeight="1">
      <c r="C318" s="48"/>
      <c r="H318" s="39"/>
      <c r="K318" s="40"/>
      <c r="T318" s="41"/>
      <c r="AA318" s="39"/>
      <c r="AF318" s="40"/>
      <c r="AG318" s="42"/>
      <c r="AJ318" s="1"/>
    </row>
    <row r="319" spans="3:36" ht="15.75" customHeight="1">
      <c r="C319" s="48"/>
      <c r="H319" s="39"/>
      <c r="K319" s="40"/>
      <c r="T319" s="41"/>
      <c r="AA319" s="39"/>
      <c r="AF319" s="40"/>
      <c r="AG319" s="42"/>
      <c r="AJ319" s="1"/>
    </row>
    <row r="320" spans="3:36" ht="15.75" customHeight="1">
      <c r="C320" s="48"/>
      <c r="H320" s="39"/>
      <c r="K320" s="40"/>
      <c r="T320" s="41"/>
      <c r="AA320" s="39"/>
      <c r="AF320" s="40"/>
      <c r="AG320" s="42"/>
      <c r="AJ320" s="1"/>
    </row>
    <row r="321" spans="3:36" ht="15.75" customHeight="1">
      <c r="C321" s="48"/>
      <c r="H321" s="39"/>
      <c r="K321" s="40"/>
      <c r="T321" s="41"/>
      <c r="AA321" s="39"/>
      <c r="AF321" s="40"/>
      <c r="AG321" s="42"/>
      <c r="AJ321" s="1"/>
    </row>
    <row r="322" spans="3:36" ht="15.75" customHeight="1">
      <c r="C322" s="48"/>
      <c r="H322" s="39"/>
      <c r="K322" s="40"/>
      <c r="T322" s="41"/>
      <c r="AA322" s="39"/>
      <c r="AF322" s="40"/>
      <c r="AG322" s="42"/>
      <c r="AJ322" s="1"/>
    </row>
    <row r="323" spans="3:36" ht="15.75" customHeight="1">
      <c r="C323" s="48"/>
      <c r="H323" s="39"/>
      <c r="K323" s="40"/>
      <c r="T323" s="41"/>
      <c r="AA323" s="39"/>
      <c r="AF323" s="40"/>
      <c r="AG323" s="42"/>
      <c r="AJ323" s="1"/>
    </row>
    <row r="324" spans="3:36" ht="15.75" customHeight="1">
      <c r="C324" s="48"/>
      <c r="H324" s="39"/>
      <c r="K324" s="40"/>
      <c r="T324" s="41"/>
      <c r="AA324" s="39"/>
      <c r="AF324" s="40"/>
      <c r="AG324" s="42"/>
      <c r="AJ324" s="1"/>
    </row>
    <row r="325" spans="3:36" ht="15.75" customHeight="1">
      <c r="C325" s="48"/>
      <c r="H325" s="39"/>
      <c r="K325" s="40"/>
      <c r="T325" s="41"/>
      <c r="AA325" s="39"/>
      <c r="AF325" s="40"/>
      <c r="AG325" s="42"/>
      <c r="AJ325" s="1"/>
    </row>
    <row r="326" spans="3:36" ht="15.75" customHeight="1">
      <c r="C326" s="48"/>
      <c r="H326" s="39"/>
      <c r="K326" s="40"/>
      <c r="T326" s="41"/>
      <c r="AA326" s="39"/>
      <c r="AF326" s="40"/>
      <c r="AG326" s="42"/>
      <c r="AJ326" s="1"/>
    </row>
    <row r="327" spans="3:36" ht="15.75" customHeight="1">
      <c r="C327" s="48"/>
      <c r="H327" s="39"/>
      <c r="K327" s="40"/>
      <c r="T327" s="41"/>
      <c r="AA327" s="39"/>
      <c r="AF327" s="40"/>
      <c r="AG327" s="42"/>
      <c r="AJ327" s="1"/>
    </row>
    <row r="328" spans="3:36" ht="15.75" customHeight="1">
      <c r="C328" s="48"/>
      <c r="H328" s="39"/>
      <c r="K328" s="40"/>
      <c r="T328" s="41"/>
      <c r="AA328" s="39"/>
      <c r="AF328" s="40"/>
      <c r="AG328" s="42"/>
      <c r="AJ328" s="1"/>
    </row>
    <row r="329" spans="3:36" ht="15.75" customHeight="1">
      <c r="C329" s="48"/>
      <c r="H329" s="39"/>
      <c r="K329" s="40"/>
      <c r="T329" s="41"/>
      <c r="AA329" s="39"/>
      <c r="AF329" s="40"/>
      <c r="AG329" s="42"/>
      <c r="AJ329" s="1"/>
    </row>
    <row r="330" spans="3:36" ht="15.75" customHeight="1">
      <c r="C330" s="48"/>
      <c r="H330" s="39"/>
      <c r="K330" s="40"/>
      <c r="T330" s="41"/>
      <c r="AA330" s="39"/>
      <c r="AF330" s="40"/>
      <c r="AG330" s="42"/>
      <c r="AJ330" s="1"/>
    </row>
    <row r="331" spans="3:36" ht="15.75" customHeight="1">
      <c r="C331" s="48"/>
      <c r="H331" s="39"/>
      <c r="K331" s="40"/>
      <c r="T331" s="41"/>
      <c r="AA331" s="39"/>
      <c r="AF331" s="40"/>
      <c r="AG331" s="42"/>
      <c r="AJ331" s="1"/>
    </row>
    <row r="332" spans="3:36" ht="15.75" customHeight="1">
      <c r="C332" s="48"/>
      <c r="H332" s="39"/>
      <c r="K332" s="40"/>
      <c r="T332" s="41"/>
      <c r="AA332" s="39"/>
      <c r="AF332" s="40"/>
      <c r="AG332" s="42"/>
      <c r="AJ332" s="1"/>
    </row>
    <row r="333" spans="3:36" ht="15.75" customHeight="1">
      <c r="C333" s="48"/>
      <c r="H333" s="39"/>
      <c r="K333" s="40"/>
      <c r="T333" s="41"/>
      <c r="AA333" s="39"/>
      <c r="AF333" s="40"/>
      <c r="AG333" s="42"/>
      <c r="AJ333" s="1"/>
    </row>
    <row r="334" spans="3:36" ht="15.75" customHeight="1">
      <c r="C334" s="48"/>
      <c r="H334" s="39"/>
      <c r="K334" s="40"/>
      <c r="T334" s="41"/>
      <c r="AA334" s="39"/>
      <c r="AF334" s="40"/>
      <c r="AG334" s="42"/>
      <c r="AJ334" s="1"/>
    </row>
    <row r="335" spans="3:36" ht="15.75" customHeight="1">
      <c r="C335" s="48"/>
      <c r="H335" s="39"/>
      <c r="K335" s="40"/>
      <c r="T335" s="41"/>
      <c r="AA335" s="39"/>
      <c r="AF335" s="40"/>
      <c r="AG335" s="42"/>
      <c r="AJ335" s="1"/>
    </row>
    <row r="336" spans="3:36" ht="15.75" customHeight="1">
      <c r="C336" s="48"/>
      <c r="H336" s="39"/>
      <c r="K336" s="40"/>
      <c r="T336" s="41"/>
      <c r="AA336" s="39"/>
      <c r="AF336" s="40"/>
      <c r="AG336" s="42"/>
      <c r="AJ336" s="1"/>
    </row>
    <row r="337" spans="3:36" ht="15.75" customHeight="1">
      <c r="C337" s="48"/>
      <c r="H337" s="39"/>
      <c r="K337" s="40"/>
      <c r="T337" s="41"/>
      <c r="AA337" s="39"/>
      <c r="AF337" s="40"/>
      <c r="AG337" s="42"/>
      <c r="AJ337" s="1"/>
    </row>
    <row r="338" spans="3:36" ht="15.75" customHeight="1">
      <c r="C338" s="48"/>
      <c r="H338" s="39"/>
      <c r="K338" s="40"/>
      <c r="T338" s="41"/>
      <c r="AA338" s="39"/>
      <c r="AF338" s="40"/>
      <c r="AG338" s="42"/>
      <c r="AJ338" s="1"/>
    </row>
    <row r="339" spans="3:36" ht="15.75" customHeight="1">
      <c r="C339" s="48"/>
      <c r="H339" s="39"/>
      <c r="K339" s="40"/>
      <c r="T339" s="41"/>
      <c r="AA339" s="39"/>
      <c r="AF339" s="40"/>
      <c r="AG339" s="42"/>
      <c r="AJ339" s="1"/>
    </row>
    <row r="340" spans="3:36" ht="15.75" customHeight="1">
      <c r="C340" s="48"/>
      <c r="H340" s="39"/>
      <c r="K340" s="40"/>
      <c r="T340" s="41"/>
      <c r="AA340" s="39"/>
      <c r="AF340" s="40"/>
      <c r="AG340" s="42"/>
      <c r="AJ340" s="1"/>
    </row>
    <row r="341" spans="3:36" ht="15.75" customHeight="1">
      <c r="C341" s="48"/>
      <c r="H341" s="39"/>
      <c r="K341" s="40"/>
      <c r="T341" s="41"/>
      <c r="AA341" s="39"/>
      <c r="AF341" s="40"/>
      <c r="AG341" s="42"/>
      <c r="AJ341" s="1"/>
    </row>
    <row r="342" spans="3:36" ht="15.75" customHeight="1">
      <c r="C342" s="48"/>
      <c r="H342" s="39"/>
      <c r="K342" s="40"/>
      <c r="T342" s="41"/>
      <c r="AA342" s="39"/>
      <c r="AF342" s="40"/>
      <c r="AG342" s="42"/>
      <c r="AJ342" s="1"/>
    </row>
    <row r="343" spans="3:36" ht="15.75" customHeight="1">
      <c r="C343" s="48"/>
      <c r="H343" s="39"/>
      <c r="K343" s="40"/>
      <c r="T343" s="41"/>
      <c r="AA343" s="39"/>
      <c r="AF343" s="40"/>
      <c r="AG343" s="42"/>
      <c r="AJ343" s="1"/>
    </row>
    <row r="344" spans="3:36" ht="15.75" customHeight="1">
      <c r="C344" s="48"/>
      <c r="H344" s="39"/>
      <c r="K344" s="40"/>
      <c r="T344" s="41"/>
      <c r="AA344" s="39"/>
      <c r="AF344" s="40"/>
      <c r="AG344" s="42"/>
      <c r="AJ344" s="1"/>
    </row>
    <row r="345" spans="3:36" ht="15.75" customHeight="1">
      <c r="C345" s="48"/>
      <c r="H345" s="39"/>
      <c r="K345" s="40"/>
      <c r="T345" s="41"/>
      <c r="AA345" s="39"/>
      <c r="AF345" s="40"/>
      <c r="AG345" s="42"/>
      <c r="AJ345" s="1"/>
    </row>
    <row r="346" spans="3:36" ht="15.75" customHeight="1">
      <c r="C346" s="48"/>
      <c r="H346" s="39"/>
      <c r="K346" s="40"/>
      <c r="T346" s="41"/>
      <c r="AA346" s="39"/>
      <c r="AF346" s="40"/>
      <c r="AG346" s="42"/>
      <c r="AJ346" s="1"/>
    </row>
    <row r="347" spans="3:36" ht="15.75" customHeight="1">
      <c r="C347" s="48"/>
      <c r="H347" s="39"/>
      <c r="K347" s="40"/>
      <c r="T347" s="41"/>
      <c r="AA347" s="39"/>
      <c r="AF347" s="40"/>
      <c r="AG347" s="42"/>
      <c r="AJ347" s="1"/>
    </row>
    <row r="348" spans="3:36" ht="15.75" customHeight="1">
      <c r="C348" s="48"/>
      <c r="H348" s="39"/>
      <c r="K348" s="40"/>
      <c r="T348" s="41"/>
      <c r="AA348" s="39"/>
      <c r="AF348" s="40"/>
      <c r="AG348" s="42"/>
      <c r="AJ348" s="1"/>
    </row>
    <row r="349" spans="3:36" ht="15.75" customHeight="1">
      <c r="C349" s="48"/>
      <c r="H349" s="39"/>
      <c r="K349" s="40"/>
      <c r="T349" s="41"/>
      <c r="AA349" s="39"/>
      <c r="AF349" s="40"/>
      <c r="AG349" s="42"/>
      <c r="AJ349" s="1"/>
    </row>
    <row r="350" spans="3:36" ht="15.75" customHeight="1">
      <c r="C350" s="48"/>
      <c r="H350" s="39"/>
      <c r="K350" s="40"/>
      <c r="T350" s="41"/>
      <c r="AA350" s="39"/>
      <c r="AF350" s="40"/>
      <c r="AG350" s="42"/>
      <c r="AJ350" s="1"/>
    </row>
    <row r="351" spans="3:36" ht="15.75" customHeight="1">
      <c r="C351" s="48"/>
      <c r="H351" s="39"/>
      <c r="K351" s="40"/>
      <c r="T351" s="41"/>
      <c r="AA351" s="39"/>
      <c r="AF351" s="40"/>
      <c r="AG351" s="42"/>
      <c r="AJ351" s="1"/>
    </row>
    <row r="352" spans="3:36" ht="15.75" customHeight="1">
      <c r="C352" s="48"/>
      <c r="H352" s="39"/>
      <c r="K352" s="40"/>
      <c r="T352" s="41"/>
      <c r="AA352" s="39"/>
      <c r="AF352" s="40"/>
      <c r="AG352" s="42"/>
      <c r="AJ352" s="1"/>
    </row>
    <row r="353" spans="3:36" ht="15.75" customHeight="1">
      <c r="C353" s="48"/>
      <c r="H353" s="39"/>
      <c r="K353" s="40"/>
      <c r="T353" s="41"/>
      <c r="AA353" s="39"/>
      <c r="AF353" s="40"/>
      <c r="AG353" s="42"/>
      <c r="AJ353" s="1"/>
    </row>
    <row r="354" spans="3:36" ht="15.75" customHeight="1">
      <c r="C354" s="48"/>
      <c r="H354" s="39"/>
      <c r="K354" s="40"/>
      <c r="T354" s="41"/>
      <c r="AA354" s="39"/>
      <c r="AF354" s="40"/>
      <c r="AG354" s="42"/>
      <c r="AJ354" s="1"/>
    </row>
    <row r="355" spans="3:36" ht="15.75" customHeight="1">
      <c r="C355" s="48"/>
      <c r="H355" s="39"/>
      <c r="K355" s="40"/>
      <c r="T355" s="41"/>
      <c r="AA355" s="39"/>
      <c r="AF355" s="40"/>
      <c r="AG355" s="42"/>
      <c r="AJ355" s="1"/>
    </row>
    <row r="356" spans="3:36" ht="15.75" customHeight="1">
      <c r="C356" s="48"/>
      <c r="H356" s="39"/>
      <c r="K356" s="40"/>
      <c r="T356" s="41"/>
      <c r="AA356" s="39"/>
      <c r="AF356" s="40"/>
      <c r="AG356" s="42"/>
      <c r="AJ356" s="1"/>
    </row>
    <row r="357" spans="3:36" ht="15.75" customHeight="1">
      <c r="C357" s="48"/>
      <c r="H357" s="39"/>
      <c r="K357" s="40"/>
      <c r="T357" s="41"/>
      <c r="AA357" s="39"/>
      <c r="AF357" s="40"/>
      <c r="AG357" s="42"/>
      <c r="AJ357" s="1"/>
    </row>
    <row r="358" spans="3:36" ht="15.75" customHeight="1">
      <c r="C358" s="48"/>
      <c r="H358" s="39"/>
      <c r="K358" s="40"/>
      <c r="T358" s="41"/>
      <c r="AA358" s="39"/>
      <c r="AF358" s="40"/>
      <c r="AG358" s="42"/>
      <c r="AJ358" s="1"/>
    </row>
    <row r="359" spans="3:36" ht="15.75" customHeight="1">
      <c r="C359" s="48"/>
      <c r="H359" s="39"/>
      <c r="K359" s="40"/>
      <c r="T359" s="41"/>
      <c r="AA359" s="39"/>
      <c r="AF359" s="40"/>
      <c r="AG359" s="42"/>
      <c r="AJ359" s="1"/>
    </row>
    <row r="360" spans="3:36" ht="15.75" customHeight="1">
      <c r="C360" s="48"/>
      <c r="H360" s="39"/>
      <c r="K360" s="40"/>
      <c r="T360" s="41"/>
      <c r="AA360" s="39"/>
      <c r="AF360" s="40"/>
      <c r="AG360" s="42"/>
      <c r="AJ360" s="1"/>
    </row>
    <row r="361" spans="3:36" ht="15.75" customHeight="1">
      <c r="C361" s="48"/>
      <c r="H361" s="39"/>
      <c r="K361" s="40"/>
      <c r="T361" s="41"/>
      <c r="AA361" s="39"/>
      <c r="AF361" s="40"/>
      <c r="AG361" s="42"/>
      <c r="AJ361" s="1"/>
    </row>
    <row r="362" spans="3:36" ht="15.75" customHeight="1">
      <c r="C362" s="48"/>
      <c r="H362" s="39"/>
      <c r="K362" s="40"/>
      <c r="T362" s="41"/>
      <c r="AA362" s="39"/>
      <c r="AF362" s="40"/>
      <c r="AG362" s="42"/>
      <c r="AJ362" s="1"/>
    </row>
    <row r="363" spans="3:36" ht="15.75" customHeight="1">
      <c r="C363" s="48"/>
      <c r="H363" s="39"/>
      <c r="K363" s="40"/>
      <c r="T363" s="41"/>
      <c r="AA363" s="39"/>
      <c r="AF363" s="40"/>
      <c r="AG363" s="42"/>
      <c r="AJ363" s="1"/>
    </row>
    <row r="364" spans="3:36" ht="15.75" customHeight="1">
      <c r="C364" s="48"/>
      <c r="H364" s="39"/>
      <c r="K364" s="40"/>
      <c r="T364" s="41"/>
      <c r="AA364" s="39"/>
      <c r="AF364" s="40"/>
      <c r="AG364" s="42"/>
      <c r="AJ364" s="1"/>
    </row>
    <row r="365" spans="3:36" ht="15.75" customHeight="1">
      <c r="C365" s="48"/>
      <c r="H365" s="39"/>
      <c r="K365" s="40"/>
      <c r="T365" s="41"/>
      <c r="AA365" s="39"/>
      <c r="AF365" s="40"/>
      <c r="AG365" s="42"/>
      <c r="AJ365" s="1"/>
    </row>
    <row r="366" spans="3:36" ht="15.75" customHeight="1">
      <c r="C366" s="48"/>
      <c r="H366" s="39"/>
      <c r="K366" s="40"/>
      <c r="T366" s="41"/>
      <c r="AA366" s="39"/>
      <c r="AF366" s="40"/>
      <c r="AG366" s="42"/>
      <c r="AJ366" s="1"/>
    </row>
    <row r="367" spans="3:36" ht="15.75" customHeight="1">
      <c r="C367" s="48"/>
      <c r="H367" s="39"/>
      <c r="K367" s="40"/>
      <c r="T367" s="41"/>
      <c r="AA367" s="39"/>
      <c r="AF367" s="40"/>
      <c r="AG367" s="42"/>
      <c r="AJ367" s="1"/>
    </row>
    <row r="368" spans="3:36" ht="15.75" customHeight="1">
      <c r="C368" s="48"/>
      <c r="H368" s="39"/>
      <c r="K368" s="40"/>
      <c r="T368" s="41"/>
      <c r="AA368" s="39"/>
      <c r="AF368" s="40"/>
      <c r="AG368" s="42"/>
      <c r="AJ368" s="1"/>
    </row>
    <row r="369" spans="3:36" ht="15.75" customHeight="1">
      <c r="C369" s="48"/>
      <c r="H369" s="39"/>
      <c r="K369" s="40"/>
      <c r="T369" s="41"/>
      <c r="AA369" s="39"/>
      <c r="AF369" s="40"/>
      <c r="AG369" s="42"/>
      <c r="AJ369" s="1"/>
    </row>
    <row r="370" spans="3:36" ht="15.75" customHeight="1">
      <c r="C370" s="48"/>
      <c r="H370" s="39"/>
      <c r="K370" s="40"/>
      <c r="T370" s="41"/>
      <c r="AA370" s="39"/>
      <c r="AF370" s="40"/>
      <c r="AG370" s="42"/>
      <c r="AJ370" s="1"/>
    </row>
    <row r="371" spans="3:36" ht="15.75" customHeight="1">
      <c r="C371" s="48"/>
      <c r="H371" s="39"/>
      <c r="K371" s="40"/>
      <c r="T371" s="41"/>
      <c r="AA371" s="39"/>
      <c r="AF371" s="40"/>
      <c r="AG371" s="42"/>
      <c r="AJ371" s="1"/>
    </row>
    <row r="372" spans="3:36" ht="15.75" customHeight="1">
      <c r="C372" s="48"/>
      <c r="H372" s="39"/>
      <c r="K372" s="40"/>
      <c r="T372" s="41"/>
      <c r="AA372" s="39"/>
      <c r="AF372" s="40"/>
      <c r="AG372" s="42"/>
      <c r="AJ372" s="1"/>
    </row>
    <row r="373" spans="3:36" ht="15.75" customHeight="1">
      <c r="C373" s="48"/>
      <c r="H373" s="39"/>
      <c r="K373" s="40"/>
      <c r="T373" s="41"/>
      <c r="AA373" s="39"/>
      <c r="AF373" s="40"/>
      <c r="AG373" s="42"/>
      <c r="AJ373" s="1"/>
    </row>
    <row r="374" spans="3:36" ht="15.75" customHeight="1">
      <c r="C374" s="48"/>
      <c r="H374" s="39"/>
      <c r="K374" s="40"/>
      <c r="T374" s="41"/>
      <c r="AA374" s="39"/>
      <c r="AF374" s="40"/>
      <c r="AG374" s="42"/>
      <c r="AJ374" s="1"/>
    </row>
    <row r="375" spans="3:36" ht="15.75" customHeight="1">
      <c r="C375" s="48"/>
      <c r="H375" s="39"/>
      <c r="K375" s="40"/>
      <c r="T375" s="41"/>
      <c r="AA375" s="39"/>
      <c r="AF375" s="40"/>
      <c r="AG375" s="42"/>
      <c r="AJ375" s="1"/>
    </row>
    <row r="376" spans="3:36" ht="15.75" customHeight="1">
      <c r="C376" s="48"/>
      <c r="H376" s="39"/>
      <c r="K376" s="40"/>
      <c r="T376" s="41"/>
      <c r="AA376" s="39"/>
      <c r="AF376" s="40"/>
      <c r="AG376" s="42"/>
      <c r="AJ376" s="1"/>
    </row>
    <row r="377" spans="3:36" ht="15.75" customHeight="1">
      <c r="C377" s="48"/>
      <c r="H377" s="39"/>
      <c r="K377" s="40"/>
      <c r="T377" s="41"/>
      <c r="AA377" s="39"/>
      <c r="AF377" s="40"/>
      <c r="AG377" s="42"/>
      <c r="AJ377" s="1"/>
    </row>
    <row r="378" spans="3:36" ht="15.75" customHeight="1">
      <c r="C378" s="48"/>
      <c r="H378" s="39"/>
      <c r="K378" s="40"/>
      <c r="T378" s="41"/>
      <c r="AA378" s="39"/>
      <c r="AF378" s="40"/>
      <c r="AG378" s="42"/>
      <c r="AJ378" s="1"/>
    </row>
    <row r="379" spans="3:36" ht="15.75" customHeight="1">
      <c r="C379" s="48"/>
      <c r="H379" s="39"/>
      <c r="K379" s="40"/>
      <c r="T379" s="41"/>
      <c r="AA379" s="39"/>
      <c r="AF379" s="40"/>
      <c r="AG379" s="42"/>
      <c r="AJ379" s="1"/>
    </row>
    <row r="380" spans="3:36" ht="15.75" customHeight="1">
      <c r="C380" s="48"/>
      <c r="H380" s="39"/>
      <c r="K380" s="40"/>
      <c r="T380" s="41"/>
      <c r="AA380" s="39"/>
      <c r="AF380" s="40"/>
      <c r="AG380" s="42"/>
      <c r="AJ380" s="1"/>
    </row>
    <row r="381" spans="3:36" ht="15.75" customHeight="1">
      <c r="C381" s="48"/>
      <c r="H381" s="39"/>
      <c r="K381" s="40"/>
      <c r="T381" s="41"/>
      <c r="AA381" s="39"/>
      <c r="AF381" s="40"/>
      <c r="AG381" s="42"/>
      <c r="AJ381" s="1"/>
    </row>
    <row r="382" spans="3:36" ht="15.75" customHeight="1">
      <c r="C382" s="48"/>
      <c r="H382" s="39"/>
      <c r="K382" s="40"/>
      <c r="T382" s="41"/>
      <c r="AA382" s="39"/>
      <c r="AF382" s="40"/>
      <c r="AG382" s="42"/>
      <c r="AJ382" s="1"/>
    </row>
    <row r="383" spans="3:36" ht="15.75" customHeight="1">
      <c r="C383" s="48"/>
      <c r="H383" s="39"/>
      <c r="K383" s="40"/>
      <c r="T383" s="41"/>
      <c r="AA383" s="39"/>
      <c r="AF383" s="40"/>
      <c r="AG383" s="42"/>
      <c r="AJ383" s="1"/>
    </row>
    <row r="384" spans="3:36" ht="15.75" customHeight="1">
      <c r="C384" s="48"/>
      <c r="H384" s="39"/>
      <c r="K384" s="40"/>
      <c r="T384" s="41"/>
      <c r="AA384" s="39"/>
      <c r="AF384" s="40"/>
      <c r="AG384" s="42"/>
      <c r="AJ384" s="1"/>
    </row>
    <row r="385" spans="3:36" ht="15.75" customHeight="1">
      <c r="C385" s="48"/>
      <c r="H385" s="39"/>
      <c r="K385" s="40"/>
      <c r="T385" s="41"/>
      <c r="AA385" s="39"/>
      <c r="AF385" s="40"/>
      <c r="AG385" s="42"/>
      <c r="AJ385" s="1"/>
    </row>
    <row r="386" spans="3:36" ht="15.75" customHeight="1">
      <c r="C386" s="48"/>
      <c r="H386" s="39"/>
      <c r="K386" s="40"/>
      <c r="T386" s="41"/>
      <c r="AA386" s="39"/>
      <c r="AF386" s="40"/>
      <c r="AG386" s="42"/>
      <c r="AJ386" s="1"/>
    </row>
    <row r="387" spans="3:36" ht="15.75" customHeight="1">
      <c r="C387" s="48"/>
      <c r="H387" s="39"/>
      <c r="K387" s="40"/>
      <c r="T387" s="41"/>
      <c r="AA387" s="39"/>
      <c r="AF387" s="40"/>
      <c r="AG387" s="42"/>
      <c r="AJ387" s="1"/>
    </row>
    <row r="388" spans="3:36" ht="15.75" customHeight="1">
      <c r="C388" s="48"/>
      <c r="H388" s="39"/>
      <c r="K388" s="40"/>
      <c r="T388" s="41"/>
      <c r="AA388" s="39"/>
      <c r="AF388" s="40"/>
      <c r="AG388" s="42"/>
      <c r="AJ388" s="1"/>
    </row>
    <row r="389" spans="3:36" ht="15.75" customHeight="1">
      <c r="C389" s="48"/>
      <c r="H389" s="39"/>
      <c r="K389" s="40"/>
      <c r="T389" s="41"/>
      <c r="AA389" s="39"/>
      <c r="AF389" s="40"/>
      <c r="AG389" s="42"/>
      <c r="AJ389" s="1"/>
    </row>
    <row r="390" spans="3:36" ht="15.75" customHeight="1">
      <c r="C390" s="48"/>
      <c r="H390" s="39"/>
      <c r="K390" s="40"/>
      <c r="T390" s="41"/>
      <c r="AA390" s="39"/>
      <c r="AF390" s="40"/>
      <c r="AG390" s="42"/>
      <c r="AJ390" s="1"/>
    </row>
    <row r="391" spans="3:36" ht="15.75" customHeight="1">
      <c r="C391" s="48"/>
      <c r="H391" s="39"/>
      <c r="K391" s="40"/>
      <c r="T391" s="41"/>
      <c r="AA391" s="39"/>
      <c r="AF391" s="40"/>
      <c r="AG391" s="42"/>
      <c r="AJ391" s="1"/>
    </row>
    <row r="392" spans="3:36" ht="15.75" customHeight="1">
      <c r="C392" s="48"/>
      <c r="H392" s="39"/>
      <c r="K392" s="40"/>
      <c r="T392" s="41"/>
      <c r="AA392" s="39"/>
      <c r="AF392" s="40"/>
      <c r="AG392" s="42"/>
      <c r="AJ392" s="1"/>
    </row>
    <row r="393" spans="3:36" ht="15.75" customHeight="1">
      <c r="C393" s="48"/>
      <c r="H393" s="39"/>
      <c r="K393" s="40"/>
      <c r="T393" s="41"/>
      <c r="AA393" s="39"/>
      <c r="AF393" s="40"/>
      <c r="AG393" s="42"/>
      <c r="AJ393" s="1"/>
    </row>
    <row r="394" spans="3:36" ht="15.75" customHeight="1">
      <c r="C394" s="48"/>
      <c r="H394" s="39"/>
      <c r="K394" s="40"/>
      <c r="T394" s="41"/>
      <c r="AA394" s="39"/>
      <c r="AF394" s="40"/>
      <c r="AG394" s="42"/>
      <c r="AJ394" s="1"/>
    </row>
    <row r="395" spans="3:36" ht="15.75" customHeight="1">
      <c r="C395" s="48"/>
      <c r="H395" s="39"/>
      <c r="K395" s="40"/>
      <c r="T395" s="41"/>
      <c r="AA395" s="39"/>
      <c r="AF395" s="40"/>
      <c r="AG395" s="42"/>
      <c r="AJ395" s="1"/>
    </row>
    <row r="396" spans="3:36" ht="15.75" customHeight="1">
      <c r="C396" s="48"/>
      <c r="H396" s="39"/>
      <c r="K396" s="40"/>
      <c r="T396" s="41"/>
      <c r="AA396" s="39"/>
      <c r="AF396" s="40"/>
      <c r="AG396" s="42"/>
      <c r="AJ396" s="1"/>
    </row>
    <row r="397" spans="3:36" ht="15.75" customHeight="1">
      <c r="C397" s="48"/>
      <c r="H397" s="39"/>
      <c r="K397" s="40"/>
      <c r="T397" s="41"/>
      <c r="AA397" s="39"/>
      <c r="AF397" s="40"/>
      <c r="AG397" s="42"/>
      <c r="AJ397" s="1"/>
    </row>
    <row r="398" spans="3:36" ht="15.75" customHeight="1">
      <c r="C398" s="48"/>
      <c r="H398" s="39"/>
      <c r="K398" s="40"/>
      <c r="T398" s="41"/>
      <c r="AA398" s="39"/>
      <c r="AF398" s="40"/>
      <c r="AG398" s="42"/>
      <c r="AJ398" s="1"/>
    </row>
    <row r="399" spans="3:36" ht="15.75" customHeight="1">
      <c r="C399" s="48"/>
      <c r="H399" s="39"/>
      <c r="K399" s="40"/>
      <c r="T399" s="41"/>
      <c r="AA399" s="39"/>
      <c r="AF399" s="40"/>
      <c r="AG399" s="42"/>
      <c r="AJ399" s="1"/>
    </row>
    <row r="400" spans="3:36" ht="15.75" customHeight="1">
      <c r="C400" s="48"/>
      <c r="H400" s="39"/>
      <c r="K400" s="40"/>
      <c r="T400" s="41"/>
      <c r="AA400" s="39"/>
      <c r="AF400" s="40"/>
      <c r="AG400" s="42"/>
      <c r="AJ400" s="1"/>
    </row>
    <row r="401" spans="3:36" ht="15.75" customHeight="1">
      <c r="C401" s="48"/>
      <c r="H401" s="39"/>
      <c r="K401" s="40"/>
      <c r="T401" s="41"/>
      <c r="AA401" s="39"/>
      <c r="AF401" s="40"/>
      <c r="AG401" s="42"/>
      <c r="AJ401" s="1"/>
    </row>
    <row r="402" spans="3:36" ht="15.75" customHeight="1">
      <c r="C402" s="48"/>
      <c r="H402" s="39"/>
      <c r="K402" s="40"/>
      <c r="T402" s="41"/>
      <c r="AA402" s="39"/>
      <c r="AF402" s="40"/>
      <c r="AG402" s="42"/>
      <c r="AJ402" s="1"/>
    </row>
    <row r="403" spans="3:36" ht="15.75" customHeight="1">
      <c r="C403" s="48"/>
      <c r="H403" s="39"/>
      <c r="K403" s="40"/>
      <c r="T403" s="41"/>
      <c r="AA403" s="39"/>
      <c r="AF403" s="40"/>
      <c r="AG403" s="42"/>
      <c r="AJ403" s="1"/>
    </row>
    <row r="404" spans="3:36" ht="15.75" customHeight="1">
      <c r="C404" s="48"/>
      <c r="H404" s="39"/>
      <c r="K404" s="40"/>
      <c r="T404" s="41"/>
      <c r="AA404" s="39"/>
      <c r="AF404" s="40"/>
      <c r="AG404" s="42"/>
      <c r="AJ404" s="1"/>
    </row>
    <row r="405" spans="3:36" ht="15.75" customHeight="1">
      <c r="C405" s="48"/>
      <c r="H405" s="39"/>
      <c r="K405" s="40"/>
      <c r="T405" s="41"/>
      <c r="AA405" s="39"/>
      <c r="AF405" s="40"/>
      <c r="AG405" s="42"/>
      <c r="AJ405" s="1"/>
    </row>
    <row r="406" spans="3:36" ht="15.75" customHeight="1">
      <c r="C406" s="48"/>
      <c r="H406" s="39"/>
      <c r="K406" s="40"/>
      <c r="T406" s="41"/>
      <c r="AA406" s="39"/>
      <c r="AF406" s="40"/>
      <c r="AG406" s="42"/>
      <c r="AJ406" s="1"/>
    </row>
    <row r="407" spans="3:36" ht="15.75" customHeight="1">
      <c r="C407" s="48"/>
      <c r="H407" s="39"/>
      <c r="K407" s="40"/>
      <c r="T407" s="41"/>
      <c r="AA407" s="39"/>
      <c r="AF407" s="40"/>
      <c r="AG407" s="42"/>
      <c r="AJ407" s="1"/>
    </row>
    <row r="408" spans="3:36" ht="15.75" customHeight="1">
      <c r="C408" s="48"/>
      <c r="H408" s="39"/>
      <c r="K408" s="40"/>
      <c r="T408" s="41"/>
      <c r="AA408" s="39"/>
      <c r="AF408" s="40"/>
      <c r="AG408" s="42"/>
      <c r="AJ408" s="1"/>
    </row>
    <row r="409" spans="3:36" ht="15.75" customHeight="1">
      <c r="C409" s="48"/>
      <c r="H409" s="39"/>
      <c r="K409" s="40"/>
      <c r="T409" s="41"/>
      <c r="AA409" s="39"/>
      <c r="AF409" s="40"/>
      <c r="AG409" s="42"/>
      <c r="AJ409" s="1"/>
    </row>
    <row r="410" spans="3:36" ht="15.75" customHeight="1">
      <c r="C410" s="48"/>
      <c r="H410" s="39"/>
      <c r="K410" s="40"/>
      <c r="T410" s="41"/>
      <c r="AA410" s="39"/>
      <c r="AF410" s="40"/>
      <c r="AG410" s="42"/>
      <c r="AJ410" s="1"/>
    </row>
    <row r="411" spans="3:36" ht="15.75" customHeight="1">
      <c r="C411" s="48"/>
      <c r="H411" s="39"/>
      <c r="K411" s="40"/>
      <c r="T411" s="41"/>
      <c r="AA411" s="39"/>
      <c r="AF411" s="40"/>
      <c r="AG411" s="42"/>
      <c r="AJ411" s="1"/>
    </row>
    <row r="412" spans="3:36" ht="15.75" customHeight="1">
      <c r="C412" s="48"/>
      <c r="H412" s="39"/>
      <c r="K412" s="40"/>
      <c r="T412" s="41"/>
      <c r="AA412" s="39"/>
      <c r="AF412" s="40"/>
      <c r="AG412" s="42"/>
      <c r="AJ412" s="1"/>
    </row>
    <row r="413" spans="3:36" ht="15.75" customHeight="1">
      <c r="C413" s="48"/>
      <c r="H413" s="39"/>
      <c r="K413" s="40"/>
      <c r="T413" s="41"/>
      <c r="AA413" s="39"/>
      <c r="AF413" s="40"/>
      <c r="AG413" s="42"/>
      <c r="AJ413" s="1"/>
    </row>
    <row r="414" spans="3:36" ht="15.75" customHeight="1">
      <c r="C414" s="48"/>
      <c r="H414" s="39"/>
      <c r="K414" s="40"/>
      <c r="T414" s="41"/>
      <c r="AA414" s="39"/>
      <c r="AF414" s="40"/>
      <c r="AG414" s="42"/>
      <c r="AJ414" s="1"/>
    </row>
    <row r="415" spans="3:36" ht="15.75" customHeight="1">
      <c r="C415" s="48"/>
      <c r="H415" s="39"/>
      <c r="K415" s="40"/>
      <c r="T415" s="41"/>
      <c r="AA415" s="39"/>
      <c r="AF415" s="40"/>
      <c r="AG415" s="42"/>
      <c r="AJ415" s="1"/>
    </row>
    <row r="416" spans="3:36" ht="15.75" customHeight="1">
      <c r="C416" s="48"/>
      <c r="H416" s="39"/>
      <c r="K416" s="40"/>
      <c r="T416" s="41"/>
      <c r="AA416" s="39"/>
      <c r="AF416" s="40"/>
      <c r="AG416" s="42"/>
      <c r="AJ416" s="1"/>
    </row>
    <row r="417" spans="3:36" ht="15.75" customHeight="1">
      <c r="C417" s="48"/>
      <c r="H417" s="39"/>
      <c r="K417" s="40"/>
      <c r="T417" s="41"/>
      <c r="AA417" s="39"/>
      <c r="AF417" s="40"/>
      <c r="AG417" s="42"/>
      <c r="AJ417" s="1"/>
    </row>
    <row r="418" spans="3:36" ht="15.75" customHeight="1">
      <c r="C418" s="48"/>
      <c r="H418" s="39"/>
      <c r="K418" s="40"/>
      <c r="T418" s="41"/>
      <c r="AA418" s="39"/>
      <c r="AF418" s="40"/>
      <c r="AG418" s="42"/>
      <c r="AJ418" s="1"/>
    </row>
    <row r="419" spans="3:36" ht="15.75" customHeight="1">
      <c r="C419" s="48"/>
      <c r="H419" s="39"/>
      <c r="K419" s="40"/>
      <c r="T419" s="41"/>
      <c r="AA419" s="39"/>
      <c r="AF419" s="40"/>
      <c r="AG419" s="42"/>
      <c r="AJ419" s="1"/>
    </row>
    <row r="420" spans="3:36" ht="15.75" customHeight="1">
      <c r="C420" s="48"/>
      <c r="H420" s="39"/>
      <c r="K420" s="40"/>
      <c r="T420" s="41"/>
      <c r="AA420" s="39"/>
      <c r="AF420" s="40"/>
      <c r="AG420" s="42"/>
      <c r="AJ420" s="1"/>
    </row>
    <row r="421" spans="3:36" ht="15.75" customHeight="1">
      <c r="C421" s="48"/>
      <c r="H421" s="39"/>
      <c r="K421" s="40"/>
      <c r="T421" s="41"/>
      <c r="AA421" s="39"/>
      <c r="AF421" s="40"/>
      <c r="AG421" s="42"/>
      <c r="AJ421" s="1"/>
    </row>
    <row r="422" spans="3:36" ht="15.75" customHeight="1">
      <c r="C422" s="48"/>
      <c r="H422" s="39"/>
      <c r="K422" s="40"/>
      <c r="T422" s="41"/>
      <c r="AA422" s="39"/>
      <c r="AF422" s="40"/>
      <c r="AG422" s="42"/>
      <c r="AJ422" s="1"/>
    </row>
    <row r="423" spans="3:36" ht="15.75" customHeight="1">
      <c r="C423" s="48"/>
      <c r="H423" s="39"/>
      <c r="K423" s="40"/>
      <c r="T423" s="41"/>
      <c r="AA423" s="39"/>
      <c r="AF423" s="40"/>
      <c r="AG423" s="42"/>
      <c r="AJ423" s="1"/>
    </row>
    <row r="424" spans="3:36" ht="15.75" customHeight="1">
      <c r="C424" s="48"/>
      <c r="H424" s="39"/>
      <c r="K424" s="40"/>
      <c r="T424" s="41"/>
      <c r="AA424" s="39"/>
      <c r="AF424" s="40"/>
      <c r="AG424" s="42"/>
      <c r="AJ424" s="1"/>
    </row>
    <row r="425" spans="3:36" ht="15.75" customHeight="1">
      <c r="C425" s="48"/>
      <c r="H425" s="39"/>
      <c r="K425" s="40"/>
      <c r="T425" s="41"/>
      <c r="AA425" s="39"/>
      <c r="AF425" s="40"/>
      <c r="AG425" s="42"/>
      <c r="AJ425" s="1"/>
    </row>
    <row r="426" spans="3:36" ht="15.75" customHeight="1">
      <c r="C426" s="48"/>
      <c r="H426" s="39"/>
      <c r="K426" s="40"/>
      <c r="T426" s="41"/>
      <c r="AA426" s="39"/>
      <c r="AF426" s="40"/>
      <c r="AG426" s="42"/>
      <c r="AJ426" s="1"/>
    </row>
    <row r="427" spans="3:36" ht="15.75" customHeight="1">
      <c r="C427" s="48"/>
      <c r="H427" s="39"/>
      <c r="K427" s="40"/>
      <c r="T427" s="41"/>
      <c r="AA427" s="39"/>
      <c r="AF427" s="40"/>
      <c r="AG427" s="42"/>
      <c r="AJ427" s="1"/>
    </row>
    <row r="428" spans="3:36" ht="15.75" customHeight="1">
      <c r="C428" s="48"/>
      <c r="H428" s="39"/>
      <c r="K428" s="40"/>
      <c r="T428" s="41"/>
      <c r="AA428" s="39"/>
      <c r="AF428" s="40"/>
      <c r="AG428" s="42"/>
      <c r="AJ428" s="1"/>
    </row>
    <row r="429" spans="3:36" ht="15.75" customHeight="1">
      <c r="C429" s="48"/>
      <c r="H429" s="39"/>
      <c r="K429" s="40"/>
      <c r="T429" s="41"/>
      <c r="AA429" s="39"/>
      <c r="AF429" s="40"/>
      <c r="AG429" s="42"/>
      <c r="AJ429" s="1"/>
    </row>
    <row r="430" spans="3:36" ht="15.75" customHeight="1">
      <c r="C430" s="48"/>
      <c r="H430" s="39"/>
      <c r="K430" s="40"/>
      <c r="T430" s="41"/>
      <c r="AA430" s="39"/>
      <c r="AF430" s="40"/>
      <c r="AG430" s="42"/>
      <c r="AJ430" s="1"/>
    </row>
    <row r="431" spans="3:36" ht="15.75" customHeight="1">
      <c r="C431" s="48"/>
      <c r="H431" s="39"/>
      <c r="K431" s="40"/>
      <c r="T431" s="41"/>
      <c r="AA431" s="39"/>
      <c r="AF431" s="40"/>
      <c r="AG431" s="42"/>
      <c r="AJ431" s="1"/>
    </row>
    <row r="432" spans="3:36" ht="15.75" customHeight="1">
      <c r="C432" s="48"/>
      <c r="H432" s="39"/>
      <c r="K432" s="40"/>
      <c r="T432" s="41"/>
      <c r="AA432" s="39"/>
      <c r="AF432" s="40"/>
      <c r="AG432" s="42"/>
      <c r="AJ432" s="1"/>
    </row>
    <row r="433" spans="3:36" ht="15.75" customHeight="1">
      <c r="C433" s="48"/>
      <c r="H433" s="39"/>
      <c r="K433" s="40"/>
      <c r="T433" s="41"/>
      <c r="AA433" s="39"/>
      <c r="AF433" s="40"/>
      <c r="AG433" s="42"/>
      <c r="AJ433" s="1"/>
    </row>
    <row r="434" spans="3:36" ht="15.75" customHeight="1">
      <c r="C434" s="48"/>
      <c r="H434" s="39"/>
      <c r="K434" s="40"/>
      <c r="T434" s="41"/>
      <c r="AA434" s="39"/>
      <c r="AF434" s="40"/>
      <c r="AG434" s="42"/>
      <c r="AJ434" s="1"/>
    </row>
    <row r="435" spans="3:36" ht="15.75" customHeight="1">
      <c r="C435" s="48"/>
      <c r="H435" s="39"/>
      <c r="K435" s="40"/>
      <c r="T435" s="41"/>
      <c r="AA435" s="39"/>
      <c r="AF435" s="40"/>
      <c r="AG435" s="42"/>
      <c r="AJ435" s="1"/>
    </row>
    <row r="436" spans="3:36" ht="15.75" customHeight="1">
      <c r="C436" s="48"/>
      <c r="H436" s="39"/>
      <c r="K436" s="40"/>
      <c r="T436" s="41"/>
      <c r="AA436" s="39"/>
      <c r="AF436" s="40"/>
      <c r="AG436" s="42"/>
      <c r="AJ436" s="1"/>
    </row>
    <row r="437" spans="3:36" ht="15.75" customHeight="1">
      <c r="C437" s="48"/>
      <c r="H437" s="39"/>
      <c r="K437" s="40"/>
      <c r="T437" s="41"/>
      <c r="AA437" s="39"/>
      <c r="AF437" s="40"/>
      <c r="AG437" s="42"/>
      <c r="AJ437" s="1"/>
    </row>
    <row r="438" spans="3:36" ht="15.75" customHeight="1">
      <c r="C438" s="48"/>
      <c r="H438" s="39"/>
      <c r="K438" s="40"/>
      <c r="T438" s="41"/>
      <c r="AA438" s="39"/>
      <c r="AF438" s="40"/>
      <c r="AG438" s="42"/>
      <c r="AJ438" s="1"/>
    </row>
    <row r="439" spans="3:36" ht="15.75" customHeight="1">
      <c r="C439" s="48"/>
      <c r="H439" s="39"/>
      <c r="K439" s="40"/>
      <c r="T439" s="41"/>
      <c r="AA439" s="39"/>
      <c r="AF439" s="40"/>
      <c r="AG439" s="42"/>
      <c r="AJ439" s="1"/>
    </row>
    <row r="440" spans="3:36" ht="15.75" customHeight="1">
      <c r="C440" s="48"/>
      <c r="H440" s="39"/>
      <c r="K440" s="40"/>
      <c r="T440" s="41"/>
      <c r="AA440" s="39"/>
      <c r="AF440" s="40"/>
      <c r="AG440" s="42"/>
      <c r="AJ440" s="1"/>
    </row>
    <row r="441" spans="3:36" ht="15.75" customHeight="1">
      <c r="C441" s="48"/>
      <c r="H441" s="39"/>
      <c r="K441" s="40"/>
      <c r="T441" s="41"/>
      <c r="AA441" s="39"/>
      <c r="AF441" s="40"/>
      <c r="AG441" s="42"/>
      <c r="AJ441" s="1"/>
    </row>
    <row r="442" spans="3:36" ht="15.75" customHeight="1">
      <c r="C442" s="48"/>
      <c r="H442" s="39"/>
      <c r="K442" s="40"/>
      <c r="T442" s="41"/>
      <c r="AA442" s="39"/>
      <c r="AF442" s="40"/>
      <c r="AG442" s="42"/>
      <c r="AJ442" s="1"/>
    </row>
    <row r="443" spans="3:36" ht="15.75" customHeight="1">
      <c r="C443" s="48"/>
      <c r="H443" s="39"/>
      <c r="K443" s="40"/>
      <c r="T443" s="41"/>
      <c r="AA443" s="39"/>
      <c r="AF443" s="40"/>
      <c r="AG443" s="42"/>
      <c r="AJ443" s="1"/>
    </row>
    <row r="444" spans="3:36" ht="15.75" customHeight="1">
      <c r="C444" s="48"/>
      <c r="H444" s="39"/>
      <c r="K444" s="40"/>
      <c r="T444" s="41"/>
      <c r="AA444" s="39"/>
      <c r="AF444" s="40"/>
      <c r="AG444" s="42"/>
      <c r="AJ444" s="1"/>
    </row>
    <row r="445" spans="3:36" ht="15.75" customHeight="1">
      <c r="C445" s="48"/>
      <c r="H445" s="39"/>
      <c r="K445" s="40"/>
      <c r="T445" s="41"/>
      <c r="AA445" s="39"/>
      <c r="AF445" s="40"/>
      <c r="AG445" s="42"/>
      <c r="AJ445" s="1"/>
    </row>
    <row r="446" spans="3:36" ht="15.75" customHeight="1">
      <c r="C446" s="48"/>
      <c r="H446" s="39"/>
      <c r="K446" s="40"/>
      <c r="T446" s="41"/>
      <c r="AA446" s="39"/>
      <c r="AF446" s="40"/>
      <c r="AG446" s="42"/>
      <c r="AJ446" s="1"/>
    </row>
    <row r="447" spans="3:36" ht="15.75" customHeight="1">
      <c r="C447" s="48"/>
      <c r="H447" s="39"/>
      <c r="K447" s="40"/>
      <c r="T447" s="41"/>
      <c r="AA447" s="39"/>
      <c r="AF447" s="40"/>
      <c r="AG447" s="42"/>
      <c r="AJ447" s="1"/>
    </row>
    <row r="448" spans="3:36" ht="15.75" customHeight="1">
      <c r="C448" s="48"/>
      <c r="H448" s="39"/>
      <c r="K448" s="40"/>
      <c r="T448" s="41"/>
      <c r="AA448" s="39"/>
      <c r="AF448" s="40"/>
      <c r="AG448" s="42"/>
      <c r="AJ448" s="1"/>
    </row>
    <row r="449" spans="3:36" ht="15.75" customHeight="1">
      <c r="C449" s="48"/>
      <c r="H449" s="39"/>
      <c r="K449" s="40"/>
      <c r="T449" s="41"/>
      <c r="AA449" s="39"/>
      <c r="AF449" s="40"/>
      <c r="AG449" s="42"/>
      <c r="AJ449" s="1"/>
    </row>
    <row r="450" spans="3:36" ht="15.75" customHeight="1">
      <c r="C450" s="48"/>
      <c r="H450" s="39"/>
      <c r="K450" s="40"/>
      <c r="T450" s="41"/>
      <c r="AA450" s="39"/>
      <c r="AF450" s="40"/>
      <c r="AG450" s="42"/>
      <c r="AJ450" s="1"/>
    </row>
    <row r="451" spans="3:36" ht="15.75" customHeight="1">
      <c r="C451" s="48"/>
      <c r="H451" s="39"/>
      <c r="K451" s="40"/>
      <c r="T451" s="41"/>
      <c r="AA451" s="39"/>
      <c r="AF451" s="40"/>
      <c r="AG451" s="42"/>
      <c r="AJ451" s="1"/>
    </row>
    <row r="452" spans="3:36" ht="15.75" customHeight="1">
      <c r="C452" s="48"/>
      <c r="H452" s="39"/>
      <c r="K452" s="40"/>
      <c r="T452" s="41"/>
      <c r="AA452" s="39"/>
      <c r="AF452" s="40"/>
      <c r="AG452" s="42"/>
      <c r="AJ452" s="1"/>
    </row>
    <row r="453" spans="3:36" ht="15.75" customHeight="1">
      <c r="C453" s="48"/>
      <c r="H453" s="39"/>
      <c r="K453" s="40"/>
      <c r="T453" s="41"/>
      <c r="AA453" s="39"/>
      <c r="AF453" s="40"/>
      <c r="AG453" s="42"/>
      <c r="AJ453" s="1"/>
    </row>
    <row r="454" spans="3:36" ht="15.75" customHeight="1">
      <c r="C454" s="48"/>
      <c r="H454" s="39"/>
      <c r="K454" s="40"/>
      <c r="T454" s="41"/>
      <c r="AA454" s="39"/>
      <c r="AF454" s="40"/>
      <c r="AG454" s="42"/>
      <c r="AJ454" s="1"/>
    </row>
    <row r="455" spans="3:36" ht="15.75" customHeight="1">
      <c r="C455" s="48"/>
      <c r="H455" s="39"/>
      <c r="K455" s="40"/>
      <c r="T455" s="41"/>
      <c r="AA455" s="39"/>
      <c r="AF455" s="40"/>
      <c r="AG455" s="42"/>
      <c r="AJ455" s="1"/>
    </row>
    <row r="456" spans="3:36" ht="15.75" customHeight="1">
      <c r="C456" s="48"/>
      <c r="H456" s="39"/>
      <c r="K456" s="40"/>
      <c r="T456" s="41"/>
      <c r="AA456" s="39"/>
      <c r="AF456" s="40"/>
      <c r="AG456" s="42"/>
      <c r="AJ456" s="1"/>
    </row>
    <row r="457" spans="3:36" ht="15.75" customHeight="1">
      <c r="C457" s="48"/>
      <c r="H457" s="39"/>
      <c r="K457" s="40"/>
      <c r="T457" s="41"/>
      <c r="AA457" s="39"/>
      <c r="AF457" s="40"/>
      <c r="AG457" s="42"/>
      <c r="AJ457" s="1"/>
    </row>
    <row r="458" spans="3:36" ht="15.75" customHeight="1">
      <c r="C458" s="48"/>
      <c r="H458" s="39"/>
      <c r="K458" s="40"/>
      <c r="T458" s="41"/>
      <c r="AA458" s="39"/>
      <c r="AF458" s="40"/>
      <c r="AG458" s="42"/>
      <c r="AJ458" s="1"/>
    </row>
    <row r="459" spans="3:36" ht="15.75" customHeight="1">
      <c r="C459" s="48"/>
      <c r="H459" s="39"/>
      <c r="K459" s="40"/>
      <c r="T459" s="41"/>
      <c r="AA459" s="39"/>
      <c r="AF459" s="40"/>
      <c r="AG459" s="42"/>
      <c r="AJ459" s="1"/>
    </row>
    <row r="460" spans="3:36" ht="15.75" customHeight="1">
      <c r="C460" s="48"/>
      <c r="H460" s="39"/>
      <c r="K460" s="40"/>
      <c r="T460" s="41"/>
      <c r="AA460" s="39"/>
      <c r="AF460" s="40"/>
      <c r="AG460" s="42"/>
      <c r="AJ460" s="1"/>
    </row>
    <row r="461" spans="3:36" ht="15.75" customHeight="1">
      <c r="C461" s="48"/>
      <c r="H461" s="39"/>
      <c r="K461" s="40"/>
      <c r="T461" s="41"/>
      <c r="AA461" s="39"/>
      <c r="AF461" s="40"/>
      <c r="AG461" s="42"/>
      <c r="AJ461" s="1"/>
    </row>
    <row r="462" spans="3:36" ht="15.75" customHeight="1">
      <c r="C462" s="48"/>
      <c r="H462" s="39"/>
      <c r="K462" s="40"/>
      <c r="T462" s="41"/>
      <c r="AA462" s="39"/>
      <c r="AF462" s="40"/>
      <c r="AG462" s="42"/>
      <c r="AJ462" s="1"/>
    </row>
    <row r="463" spans="3:36" ht="15.75" customHeight="1">
      <c r="C463" s="48"/>
      <c r="H463" s="39"/>
      <c r="K463" s="40"/>
      <c r="T463" s="41"/>
      <c r="AA463" s="39"/>
      <c r="AF463" s="40"/>
      <c r="AG463" s="42"/>
      <c r="AJ463" s="1"/>
    </row>
    <row r="464" spans="3:36" ht="15.75" customHeight="1">
      <c r="C464" s="48"/>
      <c r="H464" s="39"/>
      <c r="K464" s="40"/>
      <c r="T464" s="41"/>
      <c r="AA464" s="39"/>
      <c r="AF464" s="40"/>
      <c r="AG464" s="42"/>
      <c r="AJ464" s="1"/>
    </row>
    <row r="465" spans="3:36" ht="15.75" customHeight="1">
      <c r="C465" s="48"/>
      <c r="H465" s="39"/>
      <c r="K465" s="40"/>
      <c r="T465" s="41"/>
      <c r="AA465" s="39"/>
      <c r="AF465" s="40"/>
      <c r="AG465" s="42"/>
      <c r="AJ465" s="1"/>
    </row>
    <row r="466" spans="3:36" ht="15.75" customHeight="1">
      <c r="C466" s="48"/>
      <c r="H466" s="39"/>
      <c r="K466" s="40"/>
      <c r="T466" s="41"/>
      <c r="AA466" s="39"/>
      <c r="AF466" s="40"/>
      <c r="AG466" s="42"/>
      <c r="AJ466" s="1"/>
    </row>
    <row r="467" spans="3:36" ht="15.75" customHeight="1">
      <c r="C467" s="48"/>
      <c r="H467" s="39"/>
      <c r="K467" s="40"/>
      <c r="T467" s="41"/>
      <c r="AA467" s="39"/>
      <c r="AF467" s="40"/>
      <c r="AG467" s="42"/>
      <c r="AJ467" s="1"/>
    </row>
    <row r="468" spans="3:36" ht="15.75" customHeight="1">
      <c r="C468" s="48"/>
      <c r="H468" s="39"/>
      <c r="K468" s="40"/>
      <c r="T468" s="41"/>
      <c r="AA468" s="39"/>
      <c r="AF468" s="40"/>
      <c r="AG468" s="42"/>
      <c r="AJ468" s="1"/>
    </row>
    <row r="469" spans="3:36" ht="15.75" customHeight="1">
      <c r="C469" s="48"/>
      <c r="H469" s="39"/>
      <c r="K469" s="40"/>
      <c r="T469" s="41"/>
      <c r="AA469" s="39"/>
      <c r="AF469" s="40"/>
      <c r="AG469" s="42"/>
      <c r="AJ469" s="1"/>
    </row>
    <row r="470" spans="3:36" ht="15.75" customHeight="1">
      <c r="C470" s="48"/>
      <c r="H470" s="39"/>
      <c r="K470" s="40"/>
      <c r="T470" s="41"/>
      <c r="AA470" s="39"/>
      <c r="AF470" s="40"/>
      <c r="AG470" s="42"/>
      <c r="AJ470" s="1"/>
    </row>
    <row r="471" spans="3:36" ht="15.75" customHeight="1">
      <c r="C471" s="48"/>
      <c r="H471" s="39"/>
      <c r="K471" s="40"/>
      <c r="T471" s="41"/>
      <c r="AA471" s="39"/>
      <c r="AF471" s="40"/>
      <c r="AG471" s="42"/>
      <c r="AJ471" s="1"/>
    </row>
    <row r="472" spans="3:36" ht="15.75" customHeight="1">
      <c r="C472" s="48"/>
      <c r="H472" s="39"/>
      <c r="K472" s="40"/>
      <c r="T472" s="41"/>
      <c r="AA472" s="39"/>
      <c r="AF472" s="40"/>
      <c r="AG472" s="42"/>
      <c r="AJ472" s="1"/>
    </row>
    <row r="473" spans="3:36" ht="15.75" customHeight="1">
      <c r="C473" s="48"/>
      <c r="H473" s="39"/>
      <c r="K473" s="40"/>
      <c r="T473" s="41"/>
      <c r="AA473" s="39"/>
      <c r="AF473" s="40"/>
      <c r="AG473" s="42"/>
      <c r="AJ473" s="1"/>
    </row>
    <row r="474" spans="3:36" ht="15.75" customHeight="1">
      <c r="C474" s="48"/>
      <c r="H474" s="39"/>
      <c r="K474" s="40"/>
      <c r="T474" s="41"/>
      <c r="AA474" s="39"/>
      <c r="AF474" s="40"/>
      <c r="AG474" s="42"/>
      <c r="AJ474" s="1"/>
    </row>
    <row r="475" spans="3:36" ht="15.75" customHeight="1">
      <c r="C475" s="48"/>
      <c r="H475" s="39"/>
      <c r="K475" s="40"/>
      <c r="T475" s="41"/>
      <c r="AA475" s="39"/>
      <c r="AF475" s="40"/>
      <c r="AG475" s="42"/>
      <c r="AJ475" s="1"/>
    </row>
    <row r="476" spans="3:36" ht="15.75" customHeight="1">
      <c r="C476" s="48"/>
      <c r="H476" s="39"/>
      <c r="K476" s="40"/>
      <c r="T476" s="41"/>
      <c r="AA476" s="39"/>
      <c r="AF476" s="40"/>
      <c r="AG476" s="42"/>
      <c r="AJ476" s="1"/>
    </row>
    <row r="477" spans="3:36" ht="15.75" customHeight="1">
      <c r="C477" s="48"/>
      <c r="H477" s="39"/>
      <c r="K477" s="40"/>
      <c r="T477" s="41"/>
      <c r="AA477" s="39"/>
      <c r="AF477" s="40"/>
      <c r="AG477" s="42"/>
      <c r="AJ477" s="1"/>
    </row>
    <row r="478" spans="3:36" ht="15.75" customHeight="1">
      <c r="C478" s="48"/>
      <c r="H478" s="39"/>
      <c r="K478" s="40"/>
      <c r="T478" s="41"/>
      <c r="AA478" s="39"/>
      <c r="AF478" s="40"/>
      <c r="AG478" s="42"/>
      <c r="AJ478" s="1"/>
    </row>
    <row r="479" spans="3:36" ht="15.75" customHeight="1">
      <c r="C479" s="48"/>
      <c r="H479" s="39"/>
      <c r="K479" s="40"/>
      <c r="T479" s="41"/>
      <c r="AA479" s="39"/>
      <c r="AF479" s="40"/>
      <c r="AG479" s="42"/>
      <c r="AJ479" s="1"/>
    </row>
    <row r="480" spans="3:36" ht="15.75" customHeight="1">
      <c r="C480" s="48"/>
      <c r="H480" s="39"/>
      <c r="K480" s="40"/>
      <c r="T480" s="41"/>
      <c r="AA480" s="39"/>
      <c r="AF480" s="40"/>
      <c r="AG480" s="42"/>
      <c r="AJ480" s="1"/>
    </row>
    <row r="481" spans="3:36" ht="15.75" customHeight="1">
      <c r="C481" s="48"/>
      <c r="H481" s="39"/>
      <c r="K481" s="40"/>
      <c r="T481" s="41"/>
      <c r="AA481" s="39"/>
      <c r="AF481" s="40"/>
      <c r="AG481" s="42"/>
      <c r="AJ481" s="1"/>
    </row>
    <row r="482" spans="3:36" ht="15.75" customHeight="1">
      <c r="C482" s="48"/>
      <c r="H482" s="39"/>
      <c r="K482" s="40"/>
      <c r="T482" s="41"/>
      <c r="AA482" s="39"/>
      <c r="AF482" s="40"/>
      <c r="AG482" s="42"/>
      <c r="AJ482" s="1"/>
    </row>
    <row r="483" spans="3:36" ht="15.75" customHeight="1">
      <c r="C483" s="48"/>
      <c r="H483" s="39"/>
      <c r="K483" s="40"/>
      <c r="T483" s="41"/>
      <c r="AA483" s="39"/>
      <c r="AF483" s="40"/>
      <c r="AG483" s="42"/>
      <c r="AJ483" s="1"/>
    </row>
    <row r="484" spans="3:36" ht="15.75" customHeight="1">
      <c r="C484" s="48"/>
      <c r="H484" s="39"/>
      <c r="K484" s="40"/>
      <c r="T484" s="41"/>
      <c r="AA484" s="39"/>
      <c r="AF484" s="40"/>
      <c r="AG484" s="42"/>
      <c r="AJ484" s="1"/>
    </row>
    <row r="485" spans="3:36" ht="15.75" customHeight="1">
      <c r="C485" s="48"/>
      <c r="H485" s="39"/>
      <c r="K485" s="40"/>
      <c r="T485" s="41"/>
      <c r="AA485" s="39"/>
      <c r="AF485" s="40"/>
      <c r="AG485" s="42"/>
      <c r="AJ485" s="1"/>
    </row>
    <row r="486" spans="3:36" ht="15.75" customHeight="1">
      <c r="C486" s="48"/>
      <c r="H486" s="39"/>
      <c r="K486" s="40"/>
      <c r="T486" s="41"/>
      <c r="AA486" s="39"/>
      <c r="AF486" s="40"/>
      <c r="AG486" s="42"/>
      <c r="AJ486" s="1"/>
    </row>
    <row r="487" spans="3:36" ht="15.75" customHeight="1">
      <c r="C487" s="48"/>
      <c r="H487" s="39"/>
      <c r="K487" s="40"/>
      <c r="T487" s="41"/>
      <c r="AA487" s="39"/>
      <c r="AF487" s="40"/>
      <c r="AG487" s="42"/>
      <c r="AJ487" s="1"/>
    </row>
    <row r="488" spans="3:36" ht="15.75" customHeight="1">
      <c r="C488" s="48"/>
      <c r="H488" s="39"/>
      <c r="K488" s="40"/>
      <c r="T488" s="41"/>
      <c r="AA488" s="39"/>
      <c r="AF488" s="40"/>
      <c r="AG488" s="42"/>
      <c r="AJ488" s="1"/>
    </row>
    <row r="489" spans="3:36" ht="15.75" customHeight="1">
      <c r="C489" s="48"/>
      <c r="H489" s="39"/>
      <c r="K489" s="40"/>
      <c r="T489" s="41"/>
      <c r="AA489" s="39"/>
      <c r="AF489" s="40"/>
      <c r="AG489" s="42"/>
      <c r="AJ489" s="1"/>
    </row>
    <row r="490" spans="3:36" ht="15.75" customHeight="1">
      <c r="C490" s="48"/>
      <c r="H490" s="39"/>
      <c r="K490" s="40"/>
      <c r="T490" s="41"/>
      <c r="AA490" s="39"/>
      <c r="AF490" s="40"/>
      <c r="AG490" s="42"/>
      <c r="AJ490" s="1"/>
    </row>
    <row r="491" spans="3:36" ht="15.75" customHeight="1">
      <c r="C491" s="48"/>
      <c r="H491" s="39"/>
      <c r="K491" s="40"/>
      <c r="T491" s="41"/>
      <c r="AA491" s="39"/>
      <c r="AF491" s="40"/>
      <c r="AG491" s="42"/>
      <c r="AJ491" s="1"/>
    </row>
    <row r="492" spans="3:36" ht="15.75" customHeight="1">
      <c r="C492" s="48"/>
      <c r="H492" s="39"/>
      <c r="K492" s="40"/>
      <c r="T492" s="41"/>
      <c r="AA492" s="39"/>
      <c r="AF492" s="40"/>
      <c r="AG492" s="42"/>
      <c r="AJ492" s="1"/>
    </row>
    <row r="493" spans="3:36" ht="15.75" customHeight="1">
      <c r="C493" s="48"/>
      <c r="H493" s="39"/>
      <c r="K493" s="40"/>
      <c r="T493" s="41"/>
      <c r="AA493" s="39"/>
      <c r="AF493" s="40"/>
      <c r="AG493" s="42"/>
      <c r="AJ493" s="1"/>
    </row>
    <row r="494" spans="3:36" ht="15.75" customHeight="1">
      <c r="C494" s="48"/>
      <c r="H494" s="39"/>
      <c r="K494" s="40"/>
      <c r="T494" s="41"/>
      <c r="AA494" s="39"/>
      <c r="AF494" s="40"/>
      <c r="AG494" s="42"/>
      <c r="AJ494" s="1"/>
    </row>
    <row r="495" spans="3:36" ht="15.75" customHeight="1">
      <c r="C495" s="48"/>
      <c r="H495" s="39"/>
      <c r="K495" s="40"/>
      <c r="T495" s="41"/>
      <c r="AA495" s="39"/>
      <c r="AF495" s="40"/>
      <c r="AG495" s="42"/>
      <c r="AJ495" s="1"/>
    </row>
    <row r="496" spans="3:36" ht="15.75" customHeight="1">
      <c r="C496" s="48"/>
      <c r="H496" s="39"/>
      <c r="K496" s="40"/>
      <c r="T496" s="41"/>
      <c r="AA496" s="39"/>
      <c r="AF496" s="40"/>
      <c r="AG496" s="42"/>
      <c r="AJ496" s="1"/>
    </row>
    <row r="497" spans="3:36" ht="15.75" customHeight="1">
      <c r="C497" s="48"/>
      <c r="H497" s="39"/>
      <c r="K497" s="40"/>
      <c r="T497" s="41"/>
      <c r="AA497" s="39"/>
      <c r="AF497" s="40"/>
      <c r="AG497" s="42"/>
      <c r="AJ497" s="1"/>
    </row>
    <row r="498" spans="3:36" ht="15.75" customHeight="1">
      <c r="C498" s="48"/>
      <c r="H498" s="39"/>
      <c r="K498" s="40"/>
      <c r="T498" s="41"/>
      <c r="AA498" s="39"/>
      <c r="AF498" s="40"/>
      <c r="AG498" s="42"/>
      <c r="AJ498" s="1"/>
    </row>
    <row r="499" spans="3:36" ht="15.75" customHeight="1">
      <c r="C499" s="48"/>
      <c r="H499" s="39"/>
      <c r="K499" s="40"/>
      <c r="T499" s="41"/>
      <c r="AA499" s="39"/>
      <c r="AF499" s="40"/>
      <c r="AG499" s="42"/>
      <c r="AJ499" s="1"/>
    </row>
    <row r="500" spans="3:36" ht="15.75" customHeight="1">
      <c r="C500" s="48"/>
      <c r="H500" s="39"/>
      <c r="K500" s="40"/>
      <c r="T500" s="41"/>
      <c r="AA500" s="39"/>
      <c r="AF500" s="40"/>
      <c r="AG500" s="42"/>
      <c r="AJ500" s="1"/>
    </row>
    <row r="501" spans="3:36" ht="15.75" customHeight="1">
      <c r="C501" s="48"/>
      <c r="H501" s="39"/>
      <c r="K501" s="40"/>
      <c r="T501" s="41"/>
      <c r="AA501" s="39"/>
      <c r="AF501" s="40"/>
      <c r="AG501" s="42"/>
      <c r="AJ501" s="1"/>
    </row>
    <row r="502" spans="3:36" ht="15.75" customHeight="1">
      <c r="C502" s="48"/>
      <c r="H502" s="39"/>
      <c r="K502" s="40"/>
      <c r="T502" s="41"/>
      <c r="AA502" s="39"/>
      <c r="AF502" s="40"/>
      <c r="AG502" s="42"/>
      <c r="AJ502" s="1"/>
    </row>
    <row r="503" spans="3:36" ht="15.75" customHeight="1">
      <c r="C503" s="48"/>
      <c r="H503" s="39"/>
      <c r="K503" s="40"/>
      <c r="T503" s="41"/>
      <c r="AA503" s="39"/>
      <c r="AF503" s="40"/>
      <c r="AG503" s="42"/>
      <c r="AJ503" s="1"/>
    </row>
    <row r="504" spans="3:36" ht="15.75" customHeight="1">
      <c r="C504" s="48"/>
      <c r="H504" s="39"/>
      <c r="K504" s="40"/>
      <c r="T504" s="41"/>
      <c r="AA504" s="39"/>
      <c r="AF504" s="40"/>
      <c r="AG504" s="42"/>
      <c r="AJ504" s="1"/>
    </row>
    <row r="505" spans="3:36" ht="15.75" customHeight="1">
      <c r="C505" s="48"/>
      <c r="H505" s="39"/>
      <c r="K505" s="40"/>
      <c r="T505" s="41"/>
      <c r="AA505" s="39"/>
      <c r="AF505" s="40"/>
      <c r="AG505" s="42"/>
      <c r="AJ505" s="1"/>
    </row>
    <row r="506" spans="3:36" ht="15.75" customHeight="1">
      <c r="C506" s="48"/>
      <c r="H506" s="39"/>
      <c r="K506" s="40"/>
      <c r="T506" s="41"/>
      <c r="AA506" s="39"/>
      <c r="AF506" s="40"/>
      <c r="AG506" s="42"/>
      <c r="AJ506" s="1"/>
    </row>
    <row r="507" spans="3:36" ht="15.75" customHeight="1">
      <c r="C507" s="48"/>
      <c r="H507" s="39"/>
      <c r="K507" s="40"/>
      <c r="T507" s="41"/>
      <c r="AA507" s="39"/>
      <c r="AF507" s="40"/>
      <c r="AG507" s="42"/>
      <c r="AJ507" s="1"/>
    </row>
    <row r="508" spans="3:36" ht="15.75" customHeight="1">
      <c r="C508" s="48"/>
      <c r="H508" s="39"/>
      <c r="K508" s="40"/>
      <c r="T508" s="41"/>
      <c r="AA508" s="39"/>
      <c r="AF508" s="40"/>
      <c r="AG508" s="42"/>
      <c r="AJ508" s="1"/>
    </row>
    <row r="509" spans="3:36" ht="15.75" customHeight="1">
      <c r="C509" s="48"/>
      <c r="H509" s="39"/>
      <c r="K509" s="40"/>
      <c r="T509" s="41"/>
      <c r="AA509" s="39"/>
      <c r="AF509" s="40"/>
      <c r="AG509" s="42"/>
      <c r="AJ509" s="1"/>
    </row>
    <row r="510" spans="3:36" ht="15.75" customHeight="1">
      <c r="C510" s="48"/>
      <c r="H510" s="39"/>
      <c r="K510" s="40"/>
      <c r="T510" s="41"/>
      <c r="AA510" s="39"/>
      <c r="AF510" s="40"/>
      <c r="AG510" s="42"/>
      <c r="AJ510" s="1"/>
    </row>
    <row r="511" spans="3:36" ht="15.75" customHeight="1">
      <c r="C511" s="48"/>
      <c r="H511" s="39"/>
      <c r="K511" s="40"/>
      <c r="T511" s="41"/>
      <c r="AA511" s="39"/>
      <c r="AF511" s="40"/>
      <c r="AG511" s="42"/>
      <c r="AJ511" s="1"/>
    </row>
    <row r="512" spans="3:36" ht="15.75" customHeight="1">
      <c r="C512" s="48"/>
      <c r="H512" s="39"/>
      <c r="K512" s="40"/>
      <c r="T512" s="41"/>
      <c r="AA512" s="39"/>
      <c r="AF512" s="40"/>
      <c r="AG512" s="42"/>
      <c r="AJ512" s="1"/>
    </row>
    <row r="513" spans="3:36" ht="15.75" customHeight="1">
      <c r="C513" s="48"/>
      <c r="H513" s="39"/>
      <c r="K513" s="40"/>
      <c r="T513" s="41"/>
      <c r="AA513" s="39"/>
      <c r="AF513" s="40"/>
      <c r="AG513" s="42"/>
      <c r="AJ513" s="1"/>
    </row>
    <row r="514" spans="3:36" ht="15.75" customHeight="1">
      <c r="C514" s="48"/>
      <c r="H514" s="39"/>
      <c r="K514" s="40"/>
      <c r="T514" s="41"/>
      <c r="AA514" s="39"/>
      <c r="AF514" s="40"/>
      <c r="AG514" s="42"/>
      <c r="AJ514" s="1"/>
    </row>
    <row r="515" spans="3:36" ht="15.75" customHeight="1">
      <c r="C515" s="48"/>
      <c r="H515" s="39"/>
      <c r="K515" s="40"/>
      <c r="T515" s="41"/>
      <c r="AA515" s="39"/>
      <c r="AF515" s="40"/>
      <c r="AG515" s="42"/>
      <c r="AJ515" s="1"/>
    </row>
    <row r="516" spans="3:36" ht="15.75" customHeight="1">
      <c r="C516" s="48"/>
      <c r="H516" s="39"/>
      <c r="K516" s="40"/>
      <c r="T516" s="41"/>
      <c r="AA516" s="39"/>
      <c r="AF516" s="40"/>
      <c r="AG516" s="42"/>
      <c r="AJ516" s="1"/>
    </row>
    <row r="517" spans="3:36" ht="15.75" customHeight="1">
      <c r="C517" s="48"/>
      <c r="H517" s="39"/>
      <c r="K517" s="40"/>
      <c r="T517" s="41"/>
      <c r="AA517" s="39"/>
      <c r="AF517" s="40"/>
      <c r="AG517" s="42"/>
      <c r="AJ517" s="1"/>
    </row>
    <row r="518" spans="3:36" ht="15.75" customHeight="1">
      <c r="C518" s="48"/>
      <c r="H518" s="39"/>
      <c r="K518" s="40"/>
      <c r="T518" s="41"/>
      <c r="AA518" s="39"/>
      <c r="AF518" s="40"/>
      <c r="AG518" s="42"/>
      <c r="AJ518" s="1"/>
    </row>
    <row r="519" spans="3:36" ht="15.75" customHeight="1">
      <c r="C519" s="48"/>
      <c r="H519" s="39"/>
      <c r="K519" s="40"/>
      <c r="T519" s="41"/>
      <c r="AA519" s="39"/>
      <c r="AF519" s="40"/>
      <c r="AG519" s="42"/>
      <c r="AJ519" s="1"/>
    </row>
    <row r="520" spans="3:36" ht="15.75" customHeight="1">
      <c r="C520" s="48"/>
      <c r="H520" s="39"/>
      <c r="K520" s="40"/>
      <c r="T520" s="41"/>
      <c r="AA520" s="39"/>
      <c r="AF520" s="40"/>
      <c r="AG520" s="42"/>
      <c r="AJ520" s="1"/>
    </row>
    <row r="521" spans="3:36" ht="15.75" customHeight="1">
      <c r="C521" s="48"/>
      <c r="H521" s="39"/>
      <c r="K521" s="40"/>
      <c r="T521" s="41"/>
      <c r="AA521" s="39"/>
      <c r="AF521" s="40"/>
      <c r="AG521" s="42"/>
      <c r="AJ521" s="1"/>
    </row>
    <row r="522" spans="3:36" ht="15.75" customHeight="1">
      <c r="C522" s="48"/>
      <c r="H522" s="39"/>
      <c r="K522" s="40"/>
      <c r="T522" s="41"/>
      <c r="AA522" s="39"/>
      <c r="AF522" s="40"/>
      <c r="AG522" s="42"/>
      <c r="AJ522" s="1"/>
    </row>
    <row r="523" spans="3:36" ht="15.75" customHeight="1">
      <c r="C523" s="48"/>
      <c r="H523" s="39"/>
      <c r="K523" s="40"/>
      <c r="T523" s="41"/>
      <c r="AA523" s="39"/>
      <c r="AF523" s="40"/>
      <c r="AG523" s="42"/>
      <c r="AJ523" s="1"/>
    </row>
    <row r="524" spans="3:36" ht="15.75" customHeight="1">
      <c r="C524" s="48"/>
      <c r="H524" s="39"/>
      <c r="K524" s="40"/>
      <c r="T524" s="41"/>
      <c r="AA524" s="39"/>
      <c r="AF524" s="40"/>
      <c r="AG524" s="42"/>
      <c r="AJ524" s="1"/>
    </row>
    <row r="525" spans="3:36" ht="15.75" customHeight="1">
      <c r="C525" s="48"/>
      <c r="H525" s="39"/>
      <c r="K525" s="40"/>
      <c r="T525" s="41"/>
      <c r="AA525" s="39"/>
      <c r="AF525" s="40"/>
      <c r="AG525" s="42"/>
      <c r="AJ525" s="1"/>
    </row>
    <row r="526" spans="3:36" ht="15.75" customHeight="1">
      <c r="C526" s="48"/>
      <c r="H526" s="39"/>
      <c r="K526" s="40"/>
      <c r="T526" s="41"/>
      <c r="AA526" s="39"/>
      <c r="AF526" s="40"/>
      <c r="AG526" s="42"/>
      <c r="AJ526" s="1"/>
    </row>
    <row r="527" spans="3:36" ht="15.75" customHeight="1">
      <c r="C527" s="48"/>
      <c r="H527" s="39"/>
      <c r="K527" s="40"/>
      <c r="T527" s="41"/>
      <c r="AA527" s="39"/>
      <c r="AF527" s="40"/>
      <c r="AG527" s="42"/>
      <c r="AJ527" s="1"/>
    </row>
    <row r="528" spans="3:36" ht="15.75" customHeight="1">
      <c r="C528" s="48"/>
      <c r="H528" s="39"/>
      <c r="K528" s="40"/>
      <c r="T528" s="41"/>
      <c r="AA528" s="39"/>
      <c r="AF528" s="40"/>
      <c r="AG528" s="42"/>
      <c r="AJ528" s="1"/>
    </row>
    <row r="529" spans="3:36" ht="15.75" customHeight="1">
      <c r="C529" s="48"/>
      <c r="H529" s="39"/>
      <c r="K529" s="40"/>
      <c r="T529" s="41"/>
      <c r="AA529" s="39"/>
      <c r="AF529" s="40"/>
      <c r="AG529" s="42"/>
      <c r="AJ529" s="1"/>
    </row>
    <row r="530" spans="3:36" ht="15.75" customHeight="1">
      <c r="C530" s="48"/>
      <c r="H530" s="39"/>
      <c r="K530" s="40"/>
      <c r="T530" s="41"/>
      <c r="AA530" s="39"/>
      <c r="AF530" s="40"/>
      <c r="AG530" s="42"/>
      <c r="AJ530" s="1"/>
    </row>
    <row r="531" spans="3:36" ht="15.75" customHeight="1">
      <c r="C531" s="48"/>
      <c r="H531" s="39"/>
      <c r="K531" s="40"/>
      <c r="T531" s="41"/>
      <c r="AA531" s="39"/>
      <c r="AF531" s="40"/>
      <c r="AG531" s="42"/>
      <c r="AJ531" s="1"/>
    </row>
    <row r="532" spans="3:36" ht="15.75" customHeight="1">
      <c r="C532" s="48"/>
      <c r="H532" s="39"/>
      <c r="K532" s="40"/>
      <c r="T532" s="41"/>
      <c r="AA532" s="39"/>
      <c r="AF532" s="40"/>
      <c r="AG532" s="42"/>
      <c r="AJ532" s="1"/>
    </row>
    <row r="533" spans="3:36" ht="15.75" customHeight="1">
      <c r="C533" s="48"/>
      <c r="H533" s="39"/>
      <c r="K533" s="40"/>
      <c r="T533" s="41"/>
      <c r="AA533" s="39"/>
      <c r="AF533" s="40"/>
      <c r="AG533" s="42"/>
      <c r="AJ533" s="1"/>
    </row>
    <row r="534" spans="3:36" ht="15.75" customHeight="1">
      <c r="C534" s="48"/>
      <c r="H534" s="39"/>
      <c r="K534" s="40"/>
      <c r="T534" s="41"/>
      <c r="AA534" s="39"/>
      <c r="AF534" s="40"/>
      <c r="AG534" s="42"/>
      <c r="AJ534" s="1"/>
    </row>
    <row r="535" spans="3:36" ht="15.75" customHeight="1">
      <c r="C535" s="48"/>
      <c r="H535" s="39"/>
      <c r="K535" s="40"/>
      <c r="T535" s="41"/>
      <c r="AA535" s="39"/>
      <c r="AF535" s="40"/>
      <c r="AG535" s="42"/>
      <c r="AJ535" s="1"/>
    </row>
    <row r="536" spans="3:36" ht="15.75" customHeight="1">
      <c r="C536" s="48"/>
      <c r="H536" s="39"/>
      <c r="K536" s="40"/>
      <c r="T536" s="41"/>
      <c r="AA536" s="39"/>
      <c r="AF536" s="40"/>
      <c r="AG536" s="42"/>
      <c r="AJ536" s="1"/>
    </row>
    <row r="537" spans="3:36" ht="15.75" customHeight="1">
      <c r="C537" s="48"/>
      <c r="H537" s="39"/>
      <c r="K537" s="40"/>
      <c r="T537" s="41"/>
      <c r="AA537" s="39"/>
      <c r="AF537" s="40"/>
      <c r="AG537" s="42"/>
      <c r="AJ537" s="1"/>
    </row>
    <row r="538" spans="3:36" ht="15.75" customHeight="1">
      <c r="C538" s="48"/>
      <c r="H538" s="39"/>
      <c r="K538" s="40"/>
      <c r="T538" s="41"/>
      <c r="AA538" s="39"/>
      <c r="AF538" s="40"/>
      <c r="AG538" s="42"/>
      <c r="AJ538" s="1"/>
    </row>
    <row r="539" spans="3:36" ht="15.75" customHeight="1">
      <c r="C539" s="48"/>
      <c r="H539" s="39"/>
      <c r="K539" s="40"/>
      <c r="T539" s="41"/>
      <c r="AA539" s="39"/>
      <c r="AF539" s="40"/>
      <c r="AG539" s="42"/>
      <c r="AJ539" s="1"/>
    </row>
    <row r="540" spans="3:36" ht="15.75" customHeight="1">
      <c r="C540" s="48"/>
      <c r="H540" s="39"/>
      <c r="K540" s="40"/>
      <c r="T540" s="41"/>
      <c r="AA540" s="39"/>
      <c r="AF540" s="40"/>
      <c r="AG540" s="42"/>
      <c r="AJ540" s="1"/>
    </row>
    <row r="541" spans="3:36" ht="15.75" customHeight="1">
      <c r="C541" s="48"/>
      <c r="H541" s="39"/>
      <c r="K541" s="40"/>
      <c r="T541" s="41"/>
      <c r="AA541" s="39"/>
      <c r="AF541" s="40"/>
      <c r="AG541" s="42"/>
      <c r="AJ541" s="1"/>
    </row>
    <row r="542" spans="3:36" ht="15.75" customHeight="1">
      <c r="C542" s="48"/>
      <c r="H542" s="39"/>
      <c r="K542" s="40"/>
      <c r="T542" s="41"/>
      <c r="AA542" s="39"/>
      <c r="AF542" s="40"/>
      <c r="AG542" s="42"/>
      <c r="AJ542" s="1"/>
    </row>
    <row r="543" spans="3:36" ht="15.75" customHeight="1">
      <c r="C543" s="48"/>
      <c r="H543" s="39"/>
      <c r="K543" s="40"/>
      <c r="T543" s="41"/>
      <c r="AA543" s="39"/>
      <c r="AF543" s="40"/>
      <c r="AG543" s="42"/>
      <c r="AJ543" s="1"/>
    </row>
    <row r="544" spans="3:36" ht="15.75" customHeight="1">
      <c r="C544" s="48"/>
      <c r="H544" s="39"/>
      <c r="K544" s="40"/>
      <c r="T544" s="41"/>
      <c r="AA544" s="39"/>
      <c r="AF544" s="40"/>
      <c r="AG544" s="42"/>
      <c r="AJ544" s="1"/>
    </row>
    <row r="545" spans="3:36" ht="15.75" customHeight="1">
      <c r="C545" s="48"/>
      <c r="H545" s="39"/>
      <c r="K545" s="40"/>
      <c r="T545" s="41"/>
      <c r="AA545" s="39"/>
      <c r="AF545" s="40"/>
      <c r="AG545" s="42"/>
      <c r="AJ545" s="1"/>
    </row>
    <row r="546" spans="3:36" ht="15.75" customHeight="1">
      <c r="C546" s="48"/>
      <c r="H546" s="39"/>
      <c r="K546" s="40"/>
      <c r="T546" s="41"/>
      <c r="AA546" s="39"/>
      <c r="AF546" s="40"/>
      <c r="AG546" s="42"/>
      <c r="AJ546" s="1"/>
    </row>
    <row r="547" spans="3:36" ht="15.75" customHeight="1">
      <c r="C547" s="48"/>
      <c r="H547" s="39"/>
      <c r="K547" s="40"/>
      <c r="T547" s="41"/>
      <c r="AA547" s="39"/>
      <c r="AF547" s="40"/>
      <c r="AG547" s="42"/>
      <c r="AJ547" s="1"/>
    </row>
    <row r="548" spans="3:36" ht="15.75" customHeight="1">
      <c r="C548" s="48"/>
      <c r="H548" s="39"/>
      <c r="K548" s="40"/>
      <c r="T548" s="41"/>
      <c r="AA548" s="39"/>
      <c r="AF548" s="40"/>
      <c r="AG548" s="42"/>
      <c r="AJ548" s="1"/>
    </row>
    <row r="549" spans="3:36" ht="15.75" customHeight="1">
      <c r="C549" s="48"/>
      <c r="H549" s="39"/>
      <c r="K549" s="40"/>
      <c r="T549" s="41"/>
      <c r="AA549" s="39"/>
      <c r="AF549" s="40"/>
      <c r="AG549" s="42"/>
      <c r="AJ549" s="1"/>
    </row>
    <row r="550" spans="3:36" ht="15.75" customHeight="1">
      <c r="C550" s="48"/>
      <c r="H550" s="39"/>
      <c r="K550" s="40"/>
      <c r="T550" s="41"/>
      <c r="AA550" s="39"/>
      <c r="AF550" s="40"/>
      <c r="AG550" s="42"/>
      <c r="AJ550" s="1"/>
    </row>
    <row r="551" spans="3:36" ht="15.75" customHeight="1">
      <c r="C551" s="48"/>
      <c r="H551" s="39"/>
      <c r="K551" s="40"/>
      <c r="T551" s="41"/>
      <c r="AA551" s="39"/>
      <c r="AF551" s="40"/>
      <c r="AG551" s="42"/>
      <c r="AJ551" s="1"/>
    </row>
    <row r="552" spans="3:36" ht="15.75" customHeight="1">
      <c r="C552" s="48"/>
      <c r="H552" s="39"/>
      <c r="K552" s="40"/>
      <c r="T552" s="41"/>
      <c r="AA552" s="39"/>
      <c r="AF552" s="40"/>
      <c r="AG552" s="42"/>
      <c r="AJ552" s="1"/>
    </row>
    <row r="553" spans="3:36" ht="15.75" customHeight="1">
      <c r="C553" s="48"/>
      <c r="H553" s="39"/>
      <c r="K553" s="40"/>
      <c r="T553" s="41"/>
      <c r="AA553" s="39"/>
      <c r="AF553" s="40"/>
      <c r="AG553" s="42"/>
      <c r="AJ553" s="1"/>
    </row>
    <row r="554" spans="3:36" ht="15.75" customHeight="1">
      <c r="C554" s="48"/>
      <c r="H554" s="39"/>
      <c r="K554" s="40"/>
      <c r="T554" s="41"/>
      <c r="AA554" s="39"/>
      <c r="AF554" s="40"/>
      <c r="AG554" s="42"/>
      <c r="AJ554" s="1"/>
    </row>
    <row r="555" spans="3:36" ht="15.75" customHeight="1">
      <c r="C555" s="48"/>
      <c r="H555" s="39"/>
      <c r="K555" s="40"/>
      <c r="T555" s="41"/>
      <c r="AA555" s="39"/>
      <c r="AF555" s="40"/>
      <c r="AG555" s="42"/>
      <c r="AJ555" s="1"/>
    </row>
    <row r="556" spans="3:36" ht="15.75" customHeight="1">
      <c r="C556" s="48"/>
      <c r="H556" s="39"/>
      <c r="K556" s="40"/>
      <c r="T556" s="41"/>
      <c r="AA556" s="39"/>
      <c r="AF556" s="40"/>
      <c r="AG556" s="42"/>
      <c r="AJ556" s="1"/>
    </row>
    <row r="557" spans="3:36" ht="15.75" customHeight="1">
      <c r="C557" s="48"/>
      <c r="H557" s="39"/>
      <c r="K557" s="40"/>
      <c r="T557" s="41"/>
      <c r="AA557" s="39"/>
      <c r="AF557" s="40"/>
      <c r="AG557" s="42"/>
      <c r="AJ557" s="1"/>
    </row>
    <row r="558" spans="3:36" ht="15.75" customHeight="1">
      <c r="C558" s="48"/>
      <c r="H558" s="39"/>
      <c r="K558" s="40"/>
      <c r="T558" s="41"/>
      <c r="AA558" s="39"/>
      <c r="AF558" s="40"/>
      <c r="AG558" s="42"/>
      <c r="AJ558" s="1"/>
    </row>
    <row r="559" spans="3:36" ht="15.75" customHeight="1">
      <c r="C559" s="48"/>
      <c r="H559" s="39"/>
      <c r="K559" s="40"/>
      <c r="T559" s="41"/>
      <c r="AA559" s="39"/>
      <c r="AF559" s="40"/>
      <c r="AG559" s="42"/>
      <c r="AJ559" s="1"/>
    </row>
    <row r="560" spans="3:36" ht="15.75" customHeight="1">
      <c r="C560" s="48"/>
      <c r="H560" s="39"/>
      <c r="K560" s="40"/>
      <c r="T560" s="41"/>
      <c r="AA560" s="39"/>
      <c r="AF560" s="40"/>
      <c r="AG560" s="42"/>
      <c r="AJ560" s="1"/>
    </row>
    <row r="561" spans="3:36" ht="15.75" customHeight="1">
      <c r="C561" s="48"/>
      <c r="H561" s="39"/>
      <c r="K561" s="40"/>
      <c r="T561" s="41"/>
      <c r="AA561" s="39"/>
      <c r="AF561" s="40"/>
      <c r="AG561" s="42"/>
      <c r="AJ561" s="1"/>
    </row>
    <row r="562" spans="3:36" ht="15.75" customHeight="1">
      <c r="C562" s="48"/>
      <c r="H562" s="39"/>
      <c r="K562" s="40"/>
      <c r="T562" s="41"/>
      <c r="AA562" s="39"/>
      <c r="AF562" s="40"/>
      <c r="AG562" s="42"/>
      <c r="AJ562" s="1"/>
    </row>
    <row r="563" spans="3:36" ht="15.75" customHeight="1">
      <c r="C563" s="48"/>
      <c r="H563" s="39"/>
      <c r="K563" s="40"/>
      <c r="T563" s="41"/>
      <c r="AA563" s="39"/>
      <c r="AF563" s="40"/>
      <c r="AG563" s="42"/>
      <c r="AJ563" s="1"/>
    </row>
    <row r="564" spans="3:36" ht="15.75" customHeight="1">
      <c r="C564" s="48"/>
      <c r="H564" s="39"/>
      <c r="K564" s="40"/>
      <c r="T564" s="41"/>
      <c r="AA564" s="39"/>
      <c r="AF564" s="40"/>
      <c r="AG564" s="42"/>
      <c r="AJ564" s="1"/>
    </row>
    <row r="565" spans="3:36" ht="15.75" customHeight="1">
      <c r="C565" s="48"/>
      <c r="H565" s="39"/>
      <c r="K565" s="40"/>
      <c r="T565" s="41"/>
      <c r="AA565" s="39"/>
      <c r="AF565" s="40"/>
      <c r="AG565" s="42"/>
      <c r="AJ565" s="1"/>
    </row>
    <row r="566" spans="3:36" ht="15.75" customHeight="1">
      <c r="C566" s="48"/>
      <c r="H566" s="39"/>
      <c r="K566" s="40"/>
      <c r="T566" s="41"/>
      <c r="AA566" s="39"/>
      <c r="AF566" s="40"/>
      <c r="AG566" s="42"/>
      <c r="AJ566" s="1"/>
    </row>
    <row r="567" spans="3:36" ht="15.75" customHeight="1">
      <c r="C567" s="48"/>
      <c r="H567" s="39"/>
      <c r="K567" s="40"/>
      <c r="T567" s="41"/>
      <c r="AA567" s="39"/>
      <c r="AF567" s="40"/>
      <c r="AG567" s="42"/>
      <c r="AJ567" s="1"/>
    </row>
    <row r="568" spans="3:36" ht="15.75" customHeight="1">
      <c r="C568" s="48"/>
      <c r="H568" s="39"/>
      <c r="K568" s="40"/>
      <c r="T568" s="41"/>
      <c r="AA568" s="39"/>
      <c r="AF568" s="40"/>
      <c r="AG568" s="42"/>
      <c r="AJ568" s="1"/>
    </row>
    <row r="569" spans="3:36" ht="15.75" customHeight="1">
      <c r="C569" s="48"/>
      <c r="H569" s="39"/>
      <c r="K569" s="40"/>
      <c r="T569" s="41"/>
      <c r="AA569" s="39"/>
      <c r="AF569" s="40"/>
      <c r="AG569" s="42"/>
      <c r="AJ569" s="1"/>
    </row>
    <row r="570" spans="3:36" ht="15.75" customHeight="1">
      <c r="C570" s="48"/>
      <c r="H570" s="39"/>
      <c r="K570" s="40"/>
      <c r="T570" s="41"/>
      <c r="AA570" s="39"/>
      <c r="AF570" s="40"/>
      <c r="AG570" s="42"/>
      <c r="AJ570" s="1"/>
    </row>
    <row r="571" spans="3:36" ht="15.75" customHeight="1">
      <c r="C571" s="48"/>
      <c r="H571" s="39"/>
      <c r="K571" s="40"/>
      <c r="T571" s="41"/>
      <c r="AA571" s="39"/>
      <c r="AF571" s="40"/>
      <c r="AG571" s="42"/>
      <c r="AJ571" s="1"/>
    </row>
    <row r="572" spans="3:36" ht="15.75" customHeight="1">
      <c r="C572" s="48"/>
      <c r="H572" s="39"/>
      <c r="K572" s="40"/>
      <c r="T572" s="41"/>
      <c r="AA572" s="39"/>
      <c r="AF572" s="40"/>
      <c r="AG572" s="42"/>
      <c r="AJ572" s="1"/>
    </row>
    <row r="573" spans="3:36" ht="15.75" customHeight="1">
      <c r="C573" s="48"/>
      <c r="H573" s="39"/>
      <c r="K573" s="40"/>
      <c r="T573" s="41"/>
      <c r="AA573" s="39"/>
      <c r="AF573" s="40"/>
      <c r="AG573" s="42"/>
      <c r="AJ573" s="1"/>
    </row>
    <row r="574" spans="3:36" ht="15.75" customHeight="1">
      <c r="C574" s="48"/>
      <c r="H574" s="39"/>
      <c r="K574" s="40"/>
      <c r="T574" s="41"/>
      <c r="AA574" s="39"/>
      <c r="AF574" s="40"/>
      <c r="AG574" s="42"/>
      <c r="AJ574" s="1"/>
    </row>
    <row r="575" spans="3:36" ht="15.75" customHeight="1">
      <c r="C575" s="48"/>
      <c r="H575" s="39"/>
      <c r="K575" s="40"/>
      <c r="T575" s="41"/>
      <c r="AA575" s="39"/>
      <c r="AF575" s="40"/>
      <c r="AG575" s="42"/>
      <c r="AJ575" s="1"/>
    </row>
    <row r="576" spans="3:36" ht="15.75" customHeight="1">
      <c r="C576" s="48"/>
      <c r="H576" s="39"/>
      <c r="K576" s="40"/>
      <c r="T576" s="41"/>
      <c r="AA576" s="39"/>
      <c r="AF576" s="40"/>
      <c r="AG576" s="42"/>
      <c r="AJ576" s="1"/>
    </row>
    <row r="577" spans="3:36" ht="15.75" customHeight="1">
      <c r="C577" s="48"/>
      <c r="H577" s="39"/>
      <c r="K577" s="40"/>
      <c r="T577" s="41"/>
      <c r="AA577" s="39"/>
      <c r="AF577" s="40"/>
      <c r="AG577" s="42"/>
      <c r="AJ577" s="1"/>
    </row>
    <row r="578" spans="3:36" ht="15.75" customHeight="1">
      <c r="C578" s="48"/>
      <c r="H578" s="39"/>
      <c r="K578" s="40"/>
      <c r="T578" s="41"/>
      <c r="AA578" s="39"/>
      <c r="AF578" s="40"/>
      <c r="AG578" s="42"/>
      <c r="AJ578" s="1"/>
    </row>
    <row r="579" spans="3:36" ht="15.75" customHeight="1">
      <c r="C579" s="48"/>
      <c r="H579" s="39"/>
      <c r="K579" s="40"/>
      <c r="T579" s="41"/>
      <c r="AA579" s="39"/>
      <c r="AF579" s="40"/>
      <c r="AG579" s="42"/>
      <c r="AJ579" s="1"/>
    </row>
    <row r="580" spans="3:36" ht="15.75" customHeight="1">
      <c r="C580" s="48"/>
      <c r="H580" s="39"/>
      <c r="K580" s="40"/>
      <c r="T580" s="41"/>
      <c r="AA580" s="39"/>
      <c r="AF580" s="40"/>
      <c r="AG580" s="42"/>
      <c r="AJ580" s="1"/>
    </row>
    <row r="581" spans="3:36" ht="15.75" customHeight="1">
      <c r="C581" s="48"/>
      <c r="H581" s="39"/>
      <c r="K581" s="40"/>
      <c r="T581" s="41"/>
      <c r="AA581" s="39"/>
      <c r="AF581" s="40"/>
      <c r="AG581" s="42"/>
      <c r="AJ581" s="1"/>
    </row>
    <row r="582" spans="3:36" ht="15.75" customHeight="1">
      <c r="C582" s="48"/>
      <c r="H582" s="39"/>
      <c r="K582" s="40"/>
      <c r="T582" s="41"/>
      <c r="AA582" s="39"/>
      <c r="AF582" s="40"/>
      <c r="AG582" s="42"/>
      <c r="AJ582" s="1"/>
    </row>
    <row r="583" spans="3:36" ht="15.75" customHeight="1">
      <c r="C583" s="48"/>
      <c r="H583" s="39"/>
      <c r="K583" s="40"/>
      <c r="T583" s="41"/>
      <c r="AA583" s="39"/>
      <c r="AF583" s="40"/>
      <c r="AG583" s="42"/>
      <c r="AJ583" s="1"/>
    </row>
    <row r="584" spans="3:36" ht="15.75" customHeight="1">
      <c r="C584" s="48"/>
      <c r="H584" s="39"/>
      <c r="K584" s="40"/>
      <c r="T584" s="41"/>
      <c r="AA584" s="39"/>
      <c r="AF584" s="40"/>
      <c r="AG584" s="42"/>
      <c r="AJ584" s="1"/>
    </row>
    <row r="585" spans="3:36" ht="15.75" customHeight="1">
      <c r="C585" s="48"/>
      <c r="H585" s="39"/>
      <c r="K585" s="40"/>
      <c r="T585" s="41"/>
      <c r="AA585" s="39"/>
      <c r="AF585" s="40"/>
      <c r="AG585" s="42"/>
      <c r="AJ585" s="1"/>
    </row>
    <row r="586" spans="3:36" ht="15.75" customHeight="1">
      <c r="C586" s="48"/>
      <c r="H586" s="39"/>
      <c r="K586" s="40"/>
      <c r="T586" s="41"/>
      <c r="AA586" s="39"/>
      <c r="AF586" s="40"/>
      <c r="AG586" s="42"/>
      <c r="AJ586" s="1"/>
    </row>
    <row r="587" spans="3:36" ht="15.75" customHeight="1">
      <c r="C587" s="48"/>
      <c r="H587" s="39"/>
      <c r="K587" s="40"/>
      <c r="T587" s="41"/>
      <c r="AA587" s="39"/>
      <c r="AF587" s="40"/>
      <c r="AG587" s="42"/>
      <c r="AJ587" s="1"/>
    </row>
    <row r="588" spans="3:36" ht="15.75" customHeight="1">
      <c r="C588" s="48"/>
      <c r="H588" s="39"/>
      <c r="K588" s="40"/>
      <c r="T588" s="41"/>
      <c r="AA588" s="39"/>
      <c r="AF588" s="40"/>
      <c r="AG588" s="42"/>
      <c r="AJ588" s="1"/>
    </row>
    <row r="589" spans="3:36" ht="15.75" customHeight="1">
      <c r="C589" s="48"/>
      <c r="H589" s="39"/>
      <c r="K589" s="40"/>
      <c r="T589" s="41"/>
      <c r="AA589" s="39"/>
      <c r="AF589" s="40"/>
      <c r="AG589" s="42"/>
      <c r="AJ589" s="1"/>
    </row>
    <row r="590" spans="3:36" ht="15.75" customHeight="1">
      <c r="C590" s="48"/>
      <c r="H590" s="39"/>
      <c r="K590" s="40"/>
      <c r="T590" s="41"/>
      <c r="AA590" s="39"/>
      <c r="AF590" s="40"/>
      <c r="AG590" s="42"/>
      <c r="AJ590" s="1"/>
    </row>
    <row r="591" spans="3:36" ht="15.75" customHeight="1">
      <c r="C591" s="48"/>
      <c r="H591" s="39"/>
      <c r="K591" s="40"/>
      <c r="T591" s="41"/>
      <c r="AA591" s="39"/>
      <c r="AF591" s="40"/>
      <c r="AG591" s="42"/>
      <c r="AJ591" s="1"/>
    </row>
    <row r="592" spans="3:36" ht="15.75" customHeight="1">
      <c r="C592" s="48"/>
      <c r="H592" s="39"/>
      <c r="K592" s="40"/>
      <c r="T592" s="41"/>
      <c r="AA592" s="39"/>
      <c r="AF592" s="40"/>
      <c r="AG592" s="42"/>
      <c r="AJ592" s="1"/>
    </row>
    <row r="593" spans="3:36" ht="15.75" customHeight="1">
      <c r="C593" s="48"/>
      <c r="H593" s="39"/>
      <c r="K593" s="40"/>
      <c r="T593" s="41"/>
      <c r="AA593" s="39"/>
      <c r="AF593" s="40"/>
      <c r="AG593" s="42"/>
      <c r="AJ593" s="1"/>
    </row>
    <row r="594" spans="3:36" ht="15.75" customHeight="1">
      <c r="C594" s="48"/>
      <c r="H594" s="39"/>
      <c r="K594" s="40"/>
      <c r="T594" s="41"/>
      <c r="AA594" s="39"/>
      <c r="AF594" s="40"/>
      <c r="AG594" s="42"/>
      <c r="AJ594" s="1"/>
    </row>
    <row r="595" spans="3:36" ht="15.75" customHeight="1">
      <c r="C595" s="48"/>
      <c r="H595" s="39"/>
      <c r="K595" s="40"/>
      <c r="T595" s="41"/>
      <c r="AA595" s="39"/>
      <c r="AF595" s="40"/>
      <c r="AG595" s="42"/>
      <c r="AJ595" s="1"/>
    </row>
    <row r="596" spans="3:36" ht="15.75" customHeight="1">
      <c r="C596" s="48"/>
      <c r="H596" s="39"/>
      <c r="K596" s="40"/>
      <c r="T596" s="41"/>
      <c r="AA596" s="39"/>
      <c r="AF596" s="40"/>
      <c r="AG596" s="42"/>
      <c r="AJ596" s="1"/>
    </row>
    <row r="597" spans="3:36" ht="15.75" customHeight="1">
      <c r="C597" s="48"/>
      <c r="H597" s="39"/>
      <c r="K597" s="40"/>
      <c r="T597" s="41"/>
      <c r="AA597" s="39"/>
      <c r="AF597" s="40"/>
      <c r="AG597" s="42"/>
      <c r="AJ597" s="1"/>
    </row>
    <row r="598" spans="3:36" ht="15.75" customHeight="1">
      <c r="C598" s="48"/>
      <c r="H598" s="39"/>
      <c r="K598" s="40"/>
      <c r="T598" s="41"/>
      <c r="AA598" s="39"/>
      <c r="AF598" s="40"/>
      <c r="AG598" s="42"/>
      <c r="AJ598" s="1"/>
    </row>
    <row r="599" spans="3:36" ht="15.75" customHeight="1">
      <c r="C599" s="48"/>
      <c r="H599" s="39"/>
      <c r="K599" s="40"/>
      <c r="T599" s="41"/>
      <c r="AA599" s="39"/>
      <c r="AF599" s="40"/>
      <c r="AG599" s="42"/>
      <c r="AJ599" s="1"/>
    </row>
    <row r="600" spans="3:36" ht="15.75" customHeight="1">
      <c r="C600" s="48"/>
      <c r="H600" s="39"/>
      <c r="K600" s="40"/>
      <c r="T600" s="41"/>
      <c r="AA600" s="39"/>
      <c r="AF600" s="40"/>
      <c r="AG600" s="42"/>
      <c r="AJ600" s="1"/>
    </row>
    <row r="601" spans="3:36" ht="15.75" customHeight="1">
      <c r="C601" s="48"/>
      <c r="H601" s="39"/>
      <c r="K601" s="40"/>
      <c r="T601" s="41"/>
      <c r="AA601" s="39"/>
      <c r="AF601" s="40"/>
      <c r="AG601" s="42"/>
      <c r="AJ601" s="1"/>
    </row>
    <row r="602" spans="3:36" ht="15.75" customHeight="1">
      <c r="C602" s="48"/>
      <c r="H602" s="39"/>
      <c r="K602" s="40"/>
      <c r="T602" s="41"/>
      <c r="AA602" s="39"/>
      <c r="AF602" s="40"/>
      <c r="AG602" s="42"/>
      <c r="AJ602" s="1"/>
    </row>
    <row r="603" spans="3:36" ht="15.75" customHeight="1">
      <c r="C603" s="48"/>
      <c r="H603" s="39"/>
      <c r="K603" s="40"/>
      <c r="T603" s="41"/>
      <c r="AA603" s="39"/>
      <c r="AF603" s="40"/>
      <c r="AG603" s="42"/>
      <c r="AJ603" s="1"/>
    </row>
    <row r="604" spans="3:36" ht="15.75" customHeight="1">
      <c r="C604" s="48"/>
      <c r="H604" s="39"/>
      <c r="K604" s="40"/>
      <c r="T604" s="41"/>
      <c r="AA604" s="39"/>
      <c r="AF604" s="40"/>
      <c r="AG604" s="42"/>
      <c r="AJ604" s="1"/>
    </row>
    <row r="605" spans="3:36" ht="15.75" customHeight="1">
      <c r="C605" s="48"/>
      <c r="H605" s="39"/>
      <c r="K605" s="40"/>
      <c r="T605" s="41"/>
      <c r="AA605" s="39"/>
      <c r="AF605" s="40"/>
      <c r="AG605" s="42"/>
      <c r="AJ605" s="1"/>
    </row>
    <row r="606" spans="3:36" ht="15.75" customHeight="1">
      <c r="C606" s="48"/>
      <c r="H606" s="39"/>
      <c r="K606" s="40"/>
      <c r="T606" s="41"/>
      <c r="AA606" s="39"/>
      <c r="AF606" s="40"/>
      <c r="AG606" s="42"/>
      <c r="AJ606" s="1"/>
    </row>
    <row r="607" spans="3:36" ht="15.75" customHeight="1">
      <c r="C607" s="48"/>
      <c r="H607" s="39"/>
      <c r="K607" s="40"/>
      <c r="T607" s="41"/>
      <c r="AA607" s="39"/>
      <c r="AF607" s="40"/>
      <c r="AG607" s="42"/>
      <c r="AJ607" s="1"/>
    </row>
    <row r="608" spans="3:36" ht="15.75" customHeight="1">
      <c r="C608" s="48"/>
      <c r="H608" s="39"/>
      <c r="K608" s="40"/>
      <c r="T608" s="41"/>
      <c r="AA608" s="39"/>
      <c r="AF608" s="40"/>
      <c r="AG608" s="42"/>
      <c r="AJ608" s="1"/>
    </row>
    <row r="609" spans="3:36" ht="15.75" customHeight="1">
      <c r="C609" s="48"/>
      <c r="H609" s="39"/>
      <c r="K609" s="40"/>
      <c r="T609" s="41"/>
      <c r="AA609" s="39"/>
      <c r="AF609" s="40"/>
      <c r="AG609" s="42"/>
      <c r="AJ609" s="1"/>
    </row>
    <row r="610" spans="3:36" ht="15.75" customHeight="1">
      <c r="C610" s="48"/>
      <c r="H610" s="39"/>
      <c r="K610" s="40"/>
      <c r="T610" s="41"/>
      <c r="AA610" s="39"/>
      <c r="AF610" s="40"/>
      <c r="AG610" s="42"/>
      <c r="AJ610" s="1"/>
    </row>
    <row r="611" spans="3:36" ht="15.75" customHeight="1">
      <c r="C611" s="48"/>
      <c r="H611" s="39"/>
      <c r="K611" s="40"/>
      <c r="T611" s="41"/>
      <c r="AA611" s="39"/>
      <c r="AF611" s="40"/>
      <c r="AG611" s="42"/>
      <c r="AJ611" s="1"/>
    </row>
    <row r="612" spans="3:36" ht="15.75" customHeight="1">
      <c r="C612" s="48"/>
      <c r="H612" s="39"/>
      <c r="K612" s="40"/>
      <c r="T612" s="41"/>
      <c r="AA612" s="39"/>
      <c r="AF612" s="40"/>
      <c r="AG612" s="42"/>
      <c r="AJ612" s="1"/>
    </row>
    <row r="613" spans="3:36" ht="15.75" customHeight="1">
      <c r="C613" s="48"/>
      <c r="H613" s="39"/>
      <c r="K613" s="40"/>
      <c r="T613" s="41"/>
      <c r="AA613" s="39"/>
      <c r="AF613" s="40"/>
      <c r="AG613" s="42"/>
      <c r="AJ613" s="1"/>
    </row>
    <row r="614" spans="3:36" ht="15.75" customHeight="1">
      <c r="C614" s="48"/>
      <c r="H614" s="39"/>
      <c r="K614" s="40"/>
      <c r="T614" s="41"/>
      <c r="AA614" s="39"/>
      <c r="AF614" s="40"/>
      <c r="AG614" s="42"/>
      <c r="AJ614" s="1"/>
    </row>
    <row r="615" spans="3:36" ht="15.75" customHeight="1">
      <c r="C615" s="48"/>
      <c r="H615" s="39"/>
      <c r="K615" s="40"/>
      <c r="T615" s="41"/>
      <c r="AA615" s="39"/>
      <c r="AF615" s="40"/>
      <c r="AG615" s="42"/>
      <c r="AJ615" s="1"/>
    </row>
    <row r="616" spans="3:36" ht="15.75" customHeight="1">
      <c r="C616" s="48"/>
      <c r="H616" s="39"/>
      <c r="K616" s="40"/>
      <c r="T616" s="41"/>
      <c r="AA616" s="39"/>
      <c r="AF616" s="40"/>
      <c r="AG616" s="42"/>
      <c r="AJ616" s="1"/>
    </row>
    <row r="617" spans="3:36" ht="15.75" customHeight="1">
      <c r="C617" s="48"/>
      <c r="H617" s="39"/>
      <c r="K617" s="40"/>
      <c r="T617" s="41"/>
      <c r="AA617" s="39"/>
      <c r="AF617" s="40"/>
      <c r="AG617" s="42"/>
      <c r="AJ617" s="1"/>
    </row>
    <row r="618" spans="3:36" ht="15.75" customHeight="1">
      <c r="C618" s="48"/>
      <c r="H618" s="39"/>
      <c r="K618" s="40"/>
      <c r="T618" s="41"/>
      <c r="AA618" s="39"/>
      <c r="AF618" s="40"/>
      <c r="AG618" s="42"/>
      <c r="AJ618" s="1"/>
    </row>
    <row r="619" spans="3:36" ht="15.75" customHeight="1">
      <c r="C619" s="48"/>
      <c r="H619" s="39"/>
      <c r="K619" s="40"/>
      <c r="T619" s="41"/>
      <c r="AA619" s="39"/>
      <c r="AF619" s="40"/>
      <c r="AG619" s="42"/>
      <c r="AJ619" s="1"/>
    </row>
    <row r="620" spans="3:36" ht="15.75" customHeight="1">
      <c r="C620" s="48"/>
      <c r="H620" s="39"/>
      <c r="K620" s="40"/>
      <c r="T620" s="41"/>
      <c r="AA620" s="39"/>
      <c r="AF620" s="40"/>
      <c r="AG620" s="42"/>
      <c r="AJ620" s="1"/>
    </row>
    <row r="621" spans="3:36" ht="15.75" customHeight="1">
      <c r="C621" s="48"/>
      <c r="H621" s="39"/>
      <c r="K621" s="40"/>
      <c r="T621" s="41"/>
      <c r="AA621" s="39"/>
      <c r="AF621" s="40"/>
      <c r="AG621" s="42"/>
      <c r="AJ621" s="1"/>
    </row>
    <row r="622" spans="3:36" ht="15.75" customHeight="1">
      <c r="C622" s="48"/>
      <c r="H622" s="39"/>
      <c r="K622" s="40"/>
      <c r="T622" s="41"/>
      <c r="AA622" s="39"/>
      <c r="AF622" s="40"/>
      <c r="AG622" s="42"/>
      <c r="AJ622" s="1"/>
    </row>
    <row r="623" spans="3:36" ht="15.75" customHeight="1">
      <c r="C623" s="48"/>
      <c r="H623" s="39"/>
      <c r="K623" s="40"/>
      <c r="T623" s="41"/>
      <c r="AA623" s="39"/>
      <c r="AF623" s="40"/>
      <c r="AG623" s="42"/>
      <c r="AJ623" s="1"/>
    </row>
    <row r="624" spans="3:36" ht="15.75" customHeight="1">
      <c r="C624" s="48"/>
      <c r="H624" s="39"/>
      <c r="K624" s="40"/>
      <c r="T624" s="41"/>
      <c r="AA624" s="39"/>
      <c r="AF624" s="40"/>
      <c r="AG624" s="42"/>
      <c r="AJ624" s="1"/>
    </row>
    <row r="625" spans="3:36" ht="15.75" customHeight="1">
      <c r="C625" s="48"/>
      <c r="H625" s="39"/>
      <c r="K625" s="40"/>
      <c r="T625" s="41"/>
      <c r="AA625" s="39"/>
      <c r="AF625" s="40"/>
      <c r="AG625" s="42"/>
      <c r="AJ625" s="1"/>
    </row>
    <row r="626" spans="3:36" ht="15.75" customHeight="1">
      <c r="C626" s="48"/>
      <c r="H626" s="39"/>
      <c r="K626" s="40"/>
      <c r="T626" s="41"/>
      <c r="AA626" s="39"/>
      <c r="AF626" s="40"/>
      <c r="AG626" s="42"/>
      <c r="AJ626" s="1"/>
    </row>
    <row r="627" spans="3:36" ht="15.75" customHeight="1">
      <c r="C627" s="48"/>
      <c r="H627" s="39"/>
      <c r="K627" s="40"/>
      <c r="T627" s="41"/>
      <c r="AA627" s="39"/>
      <c r="AF627" s="40"/>
      <c r="AG627" s="42"/>
      <c r="AJ627" s="1"/>
    </row>
    <row r="628" spans="3:36" ht="15.75" customHeight="1">
      <c r="C628" s="48"/>
      <c r="H628" s="39"/>
      <c r="K628" s="40"/>
      <c r="T628" s="41"/>
      <c r="AA628" s="39"/>
      <c r="AF628" s="40"/>
      <c r="AG628" s="42"/>
      <c r="AJ628" s="1"/>
    </row>
    <row r="629" spans="3:36" ht="15.75" customHeight="1">
      <c r="C629" s="48"/>
      <c r="H629" s="39"/>
      <c r="K629" s="40"/>
      <c r="T629" s="41"/>
      <c r="AA629" s="39"/>
      <c r="AF629" s="40"/>
      <c r="AG629" s="42"/>
      <c r="AJ629" s="1"/>
    </row>
    <row r="630" spans="3:36" ht="15.75" customHeight="1">
      <c r="C630" s="48"/>
      <c r="H630" s="39"/>
      <c r="K630" s="40"/>
      <c r="T630" s="41"/>
      <c r="AA630" s="39"/>
      <c r="AF630" s="40"/>
      <c r="AG630" s="42"/>
      <c r="AJ630" s="1"/>
    </row>
    <row r="631" spans="3:36" ht="15.75" customHeight="1">
      <c r="C631" s="48"/>
      <c r="H631" s="39"/>
      <c r="K631" s="40"/>
      <c r="T631" s="41"/>
      <c r="AA631" s="39"/>
      <c r="AF631" s="40"/>
      <c r="AG631" s="42"/>
      <c r="AJ631" s="1"/>
    </row>
    <row r="632" spans="3:36" ht="15.75" customHeight="1">
      <c r="C632" s="48"/>
      <c r="H632" s="39"/>
      <c r="K632" s="40"/>
      <c r="T632" s="41"/>
      <c r="AA632" s="39"/>
      <c r="AF632" s="40"/>
      <c r="AG632" s="42"/>
      <c r="AJ632" s="1"/>
    </row>
    <row r="633" spans="3:36" ht="15.75" customHeight="1">
      <c r="C633" s="48"/>
      <c r="H633" s="39"/>
      <c r="K633" s="40"/>
      <c r="T633" s="41"/>
      <c r="AA633" s="39"/>
      <c r="AF633" s="40"/>
      <c r="AG633" s="42"/>
      <c r="AJ633" s="1"/>
    </row>
    <row r="634" spans="3:36" ht="15.75" customHeight="1">
      <c r="C634" s="48"/>
      <c r="H634" s="39"/>
      <c r="K634" s="40"/>
      <c r="T634" s="41"/>
      <c r="AA634" s="39"/>
      <c r="AF634" s="40"/>
      <c r="AG634" s="42"/>
      <c r="AJ634" s="1"/>
    </row>
    <row r="635" spans="3:36" ht="15.75" customHeight="1">
      <c r="C635" s="48"/>
      <c r="H635" s="39"/>
      <c r="K635" s="40"/>
      <c r="T635" s="41"/>
      <c r="AA635" s="39"/>
      <c r="AF635" s="40"/>
      <c r="AG635" s="42"/>
      <c r="AJ635" s="1"/>
    </row>
    <row r="636" spans="3:36" ht="15.75" customHeight="1">
      <c r="C636" s="48"/>
      <c r="H636" s="39"/>
      <c r="K636" s="40"/>
      <c r="T636" s="41"/>
      <c r="AA636" s="39"/>
      <c r="AF636" s="40"/>
      <c r="AG636" s="42"/>
      <c r="AJ636" s="1"/>
    </row>
    <row r="637" spans="3:36" ht="15.75" customHeight="1">
      <c r="C637" s="48"/>
      <c r="H637" s="39"/>
      <c r="K637" s="40"/>
      <c r="T637" s="41"/>
      <c r="AA637" s="39"/>
      <c r="AF637" s="40"/>
      <c r="AG637" s="42"/>
      <c r="AJ637" s="1"/>
    </row>
    <row r="638" spans="3:36" ht="15.75" customHeight="1">
      <c r="C638" s="48"/>
      <c r="H638" s="39"/>
      <c r="K638" s="40"/>
      <c r="T638" s="41"/>
      <c r="AA638" s="39"/>
      <c r="AF638" s="40"/>
      <c r="AG638" s="42"/>
      <c r="AJ638" s="1"/>
    </row>
    <row r="639" spans="3:36" ht="15.75" customHeight="1">
      <c r="C639" s="48"/>
      <c r="H639" s="39"/>
      <c r="K639" s="40"/>
      <c r="T639" s="41"/>
      <c r="AA639" s="39"/>
      <c r="AF639" s="40"/>
      <c r="AG639" s="42"/>
      <c r="AJ639" s="1"/>
    </row>
    <row r="640" spans="3:36" ht="15.75" customHeight="1">
      <c r="C640" s="48"/>
      <c r="H640" s="39"/>
      <c r="K640" s="40"/>
      <c r="T640" s="41"/>
      <c r="AA640" s="39"/>
      <c r="AF640" s="40"/>
      <c r="AG640" s="42"/>
      <c r="AJ640" s="1"/>
    </row>
    <row r="641" spans="3:36" ht="15.75" customHeight="1">
      <c r="C641" s="48"/>
      <c r="H641" s="39"/>
      <c r="K641" s="40"/>
      <c r="T641" s="41"/>
      <c r="AA641" s="39"/>
      <c r="AF641" s="40"/>
      <c r="AG641" s="42"/>
      <c r="AJ641" s="1"/>
    </row>
    <row r="642" spans="3:36" ht="15.75" customHeight="1">
      <c r="C642" s="48"/>
      <c r="H642" s="39"/>
      <c r="K642" s="40"/>
      <c r="T642" s="41"/>
      <c r="AA642" s="39"/>
      <c r="AF642" s="40"/>
      <c r="AG642" s="42"/>
      <c r="AJ642" s="1"/>
    </row>
    <row r="643" spans="3:36" ht="15.75" customHeight="1">
      <c r="C643" s="48"/>
      <c r="H643" s="39"/>
      <c r="K643" s="40"/>
      <c r="T643" s="41"/>
      <c r="AA643" s="39"/>
      <c r="AF643" s="40"/>
      <c r="AG643" s="42"/>
      <c r="AJ643" s="1"/>
    </row>
    <row r="644" spans="3:36" ht="15.75" customHeight="1">
      <c r="C644" s="48"/>
      <c r="H644" s="39"/>
      <c r="K644" s="40"/>
      <c r="T644" s="41"/>
      <c r="AA644" s="39"/>
      <c r="AF644" s="40"/>
      <c r="AG644" s="42"/>
      <c r="AJ644" s="1"/>
    </row>
    <row r="645" spans="3:36" ht="15.75" customHeight="1">
      <c r="C645" s="48"/>
      <c r="H645" s="39"/>
      <c r="K645" s="40"/>
      <c r="T645" s="41"/>
      <c r="AA645" s="39"/>
      <c r="AF645" s="40"/>
      <c r="AG645" s="42"/>
      <c r="AJ645" s="1"/>
    </row>
    <row r="646" spans="3:36" ht="15.75" customHeight="1">
      <c r="C646" s="48"/>
      <c r="H646" s="39"/>
      <c r="K646" s="40"/>
      <c r="T646" s="41"/>
      <c r="AA646" s="39"/>
      <c r="AF646" s="40"/>
      <c r="AG646" s="42"/>
      <c r="AJ646" s="1"/>
    </row>
    <row r="647" spans="3:36" ht="15.75" customHeight="1">
      <c r="C647" s="48"/>
      <c r="H647" s="39"/>
      <c r="K647" s="40"/>
      <c r="T647" s="41"/>
      <c r="AA647" s="39"/>
      <c r="AF647" s="40"/>
      <c r="AG647" s="42"/>
      <c r="AJ647" s="1"/>
    </row>
    <row r="648" spans="3:36" ht="15.75" customHeight="1">
      <c r="C648" s="48"/>
      <c r="H648" s="39"/>
      <c r="K648" s="40"/>
      <c r="T648" s="41"/>
      <c r="AA648" s="39"/>
      <c r="AF648" s="40"/>
      <c r="AG648" s="42"/>
      <c r="AJ648" s="1"/>
    </row>
    <row r="649" spans="3:36" ht="15.75" customHeight="1">
      <c r="C649" s="48"/>
      <c r="H649" s="39"/>
      <c r="K649" s="40"/>
      <c r="T649" s="41"/>
      <c r="AA649" s="39"/>
      <c r="AF649" s="40"/>
      <c r="AG649" s="42"/>
      <c r="AJ649" s="1"/>
    </row>
    <row r="650" spans="3:36" ht="15.75" customHeight="1">
      <c r="C650" s="48"/>
      <c r="H650" s="39"/>
      <c r="K650" s="40"/>
      <c r="T650" s="41"/>
      <c r="AA650" s="39"/>
      <c r="AF650" s="40"/>
      <c r="AG650" s="42"/>
      <c r="AJ650" s="1"/>
    </row>
    <row r="651" spans="3:36" ht="15.75" customHeight="1">
      <c r="C651" s="48"/>
      <c r="H651" s="39"/>
      <c r="K651" s="40"/>
      <c r="T651" s="41"/>
      <c r="AA651" s="39"/>
      <c r="AF651" s="40"/>
      <c r="AG651" s="42"/>
      <c r="AJ651" s="1"/>
    </row>
    <row r="652" spans="3:36" ht="15.75" customHeight="1">
      <c r="C652" s="48"/>
      <c r="H652" s="39"/>
      <c r="K652" s="40"/>
      <c r="T652" s="41"/>
      <c r="AA652" s="39"/>
      <c r="AF652" s="40"/>
      <c r="AG652" s="42"/>
      <c r="AJ652" s="1"/>
    </row>
    <row r="653" spans="3:36" ht="15.75" customHeight="1">
      <c r="C653" s="48"/>
      <c r="H653" s="39"/>
      <c r="K653" s="40"/>
      <c r="T653" s="41"/>
      <c r="AA653" s="39"/>
      <c r="AF653" s="40"/>
      <c r="AG653" s="42"/>
      <c r="AJ653" s="1"/>
    </row>
    <row r="654" spans="3:36" ht="15.75" customHeight="1">
      <c r="C654" s="48"/>
      <c r="H654" s="39"/>
      <c r="K654" s="40"/>
      <c r="T654" s="41"/>
      <c r="AA654" s="39"/>
      <c r="AF654" s="40"/>
      <c r="AG654" s="42"/>
      <c r="AJ654" s="1"/>
    </row>
    <row r="655" spans="3:36" ht="15.75" customHeight="1">
      <c r="C655" s="48"/>
      <c r="H655" s="39"/>
      <c r="K655" s="40"/>
      <c r="T655" s="41"/>
      <c r="AA655" s="39"/>
      <c r="AF655" s="40"/>
      <c r="AG655" s="42"/>
      <c r="AJ655" s="1"/>
    </row>
    <row r="656" spans="3:36" ht="15.75" customHeight="1">
      <c r="C656" s="48"/>
      <c r="H656" s="39"/>
      <c r="K656" s="40"/>
      <c r="T656" s="41"/>
      <c r="AA656" s="39"/>
      <c r="AF656" s="40"/>
      <c r="AG656" s="42"/>
      <c r="AJ656" s="1"/>
    </row>
    <row r="657" spans="3:36" ht="15.75" customHeight="1">
      <c r="C657" s="48"/>
      <c r="H657" s="39"/>
      <c r="K657" s="40"/>
      <c r="T657" s="41"/>
      <c r="AA657" s="39"/>
      <c r="AF657" s="40"/>
      <c r="AG657" s="42"/>
      <c r="AJ657" s="1"/>
    </row>
    <row r="658" spans="3:36" ht="15.75" customHeight="1">
      <c r="C658" s="48"/>
      <c r="H658" s="39"/>
      <c r="K658" s="40"/>
      <c r="T658" s="41"/>
      <c r="AA658" s="39"/>
      <c r="AF658" s="40"/>
      <c r="AG658" s="42"/>
      <c r="AJ658" s="1"/>
    </row>
    <row r="659" spans="3:36" ht="15.75" customHeight="1">
      <c r="C659" s="48"/>
      <c r="H659" s="39"/>
      <c r="K659" s="40"/>
      <c r="T659" s="41"/>
      <c r="AA659" s="39"/>
      <c r="AF659" s="40"/>
      <c r="AG659" s="42"/>
      <c r="AJ659" s="1"/>
    </row>
    <row r="660" spans="3:36" ht="15.75" customHeight="1">
      <c r="C660" s="48"/>
      <c r="H660" s="39"/>
      <c r="K660" s="40"/>
      <c r="T660" s="41"/>
      <c r="AA660" s="39"/>
      <c r="AF660" s="40"/>
      <c r="AG660" s="42"/>
      <c r="AJ660" s="1"/>
    </row>
    <row r="661" spans="3:36" ht="15.75" customHeight="1">
      <c r="C661" s="48"/>
      <c r="H661" s="39"/>
      <c r="K661" s="40"/>
      <c r="T661" s="41"/>
      <c r="AA661" s="39"/>
      <c r="AF661" s="40"/>
      <c r="AG661" s="42"/>
      <c r="AJ661" s="1"/>
    </row>
    <row r="662" spans="3:36" ht="15.75" customHeight="1">
      <c r="C662" s="48"/>
      <c r="H662" s="39"/>
      <c r="K662" s="40"/>
      <c r="T662" s="41"/>
      <c r="AA662" s="39"/>
      <c r="AF662" s="40"/>
      <c r="AG662" s="42"/>
      <c r="AJ662" s="1"/>
    </row>
    <row r="663" spans="3:36" ht="15.75" customHeight="1">
      <c r="C663" s="48"/>
      <c r="H663" s="39"/>
      <c r="K663" s="40"/>
      <c r="T663" s="41"/>
      <c r="AA663" s="39"/>
      <c r="AF663" s="40"/>
      <c r="AG663" s="42"/>
      <c r="AJ663" s="1"/>
    </row>
    <row r="664" spans="3:36" ht="15.75" customHeight="1">
      <c r="C664" s="48"/>
      <c r="H664" s="39"/>
      <c r="K664" s="40"/>
      <c r="T664" s="41"/>
      <c r="AA664" s="39"/>
      <c r="AF664" s="40"/>
      <c r="AG664" s="42"/>
      <c r="AJ664" s="1"/>
    </row>
    <row r="665" spans="3:36" ht="15.75" customHeight="1">
      <c r="C665" s="48"/>
      <c r="H665" s="39"/>
      <c r="K665" s="40"/>
      <c r="T665" s="41"/>
      <c r="AA665" s="39"/>
      <c r="AF665" s="40"/>
      <c r="AG665" s="42"/>
      <c r="AJ665" s="1"/>
    </row>
    <row r="666" spans="3:36" ht="15.75" customHeight="1">
      <c r="C666" s="48"/>
      <c r="H666" s="39"/>
      <c r="K666" s="40"/>
      <c r="T666" s="41"/>
      <c r="AA666" s="39"/>
      <c r="AF666" s="40"/>
      <c r="AG666" s="42"/>
      <c r="AJ666" s="1"/>
    </row>
    <row r="667" spans="3:36" ht="15.75" customHeight="1">
      <c r="C667" s="48"/>
      <c r="H667" s="39"/>
      <c r="K667" s="40"/>
      <c r="T667" s="41"/>
      <c r="AA667" s="39"/>
      <c r="AF667" s="40"/>
      <c r="AG667" s="42"/>
      <c r="AJ667" s="1"/>
    </row>
    <row r="668" spans="3:36" ht="15.75" customHeight="1">
      <c r="C668" s="48"/>
      <c r="H668" s="39"/>
      <c r="K668" s="40"/>
      <c r="T668" s="41"/>
      <c r="AA668" s="39"/>
      <c r="AF668" s="40"/>
      <c r="AG668" s="42"/>
      <c r="AJ668" s="1"/>
    </row>
    <row r="669" spans="3:36" ht="15.75" customHeight="1">
      <c r="C669" s="48"/>
      <c r="H669" s="39"/>
      <c r="K669" s="40"/>
      <c r="T669" s="41"/>
      <c r="AA669" s="39"/>
      <c r="AF669" s="40"/>
      <c r="AG669" s="42"/>
      <c r="AJ669" s="1"/>
    </row>
    <row r="670" spans="3:36" ht="15.75" customHeight="1">
      <c r="C670" s="48"/>
      <c r="H670" s="39"/>
      <c r="K670" s="40"/>
      <c r="T670" s="41"/>
      <c r="AA670" s="39"/>
      <c r="AF670" s="40"/>
      <c r="AG670" s="42"/>
      <c r="AJ670" s="1"/>
    </row>
    <row r="671" spans="3:36" ht="15.75" customHeight="1">
      <c r="C671" s="48"/>
      <c r="H671" s="39"/>
      <c r="K671" s="40"/>
      <c r="T671" s="41"/>
      <c r="AA671" s="39"/>
      <c r="AF671" s="40"/>
      <c r="AG671" s="42"/>
      <c r="AJ671" s="1"/>
    </row>
    <row r="672" spans="3:36" ht="15.75" customHeight="1">
      <c r="C672" s="48"/>
      <c r="H672" s="39"/>
      <c r="K672" s="40"/>
      <c r="T672" s="41"/>
      <c r="AA672" s="39"/>
      <c r="AF672" s="40"/>
      <c r="AG672" s="42"/>
      <c r="AJ672" s="1"/>
    </row>
    <row r="673" spans="3:36" ht="15.75" customHeight="1">
      <c r="C673" s="48"/>
      <c r="H673" s="39"/>
      <c r="K673" s="40"/>
      <c r="T673" s="41"/>
      <c r="AA673" s="39"/>
      <c r="AF673" s="40"/>
      <c r="AG673" s="42"/>
      <c r="AJ673" s="1"/>
    </row>
    <row r="674" spans="3:36" ht="15.75" customHeight="1">
      <c r="C674" s="48"/>
      <c r="H674" s="39"/>
      <c r="K674" s="40"/>
      <c r="T674" s="41"/>
      <c r="AA674" s="39"/>
      <c r="AF674" s="40"/>
      <c r="AG674" s="42"/>
      <c r="AJ674" s="1"/>
    </row>
    <row r="675" spans="3:36" ht="15.75" customHeight="1">
      <c r="C675" s="48"/>
      <c r="H675" s="39"/>
      <c r="K675" s="40"/>
      <c r="T675" s="41"/>
      <c r="AA675" s="39"/>
      <c r="AF675" s="40"/>
      <c r="AG675" s="42"/>
      <c r="AJ675" s="1"/>
    </row>
    <row r="676" spans="3:36" ht="15.75" customHeight="1">
      <c r="C676" s="48"/>
      <c r="H676" s="39"/>
      <c r="K676" s="40"/>
      <c r="T676" s="41"/>
      <c r="AA676" s="39"/>
      <c r="AF676" s="40"/>
      <c r="AG676" s="42"/>
      <c r="AJ676" s="1"/>
    </row>
    <row r="677" spans="3:36" ht="15.75" customHeight="1">
      <c r="C677" s="48"/>
      <c r="H677" s="39"/>
      <c r="K677" s="40"/>
      <c r="T677" s="41"/>
      <c r="AA677" s="39"/>
      <c r="AF677" s="40"/>
      <c r="AG677" s="42"/>
      <c r="AJ677" s="1"/>
    </row>
    <row r="678" spans="3:36" ht="15.75" customHeight="1">
      <c r="C678" s="48"/>
      <c r="H678" s="39"/>
      <c r="K678" s="40"/>
      <c r="T678" s="41"/>
      <c r="AA678" s="39"/>
      <c r="AF678" s="40"/>
      <c r="AG678" s="42"/>
      <c r="AJ678" s="1"/>
    </row>
    <row r="679" spans="3:36" ht="15.75" customHeight="1">
      <c r="C679" s="48"/>
      <c r="H679" s="39"/>
      <c r="K679" s="40"/>
      <c r="T679" s="41"/>
      <c r="AA679" s="39"/>
      <c r="AF679" s="40"/>
      <c r="AG679" s="42"/>
      <c r="AJ679" s="1"/>
    </row>
    <row r="680" spans="3:36" ht="15.75" customHeight="1">
      <c r="C680" s="48"/>
      <c r="H680" s="39"/>
      <c r="K680" s="40"/>
      <c r="T680" s="41"/>
      <c r="AA680" s="39"/>
      <c r="AF680" s="40"/>
      <c r="AG680" s="42"/>
      <c r="AJ680" s="1"/>
    </row>
    <row r="681" spans="3:36" ht="15.75" customHeight="1">
      <c r="C681" s="48"/>
      <c r="H681" s="39"/>
      <c r="K681" s="40"/>
      <c r="T681" s="41"/>
      <c r="AA681" s="39"/>
      <c r="AF681" s="40"/>
      <c r="AG681" s="42"/>
      <c r="AJ681" s="1"/>
    </row>
    <row r="682" spans="3:36" ht="15.75" customHeight="1">
      <c r="C682" s="48"/>
      <c r="H682" s="39"/>
      <c r="K682" s="40"/>
      <c r="T682" s="41"/>
      <c r="AA682" s="39"/>
      <c r="AF682" s="40"/>
      <c r="AG682" s="42"/>
      <c r="AJ682" s="1"/>
    </row>
    <row r="683" spans="3:36" ht="15.75" customHeight="1">
      <c r="C683" s="48"/>
      <c r="H683" s="39"/>
      <c r="K683" s="40"/>
      <c r="T683" s="41"/>
      <c r="AA683" s="39"/>
      <c r="AF683" s="40"/>
      <c r="AG683" s="42"/>
      <c r="AJ683" s="1"/>
    </row>
    <row r="684" spans="3:36" ht="15.75" customHeight="1">
      <c r="C684" s="48"/>
      <c r="H684" s="39"/>
      <c r="K684" s="40"/>
      <c r="T684" s="41"/>
      <c r="AA684" s="39"/>
      <c r="AF684" s="40"/>
      <c r="AG684" s="42"/>
      <c r="AJ684" s="1"/>
    </row>
    <row r="685" spans="3:36" ht="15.75" customHeight="1">
      <c r="C685" s="48"/>
      <c r="H685" s="39"/>
      <c r="K685" s="40"/>
      <c r="T685" s="41"/>
      <c r="AA685" s="39"/>
      <c r="AF685" s="40"/>
      <c r="AG685" s="42"/>
      <c r="AJ685" s="1"/>
    </row>
    <row r="686" spans="3:36" ht="15.75" customHeight="1">
      <c r="C686" s="48"/>
      <c r="H686" s="39"/>
      <c r="K686" s="40"/>
      <c r="T686" s="41"/>
      <c r="AA686" s="39"/>
      <c r="AF686" s="40"/>
      <c r="AG686" s="42"/>
      <c r="AJ686" s="1"/>
    </row>
    <row r="687" spans="3:36" ht="15.75" customHeight="1">
      <c r="C687" s="48"/>
      <c r="H687" s="39"/>
      <c r="K687" s="40"/>
      <c r="T687" s="41"/>
      <c r="AA687" s="39"/>
      <c r="AF687" s="40"/>
      <c r="AG687" s="42"/>
      <c r="AJ687" s="1"/>
    </row>
    <row r="688" spans="3:36" ht="15.75" customHeight="1">
      <c r="C688" s="48"/>
      <c r="H688" s="39"/>
      <c r="K688" s="40"/>
      <c r="T688" s="41"/>
      <c r="AA688" s="39"/>
      <c r="AF688" s="40"/>
      <c r="AG688" s="42"/>
      <c r="AJ688" s="1"/>
    </row>
    <row r="689" spans="3:36" ht="15.75" customHeight="1">
      <c r="C689" s="48"/>
      <c r="H689" s="39"/>
      <c r="K689" s="40"/>
      <c r="T689" s="41"/>
      <c r="AA689" s="39"/>
      <c r="AF689" s="40"/>
      <c r="AG689" s="42"/>
      <c r="AJ689" s="1"/>
    </row>
    <row r="690" spans="3:36" ht="15.75" customHeight="1">
      <c r="C690" s="48"/>
      <c r="H690" s="39"/>
      <c r="K690" s="40"/>
      <c r="T690" s="41"/>
      <c r="AA690" s="39"/>
      <c r="AF690" s="40"/>
      <c r="AG690" s="42"/>
      <c r="AJ690" s="1"/>
    </row>
    <row r="691" spans="3:36" ht="15.75" customHeight="1">
      <c r="C691" s="48"/>
      <c r="H691" s="39"/>
      <c r="K691" s="40"/>
      <c r="T691" s="41"/>
      <c r="AA691" s="39"/>
      <c r="AF691" s="40"/>
      <c r="AG691" s="42"/>
      <c r="AJ691" s="1"/>
    </row>
    <row r="692" spans="3:36" ht="15.75" customHeight="1">
      <c r="C692" s="48"/>
      <c r="H692" s="39"/>
      <c r="K692" s="40"/>
      <c r="T692" s="41"/>
      <c r="AA692" s="39"/>
      <c r="AF692" s="40"/>
      <c r="AG692" s="42"/>
      <c r="AJ692" s="1"/>
    </row>
    <row r="693" spans="3:36" ht="15.75" customHeight="1">
      <c r="C693" s="48"/>
      <c r="H693" s="39"/>
      <c r="K693" s="40"/>
      <c r="T693" s="41"/>
      <c r="AA693" s="39"/>
      <c r="AF693" s="40"/>
      <c r="AG693" s="42"/>
      <c r="AJ693" s="1"/>
    </row>
    <row r="694" spans="3:36" ht="15.75" customHeight="1">
      <c r="C694" s="48"/>
      <c r="H694" s="39"/>
      <c r="K694" s="40"/>
      <c r="T694" s="41"/>
      <c r="AA694" s="39"/>
      <c r="AF694" s="40"/>
      <c r="AG694" s="42"/>
      <c r="AJ694" s="1"/>
    </row>
    <row r="695" spans="3:36" ht="15.75" customHeight="1">
      <c r="C695" s="48"/>
      <c r="H695" s="39"/>
      <c r="K695" s="40"/>
      <c r="T695" s="41"/>
      <c r="AA695" s="39"/>
      <c r="AF695" s="40"/>
      <c r="AG695" s="42"/>
      <c r="AJ695" s="1"/>
    </row>
    <row r="696" spans="3:36" ht="15.75" customHeight="1">
      <c r="C696" s="48"/>
      <c r="H696" s="39"/>
      <c r="K696" s="40"/>
      <c r="T696" s="41"/>
      <c r="AA696" s="39"/>
      <c r="AF696" s="40"/>
      <c r="AG696" s="42"/>
      <c r="AJ696" s="1"/>
    </row>
    <row r="697" spans="3:36" ht="15.75" customHeight="1">
      <c r="C697" s="48"/>
      <c r="H697" s="39"/>
      <c r="K697" s="40"/>
      <c r="T697" s="41"/>
      <c r="AA697" s="39"/>
      <c r="AF697" s="40"/>
      <c r="AG697" s="42"/>
      <c r="AJ697" s="1"/>
    </row>
    <row r="698" spans="3:36" ht="15.75" customHeight="1">
      <c r="C698" s="48"/>
      <c r="H698" s="39"/>
      <c r="K698" s="40"/>
      <c r="T698" s="41"/>
      <c r="AA698" s="39"/>
      <c r="AF698" s="40"/>
      <c r="AG698" s="42"/>
      <c r="AJ698" s="1"/>
    </row>
    <row r="699" spans="3:36" ht="15.75" customHeight="1">
      <c r="C699" s="48"/>
      <c r="H699" s="39"/>
      <c r="K699" s="40"/>
      <c r="T699" s="41"/>
      <c r="AA699" s="39"/>
      <c r="AF699" s="40"/>
      <c r="AG699" s="42"/>
      <c r="AJ699" s="1"/>
    </row>
    <row r="700" spans="3:36" ht="15.75" customHeight="1">
      <c r="C700" s="48"/>
      <c r="H700" s="39"/>
      <c r="K700" s="40"/>
      <c r="T700" s="41"/>
      <c r="AA700" s="39"/>
      <c r="AF700" s="40"/>
      <c r="AG700" s="42"/>
      <c r="AJ700" s="1"/>
    </row>
    <row r="701" spans="3:36" ht="15.75" customHeight="1">
      <c r="C701" s="48"/>
      <c r="H701" s="39"/>
      <c r="K701" s="40"/>
      <c r="T701" s="41"/>
      <c r="AA701" s="39"/>
      <c r="AF701" s="40"/>
      <c r="AG701" s="42"/>
      <c r="AJ701" s="1"/>
    </row>
    <row r="702" spans="3:36" ht="15.75" customHeight="1">
      <c r="C702" s="48"/>
      <c r="H702" s="39"/>
      <c r="K702" s="40"/>
      <c r="T702" s="41"/>
      <c r="AA702" s="39"/>
      <c r="AF702" s="40"/>
      <c r="AG702" s="42"/>
      <c r="AJ702" s="1"/>
    </row>
    <row r="703" spans="3:36" ht="15.75" customHeight="1">
      <c r="C703" s="48"/>
      <c r="H703" s="39"/>
      <c r="K703" s="40"/>
      <c r="T703" s="41"/>
      <c r="AA703" s="39"/>
      <c r="AF703" s="40"/>
      <c r="AG703" s="42"/>
      <c r="AJ703" s="1"/>
    </row>
    <row r="704" spans="3:36" ht="15.75" customHeight="1">
      <c r="C704" s="48"/>
      <c r="H704" s="39"/>
      <c r="K704" s="40"/>
      <c r="T704" s="41"/>
      <c r="AA704" s="39"/>
      <c r="AF704" s="40"/>
      <c r="AG704" s="42"/>
      <c r="AJ704" s="1"/>
    </row>
    <row r="705" spans="3:36" ht="15.75" customHeight="1">
      <c r="C705" s="48"/>
      <c r="H705" s="39"/>
      <c r="K705" s="40"/>
      <c r="T705" s="41"/>
      <c r="AA705" s="39"/>
      <c r="AF705" s="40"/>
      <c r="AG705" s="42"/>
      <c r="AJ705" s="1"/>
    </row>
    <row r="706" spans="3:36" ht="15.75" customHeight="1">
      <c r="C706" s="48"/>
      <c r="H706" s="39"/>
      <c r="K706" s="40"/>
      <c r="T706" s="41"/>
      <c r="AA706" s="39"/>
      <c r="AF706" s="40"/>
      <c r="AG706" s="42"/>
      <c r="AJ706" s="1"/>
    </row>
    <row r="707" spans="3:36" ht="15.75" customHeight="1">
      <c r="C707" s="48"/>
      <c r="H707" s="39"/>
      <c r="K707" s="40"/>
      <c r="T707" s="41"/>
      <c r="AA707" s="39"/>
      <c r="AF707" s="40"/>
      <c r="AG707" s="42"/>
      <c r="AJ707" s="1"/>
    </row>
    <row r="708" spans="3:36" ht="15.75" customHeight="1">
      <c r="C708" s="48"/>
      <c r="H708" s="39"/>
      <c r="K708" s="40"/>
      <c r="T708" s="41"/>
      <c r="AA708" s="39"/>
      <c r="AF708" s="40"/>
      <c r="AG708" s="42"/>
      <c r="AJ708" s="1"/>
    </row>
    <row r="709" spans="3:36" ht="15.75" customHeight="1">
      <c r="C709" s="48"/>
      <c r="H709" s="39"/>
      <c r="K709" s="40"/>
      <c r="T709" s="41"/>
      <c r="AA709" s="39"/>
      <c r="AF709" s="40"/>
      <c r="AG709" s="42"/>
      <c r="AJ709" s="1"/>
    </row>
    <row r="710" spans="3:36" ht="15.75" customHeight="1">
      <c r="C710" s="48"/>
      <c r="H710" s="39"/>
      <c r="K710" s="40"/>
      <c r="T710" s="41"/>
      <c r="AA710" s="39"/>
      <c r="AF710" s="40"/>
      <c r="AG710" s="42"/>
      <c r="AJ710" s="1"/>
    </row>
    <row r="711" spans="3:36" ht="15.75" customHeight="1">
      <c r="C711" s="48"/>
      <c r="H711" s="39"/>
      <c r="K711" s="40"/>
      <c r="T711" s="41"/>
      <c r="AA711" s="39"/>
      <c r="AF711" s="40"/>
      <c r="AG711" s="42"/>
      <c r="AJ711" s="1"/>
    </row>
    <row r="712" spans="3:36" ht="15.75" customHeight="1">
      <c r="C712" s="48"/>
      <c r="H712" s="39"/>
      <c r="K712" s="40"/>
      <c r="T712" s="41"/>
      <c r="AA712" s="39"/>
      <c r="AF712" s="40"/>
      <c r="AG712" s="42"/>
      <c r="AJ712" s="1"/>
    </row>
    <row r="713" spans="3:36" ht="15.75" customHeight="1">
      <c r="C713" s="48"/>
      <c r="H713" s="39"/>
      <c r="K713" s="40"/>
      <c r="T713" s="41"/>
      <c r="AA713" s="39"/>
      <c r="AF713" s="40"/>
      <c r="AG713" s="42"/>
      <c r="AJ713" s="1"/>
    </row>
    <row r="714" spans="3:36" ht="15.75" customHeight="1">
      <c r="C714" s="48"/>
      <c r="H714" s="39"/>
      <c r="K714" s="40"/>
      <c r="T714" s="41"/>
      <c r="AA714" s="39"/>
      <c r="AF714" s="40"/>
      <c r="AG714" s="42"/>
      <c r="AJ714" s="1"/>
    </row>
    <row r="715" spans="3:36" ht="15.75" customHeight="1">
      <c r="C715" s="48"/>
      <c r="H715" s="39"/>
      <c r="K715" s="40"/>
      <c r="T715" s="41"/>
      <c r="AA715" s="39"/>
      <c r="AF715" s="40"/>
      <c r="AG715" s="42"/>
      <c r="AJ715" s="1"/>
    </row>
    <row r="716" spans="3:36" ht="15.75" customHeight="1">
      <c r="C716" s="48"/>
      <c r="H716" s="39"/>
      <c r="K716" s="40"/>
      <c r="T716" s="41"/>
      <c r="AA716" s="39"/>
      <c r="AF716" s="40"/>
      <c r="AG716" s="42"/>
      <c r="AJ716" s="1"/>
    </row>
    <row r="717" spans="3:36" ht="15.75" customHeight="1">
      <c r="C717" s="48"/>
      <c r="H717" s="39"/>
      <c r="K717" s="40"/>
      <c r="T717" s="41"/>
      <c r="AA717" s="39"/>
      <c r="AF717" s="40"/>
      <c r="AG717" s="42"/>
      <c r="AJ717" s="1"/>
    </row>
    <row r="718" spans="3:36" ht="15.75" customHeight="1">
      <c r="C718" s="48"/>
      <c r="H718" s="39"/>
      <c r="K718" s="40"/>
      <c r="T718" s="41"/>
      <c r="AA718" s="39"/>
      <c r="AF718" s="40"/>
      <c r="AG718" s="42"/>
      <c r="AJ718" s="1"/>
    </row>
    <row r="719" spans="3:36" ht="15.75" customHeight="1">
      <c r="C719" s="48"/>
      <c r="H719" s="39"/>
      <c r="K719" s="40"/>
      <c r="T719" s="41"/>
      <c r="AA719" s="39"/>
      <c r="AF719" s="40"/>
      <c r="AG719" s="42"/>
      <c r="AJ719" s="1"/>
    </row>
    <row r="720" spans="3:36" ht="15.75" customHeight="1">
      <c r="C720" s="48"/>
      <c r="H720" s="39"/>
      <c r="K720" s="40"/>
      <c r="T720" s="41"/>
      <c r="AA720" s="39"/>
      <c r="AF720" s="40"/>
      <c r="AG720" s="42"/>
      <c r="AJ720" s="1"/>
    </row>
    <row r="721" spans="3:36" ht="15.75" customHeight="1">
      <c r="C721" s="48"/>
      <c r="H721" s="39"/>
      <c r="K721" s="40"/>
      <c r="T721" s="41"/>
      <c r="AA721" s="39"/>
      <c r="AF721" s="40"/>
      <c r="AG721" s="42"/>
      <c r="AJ721" s="1"/>
    </row>
    <row r="722" spans="3:36" ht="15.75" customHeight="1">
      <c r="C722" s="48"/>
      <c r="H722" s="39"/>
      <c r="K722" s="40"/>
      <c r="T722" s="41"/>
      <c r="AA722" s="39"/>
      <c r="AF722" s="40"/>
      <c r="AG722" s="42"/>
      <c r="AJ722" s="1"/>
    </row>
    <row r="723" spans="3:36" ht="15.75" customHeight="1">
      <c r="C723" s="48"/>
      <c r="H723" s="39"/>
      <c r="K723" s="40"/>
      <c r="T723" s="41"/>
      <c r="AA723" s="39"/>
      <c r="AF723" s="40"/>
      <c r="AG723" s="42"/>
      <c r="AJ723" s="1"/>
    </row>
    <row r="724" spans="3:36" ht="15.75" customHeight="1">
      <c r="C724" s="48"/>
      <c r="H724" s="39"/>
      <c r="K724" s="40"/>
      <c r="T724" s="41"/>
      <c r="AA724" s="39"/>
      <c r="AF724" s="40"/>
      <c r="AG724" s="42"/>
      <c r="AJ724" s="1"/>
    </row>
    <row r="725" spans="3:36" ht="15.75" customHeight="1">
      <c r="C725" s="48"/>
      <c r="H725" s="39"/>
      <c r="K725" s="40"/>
      <c r="T725" s="41"/>
      <c r="AA725" s="39"/>
      <c r="AF725" s="40"/>
      <c r="AG725" s="42"/>
      <c r="AJ725" s="1"/>
    </row>
    <row r="726" spans="3:36" ht="15.75" customHeight="1">
      <c r="C726" s="48"/>
      <c r="H726" s="39"/>
      <c r="K726" s="40"/>
      <c r="T726" s="41"/>
      <c r="AA726" s="39"/>
      <c r="AF726" s="40"/>
      <c r="AG726" s="42"/>
      <c r="AJ726" s="1"/>
    </row>
    <row r="727" spans="3:36" ht="15.75" customHeight="1">
      <c r="C727" s="48"/>
      <c r="H727" s="39"/>
      <c r="K727" s="40"/>
      <c r="T727" s="41"/>
      <c r="AA727" s="39"/>
      <c r="AF727" s="40"/>
      <c r="AG727" s="42"/>
      <c r="AJ727" s="1"/>
    </row>
    <row r="728" spans="3:36" ht="15.75" customHeight="1">
      <c r="C728" s="48"/>
      <c r="H728" s="39"/>
      <c r="K728" s="40"/>
      <c r="T728" s="41"/>
      <c r="AA728" s="39"/>
      <c r="AF728" s="40"/>
      <c r="AG728" s="42"/>
      <c r="AJ728" s="1"/>
    </row>
    <row r="729" spans="3:36" ht="15.75" customHeight="1">
      <c r="C729" s="48"/>
      <c r="H729" s="39"/>
      <c r="K729" s="40"/>
      <c r="T729" s="41"/>
      <c r="AA729" s="39"/>
      <c r="AF729" s="40"/>
      <c r="AG729" s="42"/>
      <c r="AJ729" s="1"/>
    </row>
    <row r="730" spans="3:36" ht="15.75" customHeight="1">
      <c r="C730" s="48"/>
      <c r="H730" s="39"/>
      <c r="K730" s="40"/>
      <c r="T730" s="41"/>
      <c r="AA730" s="39"/>
      <c r="AF730" s="40"/>
      <c r="AG730" s="42"/>
      <c r="AJ730" s="1"/>
    </row>
    <row r="731" spans="3:36" ht="15.75" customHeight="1">
      <c r="C731" s="48"/>
      <c r="H731" s="39"/>
      <c r="K731" s="40"/>
      <c r="T731" s="41"/>
      <c r="AA731" s="39"/>
      <c r="AF731" s="40"/>
      <c r="AG731" s="42"/>
      <c r="AJ731" s="1"/>
    </row>
    <row r="732" spans="3:36" ht="15.75" customHeight="1">
      <c r="C732" s="48"/>
      <c r="H732" s="39"/>
      <c r="K732" s="40"/>
      <c r="T732" s="41"/>
      <c r="AA732" s="39"/>
      <c r="AF732" s="40"/>
      <c r="AG732" s="42"/>
      <c r="AJ732" s="1"/>
    </row>
    <row r="733" spans="3:36" ht="15.75" customHeight="1">
      <c r="C733" s="48"/>
      <c r="H733" s="39"/>
      <c r="K733" s="40"/>
      <c r="T733" s="41"/>
      <c r="AA733" s="39"/>
      <c r="AF733" s="40"/>
      <c r="AG733" s="42"/>
      <c r="AJ733" s="1"/>
    </row>
    <row r="734" spans="3:36" ht="15.75" customHeight="1">
      <c r="C734" s="48"/>
      <c r="H734" s="39"/>
      <c r="K734" s="40"/>
      <c r="T734" s="41"/>
      <c r="AA734" s="39"/>
      <c r="AF734" s="40"/>
      <c r="AG734" s="42"/>
      <c r="AJ734" s="1"/>
    </row>
    <row r="735" spans="3:36" ht="15.75" customHeight="1">
      <c r="C735" s="48"/>
      <c r="H735" s="39"/>
      <c r="K735" s="40"/>
      <c r="T735" s="41"/>
      <c r="AA735" s="39"/>
      <c r="AF735" s="40"/>
      <c r="AG735" s="42"/>
      <c r="AJ735" s="1"/>
    </row>
    <row r="736" spans="3:36" ht="15.75" customHeight="1">
      <c r="C736" s="48"/>
      <c r="H736" s="39"/>
      <c r="K736" s="40"/>
      <c r="T736" s="41"/>
      <c r="AA736" s="39"/>
      <c r="AF736" s="40"/>
      <c r="AG736" s="42"/>
      <c r="AJ736" s="1"/>
    </row>
    <row r="737" spans="3:36" ht="15.75" customHeight="1">
      <c r="C737" s="48"/>
      <c r="H737" s="39"/>
      <c r="K737" s="40"/>
      <c r="T737" s="41"/>
      <c r="AA737" s="39"/>
      <c r="AF737" s="40"/>
      <c r="AG737" s="42"/>
      <c r="AJ737" s="1"/>
    </row>
    <row r="738" spans="3:36" ht="15.75" customHeight="1">
      <c r="C738" s="48"/>
      <c r="H738" s="39"/>
      <c r="K738" s="40"/>
      <c r="T738" s="41"/>
      <c r="AA738" s="39"/>
      <c r="AF738" s="40"/>
      <c r="AG738" s="42"/>
      <c r="AJ738" s="1"/>
    </row>
    <row r="739" spans="3:36" ht="15.75" customHeight="1">
      <c r="C739" s="48"/>
      <c r="H739" s="39"/>
      <c r="K739" s="40"/>
      <c r="T739" s="41"/>
      <c r="AA739" s="39"/>
      <c r="AF739" s="40"/>
      <c r="AG739" s="42"/>
      <c r="AJ739" s="1"/>
    </row>
    <row r="740" spans="3:36" ht="15.75" customHeight="1">
      <c r="C740" s="48"/>
      <c r="H740" s="39"/>
      <c r="K740" s="40"/>
      <c r="T740" s="41"/>
      <c r="AA740" s="39"/>
      <c r="AF740" s="40"/>
      <c r="AG740" s="42"/>
      <c r="AJ740" s="1"/>
    </row>
    <row r="741" spans="3:36" ht="15.75" customHeight="1">
      <c r="C741" s="48"/>
      <c r="H741" s="39"/>
      <c r="K741" s="40"/>
      <c r="T741" s="41"/>
      <c r="AA741" s="39"/>
      <c r="AF741" s="40"/>
      <c r="AG741" s="42"/>
      <c r="AJ741" s="1"/>
    </row>
    <row r="742" spans="3:36" ht="15.75" customHeight="1">
      <c r="C742" s="48"/>
      <c r="H742" s="39"/>
      <c r="K742" s="40"/>
      <c r="T742" s="41"/>
      <c r="AA742" s="39"/>
      <c r="AF742" s="40"/>
      <c r="AG742" s="42"/>
      <c r="AJ742" s="1"/>
    </row>
    <row r="743" spans="3:36" ht="15.75" customHeight="1">
      <c r="C743" s="48"/>
      <c r="H743" s="39"/>
      <c r="K743" s="40"/>
      <c r="T743" s="41"/>
      <c r="AA743" s="39"/>
      <c r="AF743" s="40"/>
      <c r="AG743" s="42"/>
      <c r="AJ743" s="1"/>
    </row>
    <row r="744" spans="3:36" ht="15.75" customHeight="1">
      <c r="C744" s="48"/>
      <c r="H744" s="39"/>
      <c r="K744" s="40"/>
      <c r="T744" s="41"/>
      <c r="AA744" s="39"/>
      <c r="AF744" s="40"/>
      <c r="AG744" s="42"/>
      <c r="AJ744" s="1"/>
    </row>
    <row r="745" spans="3:36" ht="15.75" customHeight="1">
      <c r="C745" s="48"/>
      <c r="H745" s="39"/>
      <c r="K745" s="40"/>
      <c r="T745" s="41"/>
      <c r="AA745" s="39"/>
      <c r="AF745" s="40"/>
      <c r="AG745" s="42"/>
      <c r="AJ745" s="1"/>
    </row>
    <row r="746" spans="3:36" ht="15.75" customHeight="1">
      <c r="C746" s="48"/>
      <c r="H746" s="39"/>
      <c r="K746" s="40"/>
      <c r="T746" s="41"/>
      <c r="AA746" s="39"/>
      <c r="AF746" s="40"/>
      <c r="AG746" s="42"/>
      <c r="AJ746" s="1"/>
    </row>
    <row r="747" spans="3:36" ht="15.75" customHeight="1">
      <c r="C747" s="48"/>
      <c r="H747" s="39"/>
      <c r="K747" s="40"/>
      <c r="T747" s="41"/>
      <c r="AA747" s="39"/>
      <c r="AF747" s="40"/>
      <c r="AG747" s="42"/>
      <c r="AJ747" s="1"/>
    </row>
    <row r="748" spans="3:36" ht="15.75" customHeight="1">
      <c r="C748" s="48"/>
      <c r="H748" s="39"/>
      <c r="K748" s="40"/>
      <c r="T748" s="41"/>
      <c r="AA748" s="39"/>
      <c r="AF748" s="40"/>
      <c r="AG748" s="42"/>
      <c r="AJ748" s="1"/>
    </row>
    <row r="749" spans="3:36" ht="15.75" customHeight="1">
      <c r="C749" s="48"/>
      <c r="H749" s="39"/>
      <c r="K749" s="40"/>
      <c r="T749" s="41"/>
      <c r="AA749" s="39"/>
      <c r="AF749" s="40"/>
      <c r="AG749" s="42"/>
      <c r="AJ749" s="1"/>
    </row>
    <row r="750" spans="3:36" ht="15.75" customHeight="1">
      <c r="C750" s="48"/>
      <c r="H750" s="39"/>
      <c r="K750" s="40"/>
      <c r="T750" s="41"/>
      <c r="AA750" s="39"/>
      <c r="AF750" s="40"/>
      <c r="AG750" s="42"/>
      <c r="AJ750" s="1"/>
    </row>
    <row r="751" spans="3:36" ht="15.75" customHeight="1">
      <c r="C751" s="48"/>
      <c r="H751" s="39"/>
      <c r="K751" s="40"/>
      <c r="T751" s="41"/>
      <c r="AA751" s="39"/>
      <c r="AF751" s="40"/>
      <c r="AG751" s="42"/>
      <c r="AJ751" s="1"/>
    </row>
    <row r="752" spans="3:36" ht="15.75" customHeight="1">
      <c r="C752" s="48"/>
      <c r="H752" s="39"/>
      <c r="K752" s="40"/>
      <c r="T752" s="41"/>
      <c r="AA752" s="39"/>
      <c r="AF752" s="40"/>
      <c r="AG752" s="42"/>
      <c r="AJ752" s="1"/>
    </row>
    <row r="753" spans="3:36" ht="15.75" customHeight="1">
      <c r="C753" s="48"/>
      <c r="H753" s="39"/>
      <c r="K753" s="40"/>
      <c r="T753" s="41"/>
      <c r="AA753" s="39"/>
      <c r="AF753" s="40"/>
      <c r="AG753" s="42"/>
      <c r="AJ753" s="1"/>
    </row>
    <row r="754" spans="3:36" ht="15.75" customHeight="1">
      <c r="C754" s="48"/>
      <c r="H754" s="39"/>
      <c r="K754" s="40"/>
      <c r="T754" s="41"/>
      <c r="AA754" s="39"/>
      <c r="AF754" s="40"/>
      <c r="AG754" s="42"/>
      <c r="AJ754" s="1"/>
    </row>
    <row r="755" spans="3:36" ht="15.75" customHeight="1">
      <c r="C755" s="48"/>
      <c r="H755" s="39"/>
      <c r="K755" s="40"/>
      <c r="T755" s="41"/>
      <c r="AA755" s="39"/>
      <c r="AF755" s="40"/>
      <c r="AG755" s="42"/>
      <c r="AJ755" s="1"/>
    </row>
    <row r="756" spans="3:36" ht="15.75" customHeight="1">
      <c r="C756" s="48"/>
      <c r="H756" s="39"/>
      <c r="K756" s="40"/>
      <c r="T756" s="41"/>
      <c r="AA756" s="39"/>
      <c r="AF756" s="40"/>
      <c r="AG756" s="42"/>
      <c r="AJ756" s="1"/>
    </row>
    <row r="757" spans="3:36" ht="15.75" customHeight="1">
      <c r="C757" s="48"/>
      <c r="H757" s="39"/>
      <c r="K757" s="40"/>
      <c r="T757" s="41"/>
      <c r="AA757" s="39"/>
      <c r="AF757" s="40"/>
      <c r="AG757" s="42"/>
      <c r="AJ757" s="1"/>
    </row>
    <row r="758" spans="3:36" ht="15.75" customHeight="1">
      <c r="C758" s="48"/>
      <c r="H758" s="39"/>
      <c r="K758" s="40"/>
      <c r="T758" s="41"/>
      <c r="AA758" s="39"/>
      <c r="AF758" s="40"/>
      <c r="AG758" s="42"/>
      <c r="AJ758" s="1"/>
    </row>
    <row r="759" spans="3:36" ht="15.75" customHeight="1">
      <c r="C759" s="48"/>
      <c r="H759" s="39"/>
      <c r="K759" s="40"/>
      <c r="T759" s="41"/>
      <c r="AA759" s="39"/>
      <c r="AF759" s="40"/>
      <c r="AG759" s="42"/>
      <c r="AJ759" s="1"/>
    </row>
    <row r="760" spans="3:36" ht="15.75" customHeight="1">
      <c r="C760" s="48"/>
      <c r="H760" s="39"/>
      <c r="K760" s="40"/>
      <c r="T760" s="41"/>
      <c r="AA760" s="39"/>
      <c r="AF760" s="40"/>
      <c r="AG760" s="42"/>
      <c r="AJ760" s="1"/>
    </row>
    <row r="761" spans="3:36" ht="15.75" customHeight="1">
      <c r="C761" s="48"/>
      <c r="H761" s="39"/>
      <c r="K761" s="40"/>
      <c r="T761" s="41"/>
      <c r="AA761" s="39"/>
      <c r="AF761" s="40"/>
      <c r="AG761" s="42"/>
      <c r="AJ761" s="1"/>
    </row>
    <row r="762" spans="3:36" ht="15.75" customHeight="1">
      <c r="C762" s="48"/>
      <c r="H762" s="39"/>
      <c r="K762" s="40"/>
      <c r="T762" s="41"/>
      <c r="AA762" s="39"/>
      <c r="AF762" s="40"/>
      <c r="AG762" s="42"/>
      <c r="AJ762" s="1"/>
    </row>
    <row r="763" spans="3:36" ht="15.75" customHeight="1">
      <c r="C763" s="48"/>
      <c r="H763" s="39"/>
      <c r="K763" s="40"/>
      <c r="T763" s="41"/>
      <c r="AA763" s="39"/>
      <c r="AF763" s="40"/>
      <c r="AG763" s="42"/>
      <c r="AJ763" s="1"/>
    </row>
    <row r="764" spans="3:36" ht="15.75" customHeight="1">
      <c r="C764" s="48"/>
      <c r="H764" s="39"/>
      <c r="K764" s="40"/>
      <c r="T764" s="41"/>
      <c r="AA764" s="39"/>
      <c r="AF764" s="40"/>
      <c r="AG764" s="42"/>
      <c r="AJ764" s="1"/>
    </row>
    <row r="765" spans="3:36" ht="15.75" customHeight="1">
      <c r="C765" s="48"/>
      <c r="H765" s="39"/>
      <c r="K765" s="40"/>
      <c r="T765" s="41"/>
      <c r="AA765" s="39"/>
      <c r="AF765" s="40"/>
      <c r="AG765" s="42"/>
      <c r="AJ765" s="1"/>
    </row>
    <row r="766" spans="3:36" ht="15.75" customHeight="1">
      <c r="C766" s="48"/>
      <c r="H766" s="39"/>
      <c r="K766" s="40"/>
      <c r="T766" s="41"/>
      <c r="AA766" s="39"/>
      <c r="AF766" s="40"/>
      <c r="AG766" s="42"/>
      <c r="AJ766" s="1"/>
    </row>
    <row r="767" spans="3:36" ht="15.75" customHeight="1">
      <c r="C767" s="48"/>
      <c r="H767" s="39"/>
      <c r="K767" s="40"/>
      <c r="T767" s="41"/>
      <c r="AA767" s="39"/>
      <c r="AF767" s="40"/>
      <c r="AG767" s="42"/>
      <c r="AJ767" s="1"/>
    </row>
    <row r="768" spans="3:36" ht="15.75" customHeight="1">
      <c r="C768" s="48"/>
      <c r="H768" s="39"/>
      <c r="K768" s="40"/>
      <c r="T768" s="41"/>
      <c r="AA768" s="39"/>
      <c r="AF768" s="40"/>
      <c r="AG768" s="42"/>
      <c r="AJ768" s="1"/>
    </row>
    <row r="769" spans="3:36" ht="15.75" customHeight="1">
      <c r="C769" s="48"/>
      <c r="H769" s="39"/>
      <c r="K769" s="40"/>
      <c r="T769" s="41"/>
      <c r="AA769" s="39"/>
      <c r="AF769" s="40"/>
      <c r="AG769" s="42"/>
      <c r="AJ769" s="1"/>
    </row>
    <row r="770" spans="3:36" ht="15.75" customHeight="1">
      <c r="C770" s="48"/>
      <c r="H770" s="39"/>
      <c r="K770" s="40"/>
      <c r="T770" s="41"/>
      <c r="AA770" s="39"/>
      <c r="AF770" s="40"/>
      <c r="AG770" s="42"/>
      <c r="AJ770" s="1"/>
    </row>
    <row r="771" spans="3:36" ht="15.75" customHeight="1">
      <c r="C771" s="48"/>
      <c r="H771" s="39"/>
      <c r="K771" s="40"/>
      <c r="T771" s="41"/>
      <c r="AA771" s="39"/>
      <c r="AF771" s="40"/>
      <c r="AG771" s="42"/>
      <c r="AJ771" s="1"/>
    </row>
    <row r="772" spans="3:36" ht="15.75" customHeight="1">
      <c r="C772" s="48"/>
      <c r="H772" s="39"/>
      <c r="K772" s="40"/>
      <c r="T772" s="41"/>
      <c r="AA772" s="39"/>
      <c r="AF772" s="40"/>
      <c r="AG772" s="42"/>
      <c r="AJ772" s="1"/>
    </row>
    <row r="773" spans="3:36" ht="15.75" customHeight="1">
      <c r="C773" s="48"/>
      <c r="H773" s="39"/>
      <c r="K773" s="40"/>
      <c r="T773" s="41"/>
      <c r="AA773" s="39"/>
      <c r="AF773" s="40"/>
      <c r="AG773" s="42"/>
      <c r="AJ773" s="1"/>
    </row>
    <row r="774" spans="3:36" ht="15.75" customHeight="1">
      <c r="C774" s="48"/>
      <c r="H774" s="39"/>
      <c r="K774" s="40"/>
      <c r="T774" s="41"/>
      <c r="AA774" s="39"/>
      <c r="AF774" s="40"/>
      <c r="AG774" s="42"/>
      <c r="AJ774" s="1"/>
    </row>
    <row r="775" spans="3:36" ht="15.75" customHeight="1">
      <c r="C775" s="48"/>
      <c r="H775" s="39"/>
      <c r="K775" s="40"/>
      <c r="T775" s="41"/>
      <c r="AA775" s="39"/>
      <c r="AF775" s="40"/>
      <c r="AG775" s="42"/>
      <c r="AJ775" s="1"/>
    </row>
    <row r="776" spans="3:36" ht="15.75" customHeight="1">
      <c r="C776" s="48"/>
      <c r="H776" s="39"/>
      <c r="K776" s="40"/>
      <c r="T776" s="41"/>
      <c r="AA776" s="39"/>
      <c r="AF776" s="40"/>
      <c r="AG776" s="42"/>
      <c r="AJ776" s="1"/>
    </row>
    <row r="777" spans="3:36" ht="15.75" customHeight="1">
      <c r="C777" s="48"/>
      <c r="H777" s="39"/>
      <c r="K777" s="40"/>
      <c r="T777" s="41"/>
      <c r="AA777" s="39"/>
      <c r="AF777" s="40"/>
      <c r="AG777" s="42"/>
      <c r="AJ777" s="1"/>
    </row>
    <row r="778" spans="3:36" ht="15.75" customHeight="1">
      <c r="C778" s="48"/>
      <c r="H778" s="39"/>
      <c r="K778" s="40"/>
      <c r="T778" s="41"/>
      <c r="AA778" s="39"/>
      <c r="AF778" s="40"/>
      <c r="AG778" s="42"/>
      <c r="AJ778" s="1"/>
    </row>
    <row r="779" spans="3:36" ht="15.75" customHeight="1">
      <c r="C779" s="48"/>
      <c r="H779" s="39"/>
      <c r="K779" s="40"/>
      <c r="T779" s="41"/>
      <c r="AA779" s="39"/>
      <c r="AF779" s="40"/>
      <c r="AG779" s="42"/>
      <c r="AJ779" s="1"/>
    </row>
    <row r="780" spans="3:36" ht="15.75" customHeight="1">
      <c r="C780" s="48"/>
      <c r="H780" s="39"/>
      <c r="K780" s="40"/>
      <c r="T780" s="41"/>
      <c r="AA780" s="39"/>
      <c r="AF780" s="40"/>
      <c r="AG780" s="42"/>
      <c r="AJ780" s="1"/>
    </row>
    <row r="781" spans="3:36" ht="15.75" customHeight="1">
      <c r="C781" s="48"/>
      <c r="H781" s="39"/>
      <c r="K781" s="40"/>
      <c r="T781" s="41"/>
      <c r="AA781" s="39"/>
      <c r="AF781" s="40"/>
      <c r="AG781" s="42"/>
      <c r="AJ781" s="1"/>
    </row>
    <row r="782" spans="3:36" ht="15.75" customHeight="1">
      <c r="C782" s="48"/>
      <c r="H782" s="39"/>
      <c r="K782" s="40"/>
      <c r="T782" s="41"/>
      <c r="AA782" s="39"/>
      <c r="AF782" s="40"/>
      <c r="AG782" s="42"/>
      <c r="AJ782" s="1"/>
    </row>
    <row r="783" spans="3:36" ht="15.75" customHeight="1">
      <c r="C783" s="48"/>
      <c r="H783" s="39"/>
      <c r="K783" s="40"/>
      <c r="T783" s="41"/>
      <c r="AA783" s="39"/>
      <c r="AF783" s="40"/>
      <c r="AG783" s="42"/>
      <c r="AJ783" s="1"/>
    </row>
    <row r="784" spans="3:36" ht="15.75" customHeight="1">
      <c r="C784" s="48"/>
      <c r="H784" s="39"/>
      <c r="K784" s="40"/>
      <c r="T784" s="41"/>
      <c r="AA784" s="39"/>
      <c r="AF784" s="40"/>
      <c r="AG784" s="42"/>
      <c r="AJ784" s="1"/>
    </row>
    <row r="785" spans="3:36" ht="15.75" customHeight="1">
      <c r="C785" s="48"/>
      <c r="H785" s="39"/>
      <c r="K785" s="40"/>
      <c r="T785" s="41"/>
      <c r="AA785" s="39"/>
      <c r="AF785" s="40"/>
      <c r="AG785" s="42"/>
      <c r="AJ785" s="1"/>
    </row>
    <row r="786" spans="3:36" ht="15.75" customHeight="1">
      <c r="C786" s="48"/>
      <c r="H786" s="39"/>
      <c r="K786" s="40"/>
      <c r="T786" s="41"/>
      <c r="AA786" s="39"/>
      <c r="AF786" s="40"/>
      <c r="AG786" s="42"/>
      <c r="AJ786" s="1"/>
    </row>
    <row r="787" spans="3:36" ht="15.75" customHeight="1">
      <c r="C787" s="48"/>
      <c r="H787" s="39"/>
      <c r="K787" s="40"/>
      <c r="T787" s="41"/>
      <c r="AA787" s="39"/>
      <c r="AF787" s="40"/>
      <c r="AG787" s="42"/>
      <c r="AJ787" s="1"/>
    </row>
    <row r="788" spans="3:36" ht="15.75" customHeight="1">
      <c r="C788" s="48"/>
      <c r="H788" s="39"/>
      <c r="K788" s="40"/>
      <c r="T788" s="41"/>
      <c r="AA788" s="39"/>
      <c r="AF788" s="40"/>
      <c r="AG788" s="42"/>
      <c r="AJ788" s="1"/>
    </row>
    <row r="789" spans="3:36" ht="15.75" customHeight="1">
      <c r="C789" s="48"/>
      <c r="H789" s="39"/>
      <c r="K789" s="40"/>
      <c r="T789" s="41"/>
      <c r="AA789" s="39"/>
      <c r="AF789" s="40"/>
      <c r="AG789" s="42"/>
      <c r="AJ789" s="1"/>
    </row>
    <row r="790" spans="3:36" ht="15.75" customHeight="1">
      <c r="C790" s="48"/>
      <c r="H790" s="39"/>
      <c r="K790" s="40"/>
      <c r="T790" s="41"/>
      <c r="AA790" s="39"/>
      <c r="AF790" s="40"/>
      <c r="AG790" s="42"/>
      <c r="AJ790" s="1"/>
    </row>
    <row r="791" spans="3:36" ht="15.75" customHeight="1">
      <c r="C791" s="48"/>
      <c r="H791" s="39"/>
      <c r="K791" s="40"/>
      <c r="T791" s="41"/>
      <c r="AA791" s="39"/>
      <c r="AF791" s="40"/>
      <c r="AG791" s="42"/>
      <c r="AJ791" s="1"/>
    </row>
    <row r="792" spans="3:36" ht="15.75" customHeight="1">
      <c r="C792" s="48"/>
      <c r="H792" s="39"/>
      <c r="K792" s="40"/>
      <c r="T792" s="41"/>
      <c r="AA792" s="39"/>
      <c r="AF792" s="40"/>
      <c r="AG792" s="42"/>
      <c r="AJ792" s="1"/>
    </row>
    <row r="793" spans="3:36" ht="15.75" customHeight="1">
      <c r="C793" s="48"/>
      <c r="H793" s="39"/>
      <c r="K793" s="40"/>
      <c r="T793" s="41"/>
      <c r="AA793" s="39"/>
      <c r="AF793" s="40"/>
      <c r="AG793" s="42"/>
      <c r="AJ793" s="1"/>
    </row>
    <row r="794" spans="3:36" ht="15.75" customHeight="1">
      <c r="C794" s="48"/>
      <c r="H794" s="39"/>
      <c r="K794" s="40"/>
      <c r="T794" s="41"/>
      <c r="AA794" s="39"/>
      <c r="AF794" s="40"/>
      <c r="AG794" s="42"/>
      <c r="AJ794" s="1"/>
    </row>
    <row r="795" spans="3:36" ht="15.75" customHeight="1">
      <c r="C795" s="48"/>
      <c r="H795" s="39"/>
      <c r="K795" s="40"/>
      <c r="T795" s="41"/>
      <c r="AA795" s="39"/>
      <c r="AF795" s="40"/>
      <c r="AG795" s="42"/>
      <c r="AJ795" s="1"/>
    </row>
    <row r="796" spans="3:36" ht="15.75" customHeight="1">
      <c r="C796" s="48"/>
      <c r="H796" s="39"/>
      <c r="K796" s="40"/>
      <c r="T796" s="41"/>
      <c r="AA796" s="39"/>
      <c r="AF796" s="40"/>
      <c r="AG796" s="42"/>
      <c r="AJ796" s="1"/>
    </row>
    <row r="797" spans="3:36" ht="15.75" customHeight="1">
      <c r="C797" s="48"/>
      <c r="H797" s="39"/>
      <c r="K797" s="40"/>
      <c r="T797" s="41"/>
      <c r="AA797" s="39"/>
      <c r="AF797" s="40"/>
      <c r="AG797" s="42"/>
      <c r="AJ797" s="1"/>
    </row>
    <row r="798" spans="3:36" ht="15.75" customHeight="1">
      <c r="C798" s="48"/>
      <c r="H798" s="39"/>
      <c r="K798" s="40"/>
      <c r="T798" s="41"/>
      <c r="AA798" s="39"/>
      <c r="AF798" s="40"/>
      <c r="AG798" s="42"/>
      <c r="AJ798" s="1"/>
    </row>
    <row r="799" spans="3:36" ht="15.75" customHeight="1">
      <c r="C799" s="48"/>
      <c r="H799" s="39"/>
      <c r="K799" s="40"/>
      <c r="T799" s="41"/>
      <c r="AA799" s="39"/>
      <c r="AF799" s="40"/>
      <c r="AG799" s="42"/>
      <c r="AJ799" s="1"/>
    </row>
    <row r="800" spans="3:36" ht="15.75" customHeight="1">
      <c r="C800" s="48"/>
      <c r="H800" s="39"/>
      <c r="K800" s="40"/>
      <c r="T800" s="41"/>
      <c r="AA800" s="39"/>
      <c r="AF800" s="40"/>
      <c r="AG800" s="42"/>
      <c r="AJ800" s="1"/>
    </row>
    <row r="801" spans="3:36" ht="15.75" customHeight="1">
      <c r="C801" s="48"/>
      <c r="H801" s="39"/>
      <c r="K801" s="40"/>
      <c r="T801" s="41"/>
      <c r="AA801" s="39"/>
      <c r="AF801" s="40"/>
      <c r="AG801" s="42"/>
      <c r="AJ801" s="1"/>
    </row>
    <row r="802" spans="3:36" ht="15.75" customHeight="1">
      <c r="C802" s="48"/>
      <c r="H802" s="39"/>
      <c r="K802" s="40"/>
      <c r="T802" s="41"/>
      <c r="AA802" s="39"/>
      <c r="AF802" s="40"/>
      <c r="AG802" s="42"/>
      <c r="AJ802" s="1"/>
    </row>
    <row r="803" spans="3:36" ht="15.75" customHeight="1">
      <c r="C803" s="48"/>
      <c r="H803" s="39"/>
      <c r="K803" s="40"/>
      <c r="T803" s="41"/>
      <c r="AA803" s="39"/>
      <c r="AF803" s="40"/>
      <c r="AG803" s="42"/>
      <c r="AJ803" s="1"/>
    </row>
    <row r="804" spans="3:36" ht="15.75" customHeight="1">
      <c r="C804" s="48"/>
      <c r="H804" s="39"/>
      <c r="K804" s="40"/>
      <c r="T804" s="41"/>
      <c r="AA804" s="39"/>
      <c r="AF804" s="40"/>
      <c r="AG804" s="42"/>
      <c r="AJ804" s="1"/>
    </row>
    <row r="805" spans="3:36" ht="15.75" customHeight="1">
      <c r="C805" s="48"/>
      <c r="H805" s="39"/>
      <c r="K805" s="40"/>
      <c r="T805" s="41"/>
      <c r="AA805" s="39"/>
      <c r="AF805" s="40"/>
      <c r="AG805" s="42"/>
      <c r="AJ805" s="1"/>
    </row>
    <row r="806" spans="3:36" ht="15.75" customHeight="1">
      <c r="C806" s="48"/>
      <c r="H806" s="39"/>
      <c r="K806" s="40"/>
      <c r="T806" s="41"/>
      <c r="AA806" s="39"/>
      <c r="AF806" s="40"/>
      <c r="AG806" s="42"/>
      <c r="AJ806" s="1"/>
    </row>
    <row r="807" spans="3:36" ht="15.75" customHeight="1">
      <c r="C807" s="48"/>
      <c r="H807" s="39"/>
      <c r="K807" s="40"/>
      <c r="T807" s="41"/>
      <c r="AA807" s="39"/>
      <c r="AF807" s="40"/>
      <c r="AG807" s="42"/>
      <c r="AJ807" s="1"/>
    </row>
    <row r="808" spans="3:36" ht="15.75" customHeight="1">
      <c r="C808" s="48"/>
      <c r="H808" s="39"/>
      <c r="K808" s="40"/>
      <c r="T808" s="41"/>
      <c r="AA808" s="39"/>
      <c r="AF808" s="40"/>
      <c r="AG808" s="42"/>
      <c r="AJ808" s="1"/>
    </row>
    <row r="809" spans="3:36" ht="15.75" customHeight="1">
      <c r="C809" s="48"/>
      <c r="H809" s="39"/>
      <c r="K809" s="40"/>
      <c r="T809" s="41"/>
      <c r="AA809" s="39"/>
      <c r="AF809" s="40"/>
      <c r="AG809" s="42"/>
      <c r="AJ809" s="1"/>
    </row>
    <row r="810" spans="3:36" ht="15.75" customHeight="1">
      <c r="C810" s="48"/>
      <c r="H810" s="39"/>
      <c r="K810" s="40"/>
      <c r="T810" s="41"/>
      <c r="AA810" s="39"/>
      <c r="AF810" s="40"/>
      <c r="AG810" s="42"/>
      <c r="AJ810" s="1"/>
    </row>
    <row r="811" spans="3:36" ht="15.75" customHeight="1">
      <c r="C811" s="48"/>
      <c r="H811" s="39"/>
      <c r="K811" s="40"/>
      <c r="T811" s="41"/>
      <c r="AA811" s="39"/>
      <c r="AF811" s="40"/>
      <c r="AG811" s="42"/>
      <c r="AJ811" s="1"/>
    </row>
    <row r="812" spans="3:36" ht="15.75" customHeight="1">
      <c r="C812" s="48"/>
      <c r="H812" s="39"/>
      <c r="K812" s="40"/>
      <c r="T812" s="41"/>
      <c r="AA812" s="39"/>
      <c r="AF812" s="40"/>
      <c r="AG812" s="42"/>
      <c r="AJ812" s="1"/>
    </row>
    <row r="813" spans="3:36" ht="15.75" customHeight="1">
      <c r="C813" s="48"/>
      <c r="H813" s="39"/>
      <c r="K813" s="40"/>
      <c r="T813" s="41"/>
      <c r="AA813" s="39"/>
      <c r="AF813" s="40"/>
      <c r="AG813" s="42"/>
      <c r="AJ813" s="1"/>
    </row>
    <row r="814" spans="3:36" ht="15.75" customHeight="1">
      <c r="C814" s="48"/>
      <c r="H814" s="39"/>
      <c r="K814" s="40"/>
      <c r="T814" s="41"/>
      <c r="AA814" s="39"/>
      <c r="AF814" s="40"/>
      <c r="AG814" s="42"/>
      <c r="AJ814" s="1"/>
    </row>
    <row r="815" spans="3:36" ht="15.75" customHeight="1">
      <c r="C815" s="48"/>
      <c r="H815" s="39"/>
      <c r="K815" s="40"/>
      <c r="T815" s="41"/>
      <c r="AA815" s="39"/>
      <c r="AF815" s="40"/>
      <c r="AG815" s="42"/>
      <c r="AJ815" s="1"/>
    </row>
    <row r="816" spans="3:36" ht="15.75" customHeight="1">
      <c r="C816" s="48"/>
      <c r="H816" s="39"/>
      <c r="K816" s="40"/>
      <c r="T816" s="41"/>
      <c r="AA816" s="39"/>
      <c r="AF816" s="40"/>
      <c r="AG816" s="42"/>
      <c r="AJ816" s="1"/>
    </row>
    <row r="817" spans="3:36" ht="15.75" customHeight="1">
      <c r="C817" s="48"/>
      <c r="H817" s="39"/>
      <c r="K817" s="40"/>
      <c r="T817" s="41"/>
      <c r="AA817" s="39"/>
      <c r="AF817" s="40"/>
      <c r="AG817" s="42"/>
      <c r="AJ817" s="1"/>
    </row>
    <row r="818" spans="3:36" ht="15.75" customHeight="1">
      <c r="C818" s="48"/>
      <c r="H818" s="39"/>
      <c r="K818" s="40"/>
      <c r="T818" s="41"/>
      <c r="AA818" s="39"/>
      <c r="AF818" s="40"/>
      <c r="AG818" s="42"/>
      <c r="AJ818" s="1"/>
    </row>
    <row r="819" spans="3:36" ht="15.75" customHeight="1">
      <c r="C819" s="48"/>
      <c r="H819" s="39"/>
      <c r="K819" s="40"/>
      <c r="T819" s="41"/>
      <c r="AA819" s="39"/>
      <c r="AF819" s="40"/>
      <c r="AG819" s="42"/>
      <c r="AJ819" s="1"/>
    </row>
    <row r="820" spans="3:36" ht="15.75" customHeight="1">
      <c r="C820" s="48"/>
      <c r="H820" s="39"/>
      <c r="K820" s="40"/>
      <c r="T820" s="41"/>
      <c r="AA820" s="39"/>
      <c r="AF820" s="40"/>
      <c r="AG820" s="42"/>
      <c r="AJ820" s="1"/>
    </row>
    <row r="821" spans="3:36" ht="15.75" customHeight="1">
      <c r="C821" s="48"/>
      <c r="H821" s="39"/>
      <c r="K821" s="40"/>
      <c r="T821" s="41"/>
      <c r="AA821" s="39"/>
      <c r="AF821" s="40"/>
      <c r="AG821" s="42"/>
      <c r="AJ821" s="1"/>
    </row>
    <row r="822" spans="3:36" ht="15.75" customHeight="1">
      <c r="C822" s="48"/>
      <c r="H822" s="39"/>
      <c r="K822" s="40"/>
      <c r="T822" s="41"/>
      <c r="AA822" s="39"/>
      <c r="AF822" s="40"/>
      <c r="AG822" s="42"/>
      <c r="AJ822" s="1"/>
    </row>
    <row r="823" spans="3:36" ht="15.75" customHeight="1">
      <c r="C823" s="48"/>
      <c r="H823" s="39"/>
      <c r="K823" s="40"/>
      <c r="T823" s="41"/>
      <c r="AA823" s="39"/>
      <c r="AF823" s="40"/>
      <c r="AG823" s="42"/>
      <c r="AJ823" s="1"/>
    </row>
    <row r="824" spans="3:36" ht="15.75" customHeight="1">
      <c r="C824" s="48"/>
      <c r="H824" s="39"/>
      <c r="K824" s="40"/>
      <c r="T824" s="41"/>
      <c r="AA824" s="39"/>
      <c r="AF824" s="40"/>
      <c r="AG824" s="42"/>
      <c r="AJ824" s="1"/>
    </row>
    <row r="825" spans="3:36" ht="15.75" customHeight="1">
      <c r="C825" s="48"/>
      <c r="H825" s="39"/>
      <c r="K825" s="40"/>
      <c r="T825" s="41"/>
      <c r="AA825" s="39"/>
      <c r="AF825" s="40"/>
      <c r="AG825" s="42"/>
      <c r="AJ825" s="1"/>
    </row>
    <row r="826" spans="3:36" ht="15.75" customHeight="1">
      <c r="C826" s="48"/>
      <c r="H826" s="39"/>
      <c r="K826" s="40"/>
      <c r="T826" s="41"/>
      <c r="AA826" s="39"/>
      <c r="AF826" s="40"/>
      <c r="AG826" s="42"/>
      <c r="AJ826" s="1"/>
    </row>
    <row r="827" spans="3:36" ht="15.75" customHeight="1">
      <c r="C827" s="48"/>
      <c r="H827" s="39"/>
      <c r="K827" s="40"/>
      <c r="T827" s="41"/>
      <c r="AA827" s="39"/>
      <c r="AF827" s="40"/>
      <c r="AG827" s="42"/>
      <c r="AJ827" s="1"/>
    </row>
    <row r="828" spans="3:36" ht="15.75" customHeight="1">
      <c r="C828" s="48"/>
      <c r="H828" s="39"/>
      <c r="K828" s="40"/>
      <c r="T828" s="41"/>
      <c r="AA828" s="39"/>
      <c r="AF828" s="40"/>
      <c r="AG828" s="42"/>
      <c r="AJ828" s="1"/>
    </row>
    <row r="829" spans="3:36" ht="15.75" customHeight="1">
      <c r="C829" s="48"/>
      <c r="H829" s="39"/>
      <c r="K829" s="40"/>
      <c r="T829" s="41"/>
      <c r="AA829" s="39"/>
      <c r="AF829" s="40"/>
      <c r="AG829" s="42"/>
      <c r="AJ829" s="1"/>
    </row>
    <row r="830" spans="3:36" ht="15.75" customHeight="1">
      <c r="C830" s="48"/>
      <c r="H830" s="39"/>
      <c r="K830" s="40"/>
      <c r="T830" s="41"/>
      <c r="AA830" s="39"/>
      <c r="AF830" s="40"/>
      <c r="AG830" s="42"/>
      <c r="AJ830" s="1"/>
    </row>
    <row r="831" spans="3:36" ht="15.75" customHeight="1">
      <c r="C831" s="48"/>
      <c r="H831" s="39"/>
      <c r="K831" s="40"/>
      <c r="T831" s="41"/>
      <c r="AA831" s="39"/>
      <c r="AF831" s="40"/>
      <c r="AG831" s="42"/>
      <c r="AJ831" s="1"/>
    </row>
    <row r="832" spans="3:36" ht="15.75" customHeight="1">
      <c r="C832" s="48"/>
      <c r="H832" s="39"/>
      <c r="K832" s="40"/>
      <c r="T832" s="41"/>
      <c r="AA832" s="39"/>
      <c r="AF832" s="40"/>
      <c r="AG832" s="42"/>
      <c r="AJ832" s="1"/>
    </row>
    <row r="833" spans="3:36" ht="15.75" customHeight="1">
      <c r="C833" s="48"/>
      <c r="H833" s="39"/>
      <c r="K833" s="40"/>
      <c r="T833" s="41"/>
      <c r="AA833" s="39"/>
      <c r="AF833" s="40"/>
      <c r="AG833" s="42"/>
      <c r="AJ833" s="1"/>
    </row>
    <row r="834" spans="3:36" ht="15.75" customHeight="1">
      <c r="C834" s="48"/>
      <c r="H834" s="39"/>
      <c r="K834" s="40"/>
      <c r="T834" s="41"/>
      <c r="AA834" s="39"/>
      <c r="AF834" s="40"/>
      <c r="AG834" s="42"/>
      <c r="AJ834" s="1"/>
    </row>
    <row r="835" spans="3:36" ht="15.75" customHeight="1">
      <c r="C835" s="48"/>
      <c r="H835" s="39"/>
      <c r="K835" s="40"/>
      <c r="T835" s="41"/>
      <c r="AA835" s="39"/>
      <c r="AF835" s="40"/>
      <c r="AG835" s="42"/>
      <c r="AJ835" s="1"/>
    </row>
    <row r="836" spans="3:36" ht="15.75" customHeight="1">
      <c r="C836" s="48"/>
      <c r="H836" s="39"/>
      <c r="K836" s="40"/>
      <c r="T836" s="41"/>
      <c r="AA836" s="39"/>
      <c r="AF836" s="40"/>
      <c r="AG836" s="42"/>
      <c r="AJ836" s="1"/>
    </row>
    <row r="837" spans="3:36" ht="15.75" customHeight="1">
      <c r="C837" s="48"/>
      <c r="H837" s="39"/>
      <c r="K837" s="40"/>
      <c r="T837" s="41"/>
      <c r="AA837" s="39"/>
      <c r="AF837" s="40"/>
      <c r="AG837" s="42"/>
      <c r="AJ837" s="1"/>
    </row>
    <row r="838" spans="3:36" ht="15.75" customHeight="1">
      <c r="C838" s="48"/>
      <c r="H838" s="39"/>
      <c r="K838" s="40"/>
      <c r="T838" s="41"/>
      <c r="AA838" s="39"/>
      <c r="AF838" s="40"/>
      <c r="AG838" s="42"/>
      <c r="AJ838" s="1"/>
    </row>
    <row r="839" spans="3:36" ht="15.75" customHeight="1">
      <c r="C839" s="48"/>
      <c r="H839" s="39"/>
      <c r="K839" s="40"/>
      <c r="T839" s="41"/>
      <c r="AA839" s="39"/>
      <c r="AF839" s="40"/>
      <c r="AG839" s="42"/>
      <c r="AJ839" s="1"/>
    </row>
    <row r="840" spans="3:36" ht="15.75" customHeight="1">
      <c r="C840" s="48"/>
      <c r="H840" s="39"/>
      <c r="K840" s="40"/>
      <c r="T840" s="41"/>
      <c r="AA840" s="39"/>
      <c r="AF840" s="40"/>
      <c r="AG840" s="42"/>
      <c r="AJ840" s="1"/>
    </row>
    <row r="841" spans="3:36" ht="15.75" customHeight="1">
      <c r="C841" s="48"/>
      <c r="H841" s="39"/>
      <c r="K841" s="40"/>
      <c r="T841" s="41"/>
      <c r="AA841" s="39"/>
      <c r="AF841" s="40"/>
      <c r="AG841" s="42"/>
      <c r="AJ841" s="1"/>
    </row>
    <row r="842" spans="3:36" ht="15.75" customHeight="1">
      <c r="C842" s="48"/>
      <c r="H842" s="39"/>
      <c r="K842" s="40"/>
      <c r="T842" s="41"/>
      <c r="AA842" s="39"/>
      <c r="AF842" s="40"/>
      <c r="AG842" s="42"/>
      <c r="AJ842" s="1"/>
    </row>
    <row r="843" spans="3:36" ht="15.75" customHeight="1">
      <c r="C843" s="48"/>
      <c r="H843" s="39"/>
      <c r="K843" s="40"/>
      <c r="T843" s="41"/>
      <c r="AA843" s="39"/>
      <c r="AF843" s="40"/>
      <c r="AG843" s="42"/>
      <c r="AJ843" s="1"/>
    </row>
    <row r="844" spans="3:36" ht="15.75" customHeight="1">
      <c r="C844" s="48"/>
      <c r="H844" s="39"/>
      <c r="K844" s="40"/>
      <c r="T844" s="41"/>
      <c r="AA844" s="39"/>
      <c r="AF844" s="40"/>
      <c r="AG844" s="42"/>
      <c r="AJ844" s="1"/>
    </row>
    <row r="845" spans="3:36" ht="15.75" customHeight="1">
      <c r="C845" s="48"/>
      <c r="H845" s="39"/>
      <c r="K845" s="40"/>
      <c r="T845" s="41"/>
      <c r="AA845" s="39"/>
      <c r="AF845" s="40"/>
      <c r="AG845" s="42"/>
      <c r="AJ845" s="1"/>
    </row>
    <row r="846" spans="3:36" ht="15.75" customHeight="1">
      <c r="C846" s="48"/>
      <c r="H846" s="39"/>
      <c r="K846" s="40"/>
      <c r="T846" s="41"/>
      <c r="AA846" s="39"/>
      <c r="AF846" s="40"/>
      <c r="AG846" s="42"/>
      <c r="AJ846" s="1"/>
    </row>
    <row r="847" spans="3:36" ht="15.75" customHeight="1">
      <c r="C847" s="48"/>
      <c r="H847" s="39"/>
      <c r="K847" s="40"/>
      <c r="T847" s="41"/>
      <c r="AA847" s="39"/>
      <c r="AF847" s="40"/>
      <c r="AG847" s="42"/>
      <c r="AJ847" s="1"/>
    </row>
    <row r="848" spans="3:36" ht="15.75" customHeight="1">
      <c r="C848" s="48"/>
      <c r="H848" s="39"/>
      <c r="K848" s="40"/>
      <c r="T848" s="41"/>
      <c r="AA848" s="39"/>
      <c r="AF848" s="40"/>
      <c r="AG848" s="42"/>
      <c r="AJ848" s="1"/>
    </row>
    <row r="849" spans="3:36" ht="15.75" customHeight="1">
      <c r="C849" s="48"/>
      <c r="H849" s="39"/>
      <c r="K849" s="40"/>
      <c r="T849" s="41"/>
      <c r="AA849" s="39"/>
      <c r="AF849" s="40"/>
      <c r="AG849" s="42"/>
      <c r="AJ849" s="1"/>
    </row>
    <row r="850" spans="3:36" ht="15.75" customHeight="1">
      <c r="C850" s="48"/>
      <c r="H850" s="39"/>
      <c r="K850" s="40"/>
      <c r="T850" s="41"/>
      <c r="AA850" s="39"/>
      <c r="AF850" s="40"/>
      <c r="AG850" s="42"/>
      <c r="AJ850" s="1"/>
    </row>
    <row r="851" spans="3:36" ht="15.75" customHeight="1">
      <c r="C851" s="48"/>
      <c r="H851" s="39"/>
      <c r="K851" s="40"/>
      <c r="T851" s="41"/>
      <c r="AA851" s="39"/>
      <c r="AF851" s="40"/>
      <c r="AG851" s="42"/>
      <c r="AJ851" s="1"/>
    </row>
    <row r="852" spans="3:36" ht="15.75" customHeight="1">
      <c r="C852" s="48"/>
      <c r="H852" s="39"/>
      <c r="K852" s="40"/>
      <c r="T852" s="41"/>
      <c r="AA852" s="39"/>
      <c r="AF852" s="40"/>
      <c r="AG852" s="42"/>
      <c r="AJ852" s="1"/>
    </row>
    <row r="853" spans="3:36" ht="15.75" customHeight="1">
      <c r="C853" s="48"/>
      <c r="H853" s="39"/>
      <c r="K853" s="40"/>
      <c r="T853" s="41"/>
      <c r="AA853" s="39"/>
      <c r="AF853" s="40"/>
      <c r="AG853" s="42"/>
      <c r="AJ853" s="1"/>
    </row>
    <row r="854" spans="3:36" ht="15.75" customHeight="1">
      <c r="C854" s="48"/>
      <c r="H854" s="39"/>
      <c r="K854" s="40"/>
      <c r="T854" s="41"/>
      <c r="AA854" s="39"/>
      <c r="AF854" s="40"/>
      <c r="AG854" s="42"/>
      <c r="AJ854" s="1"/>
    </row>
    <row r="855" spans="3:36" ht="15.75" customHeight="1">
      <c r="C855" s="48"/>
      <c r="H855" s="39"/>
      <c r="K855" s="40"/>
      <c r="T855" s="41"/>
      <c r="AA855" s="39"/>
      <c r="AF855" s="40"/>
      <c r="AG855" s="42"/>
      <c r="AJ855" s="1"/>
    </row>
    <row r="856" spans="3:36" ht="15.75" customHeight="1">
      <c r="C856" s="48"/>
      <c r="H856" s="39"/>
      <c r="K856" s="40"/>
      <c r="T856" s="41"/>
      <c r="AA856" s="39"/>
      <c r="AF856" s="40"/>
      <c r="AG856" s="42"/>
      <c r="AJ856" s="1"/>
    </row>
    <row r="857" spans="3:36" ht="15.75" customHeight="1">
      <c r="C857" s="48"/>
      <c r="H857" s="39"/>
      <c r="K857" s="40"/>
      <c r="T857" s="41"/>
      <c r="AA857" s="39"/>
      <c r="AF857" s="40"/>
      <c r="AG857" s="42"/>
      <c r="AJ857" s="1"/>
    </row>
    <row r="858" spans="3:36" ht="15.75" customHeight="1">
      <c r="C858" s="48"/>
      <c r="H858" s="39"/>
      <c r="K858" s="40"/>
      <c r="T858" s="41"/>
      <c r="AA858" s="39"/>
      <c r="AF858" s="40"/>
      <c r="AG858" s="42"/>
      <c r="AJ858" s="1"/>
    </row>
    <row r="859" spans="3:36" ht="15.75" customHeight="1">
      <c r="C859" s="48"/>
      <c r="H859" s="39"/>
      <c r="K859" s="40"/>
      <c r="T859" s="41"/>
      <c r="AA859" s="39"/>
      <c r="AF859" s="40"/>
      <c r="AG859" s="42"/>
      <c r="AJ859" s="1"/>
    </row>
    <row r="860" spans="3:36" ht="15.75" customHeight="1">
      <c r="C860" s="48"/>
      <c r="H860" s="39"/>
      <c r="K860" s="40"/>
      <c r="T860" s="41"/>
      <c r="AA860" s="39"/>
      <c r="AF860" s="40"/>
      <c r="AG860" s="42"/>
      <c r="AJ860" s="1"/>
    </row>
    <row r="861" spans="3:36" ht="15.75" customHeight="1">
      <c r="C861" s="48"/>
      <c r="H861" s="39"/>
      <c r="K861" s="40"/>
      <c r="T861" s="41"/>
      <c r="AA861" s="39"/>
      <c r="AF861" s="40"/>
      <c r="AG861" s="42"/>
      <c r="AJ861" s="1"/>
    </row>
    <row r="862" spans="3:36" ht="15.75" customHeight="1">
      <c r="C862" s="48"/>
      <c r="H862" s="39"/>
      <c r="K862" s="40"/>
      <c r="T862" s="41"/>
      <c r="AA862" s="39"/>
      <c r="AF862" s="40"/>
      <c r="AG862" s="42"/>
      <c r="AJ862" s="1"/>
    </row>
    <row r="863" spans="3:36" ht="15.75" customHeight="1">
      <c r="C863" s="48"/>
      <c r="H863" s="39"/>
      <c r="K863" s="40"/>
      <c r="T863" s="41"/>
      <c r="AA863" s="39"/>
      <c r="AF863" s="40"/>
      <c r="AG863" s="42"/>
      <c r="AJ863" s="1"/>
    </row>
    <row r="864" spans="3:36" ht="15.75" customHeight="1">
      <c r="C864" s="48"/>
      <c r="H864" s="39"/>
      <c r="K864" s="40"/>
      <c r="T864" s="41"/>
      <c r="AA864" s="39"/>
      <c r="AF864" s="40"/>
      <c r="AG864" s="42"/>
      <c r="AJ864" s="1"/>
    </row>
    <row r="865" spans="3:36" ht="15.75" customHeight="1">
      <c r="C865" s="48"/>
      <c r="H865" s="39"/>
      <c r="K865" s="40"/>
      <c r="T865" s="41"/>
      <c r="AA865" s="39"/>
      <c r="AF865" s="40"/>
      <c r="AG865" s="42"/>
      <c r="AJ865" s="1"/>
    </row>
    <row r="866" spans="3:36" ht="15.75" customHeight="1">
      <c r="C866" s="48"/>
      <c r="H866" s="39"/>
      <c r="K866" s="40"/>
      <c r="T866" s="41"/>
      <c r="AA866" s="39"/>
      <c r="AF866" s="40"/>
      <c r="AG866" s="42"/>
      <c r="AJ866" s="1"/>
    </row>
    <row r="867" spans="3:36" ht="15.75" customHeight="1">
      <c r="C867" s="48"/>
      <c r="H867" s="39"/>
      <c r="K867" s="40"/>
      <c r="T867" s="41"/>
      <c r="AA867" s="39"/>
      <c r="AF867" s="40"/>
      <c r="AG867" s="42"/>
      <c r="AJ867" s="1"/>
    </row>
    <row r="868" spans="3:36" ht="15.75" customHeight="1">
      <c r="C868" s="48"/>
      <c r="H868" s="39"/>
      <c r="K868" s="40"/>
      <c r="T868" s="41"/>
      <c r="AA868" s="39"/>
      <c r="AF868" s="40"/>
      <c r="AG868" s="42"/>
      <c r="AJ868" s="1"/>
    </row>
    <row r="869" spans="3:36" ht="15.75" customHeight="1">
      <c r="C869" s="48"/>
      <c r="H869" s="39"/>
      <c r="K869" s="40"/>
      <c r="T869" s="41"/>
      <c r="AA869" s="39"/>
      <c r="AF869" s="40"/>
      <c r="AG869" s="42"/>
      <c r="AJ869" s="1"/>
    </row>
    <row r="870" spans="3:36" ht="15.75" customHeight="1">
      <c r="C870" s="48"/>
      <c r="H870" s="39"/>
      <c r="K870" s="40"/>
      <c r="T870" s="41"/>
      <c r="AA870" s="39"/>
      <c r="AF870" s="40"/>
      <c r="AG870" s="42"/>
      <c r="AJ870" s="1"/>
    </row>
    <row r="871" spans="3:36" ht="15.75" customHeight="1">
      <c r="C871" s="48"/>
      <c r="H871" s="39"/>
      <c r="K871" s="40"/>
      <c r="T871" s="41"/>
      <c r="AA871" s="39"/>
      <c r="AF871" s="40"/>
      <c r="AG871" s="42"/>
      <c r="AJ871" s="1"/>
    </row>
    <row r="872" spans="3:36" ht="15.75" customHeight="1">
      <c r="C872" s="48"/>
      <c r="H872" s="39"/>
      <c r="K872" s="40"/>
      <c r="T872" s="41"/>
      <c r="AA872" s="39"/>
      <c r="AF872" s="40"/>
      <c r="AG872" s="42"/>
      <c r="AJ872" s="1"/>
    </row>
    <row r="873" spans="3:36" ht="15.75" customHeight="1">
      <c r="C873" s="48"/>
      <c r="H873" s="39"/>
      <c r="K873" s="40"/>
      <c r="T873" s="41"/>
      <c r="AA873" s="39"/>
      <c r="AF873" s="40"/>
      <c r="AG873" s="42"/>
      <c r="AJ873" s="1"/>
    </row>
    <row r="874" spans="3:36" ht="15.75" customHeight="1">
      <c r="C874" s="48"/>
      <c r="H874" s="39"/>
      <c r="K874" s="40"/>
      <c r="T874" s="41"/>
      <c r="AA874" s="39"/>
      <c r="AF874" s="40"/>
      <c r="AG874" s="42"/>
      <c r="AJ874" s="1"/>
    </row>
    <row r="875" spans="3:36" ht="15.75" customHeight="1">
      <c r="C875" s="48"/>
      <c r="H875" s="39"/>
      <c r="K875" s="40"/>
      <c r="T875" s="41"/>
      <c r="AA875" s="39"/>
      <c r="AF875" s="40"/>
      <c r="AG875" s="42"/>
      <c r="AJ875" s="1"/>
    </row>
    <row r="876" spans="3:36" ht="15.75" customHeight="1">
      <c r="C876" s="48"/>
      <c r="H876" s="39"/>
      <c r="K876" s="40"/>
      <c r="T876" s="41"/>
      <c r="AA876" s="39"/>
      <c r="AF876" s="40"/>
      <c r="AG876" s="42"/>
      <c r="AJ876" s="1"/>
    </row>
    <row r="877" spans="3:36" ht="15.75" customHeight="1">
      <c r="C877" s="48"/>
      <c r="H877" s="39"/>
      <c r="K877" s="40"/>
      <c r="T877" s="41"/>
      <c r="AA877" s="39"/>
      <c r="AF877" s="40"/>
      <c r="AG877" s="42"/>
      <c r="AJ877" s="1"/>
    </row>
    <row r="878" spans="3:36" ht="15.75" customHeight="1">
      <c r="C878" s="48"/>
      <c r="H878" s="39"/>
      <c r="K878" s="40"/>
      <c r="T878" s="41"/>
      <c r="AA878" s="39"/>
      <c r="AF878" s="40"/>
      <c r="AG878" s="42"/>
      <c r="AJ878" s="1"/>
    </row>
    <row r="879" spans="3:36" ht="15.75" customHeight="1">
      <c r="C879" s="48"/>
      <c r="H879" s="39"/>
      <c r="K879" s="40"/>
      <c r="T879" s="41"/>
      <c r="AA879" s="39"/>
      <c r="AF879" s="40"/>
      <c r="AG879" s="42"/>
      <c r="AJ879" s="1"/>
    </row>
    <row r="880" spans="3:36" ht="15.75" customHeight="1">
      <c r="C880" s="48"/>
      <c r="H880" s="39"/>
      <c r="K880" s="40"/>
      <c r="T880" s="41"/>
      <c r="AA880" s="39"/>
      <c r="AF880" s="40"/>
      <c r="AG880" s="42"/>
      <c r="AJ880" s="1"/>
    </row>
    <row r="881" spans="3:36" ht="15.75" customHeight="1">
      <c r="C881" s="48"/>
      <c r="H881" s="39"/>
      <c r="K881" s="40"/>
      <c r="T881" s="41"/>
      <c r="AA881" s="39"/>
      <c r="AF881" s="40"/>
      <c r="AG881" s="42"/>
      <c r="AJ881" s="1"/>
    </row>
    <row r="882" spans="3:36" ht="15.75" customHeight="1">
      <c r="C882" s="48"/>
      <c r="H882" s="39"/>
      <c r="K882" s="40"/>
      <c r="T882" s="41"/>
      <c r="AA882" s="39"/>
      <c r="AF882" s="40"/>
      <c r="AG882" s="42"/>
      <c r="AJ882" s="1"/>
    </row>
    <row r="883" spans="3:36" ht="15.75" customHeight="1">
      <c r="C883" s="48"/>
      <c r="H883" s="39"/>
      <c r="K883" s="40"/>
      <c r="T883" s="41"/>
      <c r="AA883" s="39"/>
      <c r="AF883" s="40"/>
      <c r="AG883" s="42"/>
      <c r="AJ883" s="1"/>
    </row>
    <row r="884" spans="3:36" ht="15.75" customHeight="1">
      <c r="C884" s="48"/>
      <c r="H884" s="39"/>
      <c r="K884" s="40"/>
      <c r="T884" s="41"/>
      <c r="AA884" s="39"/>
      <c r="AF884" s="40"/>
      <c r="AG884" s="42"/>
      <c r="AJ884" s="1"/>
    </row>
    <row r="885" spans="3:36" ht="15.75" customHeight="1">
      <c r="C885" s="48"/>
      <c r="H885" s="39"/>
      <c r="K885" s="40"/>
      <c r="T885" s="41"/>
      <c r="AA885" s="39"/>
      <c r="AF885" s="40"/>
      <c r="AG885" s="42"/>
      <c r="AJ885" s="1"/>
    </row>
    <row r="886" spans="3:36" ht="15.75" customHeight="1">
      <c r="C886" s="48"/>
      <c r="H886" s="39"/>
      <c r="K886" s="40"/>
      <c r="T886" s="41"/>
      <c r="AA886" s="39"/>
      <c r="AF886" s="40"/>
      <c r="AG886" s="42"/>
      <c r="AJ886" s="1"/>
    </row>
    <row r="887" spans="3:36" ht="15.75" customHeight="1">
      <c r="C887" s="48"/>
      <c r="H887" s="39"/>
      <c r="K887" s="40"/>
      <c r="T887" s="41"/>
      <c r="AA887" s="39"/>
      <c r="AF887" s="40"/>
      <c r="AG887" s="42"/>
      <c r="AJ887" s="1"/>
    </row>
    <row r="888" spans="3:36" ht="15.75" customHeight="1">
      <c r="C888" s="48"/>
      <c r="H888" s="39"/>
      <c r="K888" s="40"/>
      <c r="T888" s="41"/>
      <c r="AA888" s="39"/>
      <c r="AF888" s="40"/>
      <c r="AG888" s="42"/>
      <c r="AJ888" s="1"/>
    </row>
    <row r="889" spans="3:36" ht="15.75" customHeight="1">
      <c r="C889" s="48"/>
      <c r="H889" s="39"/>
      <c r="K889" s="40"/>
      <c r="T889" s="41"/>
      <c r="AA889" s="39"/>
      <c r="AF889" s="40"/>
      <c r="AG889" s="42"/>
      <c r="AJ889" s="1"/>
    </row>
    <row r="890" spans="3:36" ht="15.75" customHeight="1">
      <c r="C890" s="48"/>
      <c r="H890" s="39"/>
      <c r="K890" s="40"/>
      <c r="T890" s="41"/>
      <c r="AA890" s="39"/>
      <c r="AF890" s="40"/>
      <c r="AG890" s="42"/>
      <c r="AJ890" s="1"/>
    </row>
    <row r="891" spans="3:36" ht="15.75" customHeight="1">
      <c r="C891" s="48"/>
      <c r="H891" s="39"/>
      <c r="K891" s="40"/>
      <c r="T891" s="41"/>
      <c r="AA891" s="39"/>
      <c r="AF891" s="40"/>
      <c r="AG891" s="42"/>
      <c r="AJ891" s="1"/>
    </row>
    <row r="892" spans="3:36" ht="15.75" customHeight="1">
      <c r="C892" s="48"/>
      <c r="H892" s="39"/>
      <c r="K892" s="40"/>
      <c r="T892" s="41"/>
      <c r="AA892" s="39"/>
      <c r="AF892" s="40"/>
      <c r="AG892" s="42"/>
      <c r="AJ892" s="1"/>
    </row>
    <row r="893" spans="3:36" ht="15.75" customHeight="1">
      <c r="C893" s="48"/>
      <c r="H893" s="39"/>
      <c r="K893" s="40"/>
      <c r="T893" s="41"/>
      <c r="AA893" s="39"/>
      <c r="AF893" s="40"/>
      <c r="AG893" s="42"/>
      <c r="AJ893" s="1"/>
    </row>
    <row r="894" spans="3:36" ht="15.75" customHeight="1">
      <c r="C894" s="48"/>
      <c r="H894" s="39"/>
      <c r="K894" s="40"/>
      <c r="T894" s="41"/>
      <c r="AA894" s="39"/>
      <c r="AF894" s="40"/>
      <c r="AG894" s="42"/>
      <c r="AJ894" s="1"/>
    </row>
    <row r="895" spans="3:36" ht="15.75" customHeight="1">
      <c r="C895" s="48"/>
      <c r="H895" s="39"/>
      <c r="K895" s="40"/>
      <c r="T895" s="41"/>
      <c r="AA895" s="39"/>
      <c r="AF895" s="40"/>
      <c r="AG895" s="42"/>
      <c r="AJ895" s="1"/>
    </row>
    <row r="896" spans="3:36" ht="15.75" customHeight="1">
      <c r="C896" s="48"/>
      <c r="H896" s="39"/>
      <c r="K896" s="40"/>
      <c r="T896" s="41"/>
      <c r="AA896" s="39"/>
      <c r="AF896" s="40"/>
      <c r="AG896" s="42"/>
      <c r="AJ896" s="1"/>
    </row>
    <row r="897" spans="3:36" ht="15.75" customHeight="1">
      <c r="C897" s="48"/>
      <c r="H897" s="39"/>
      <c r="K897" s="40"/>
      <c r="T897" s="41"/>
      <c r="AA897" s="39"/>
      <c r="AF897" s="40"/>
      <c r="AG897" s="42"/>
      <c r="AJ897" s="1"/>
    </row>
    <row r="898" spans="3:36" ht="15.75" customHeight="1">
      <c r="C898" s="48"/>
      <c r="H898" s="39"/>
      <c r="K898" s="40"/>
      <c r="T898" s="41"/>
      <c r="AA898" s="39"/>
      <c r="AF898" s="40"/>
      <c r="AG898" s="42"/>
      <c r="AJ898" s="1"/>
    </row>
    <row r="899" spans="3:36" ht="15.75" customHeight="1">
      <c r="C899" s="48"/>
      <c r="H899" s="39"/>
      <c r="K899" s="40"/>
      <c r="T899" s="41"/>
      <c r="AA899" s="39"/>
      <c r="AF899" s="40"/>
      <c r="AG899" s="42"/>
      <c r="AJ899" s="1"/>
    </row>
    <row r="900" spans="3:36" ht="15.75" customHeight="1">
      <c r="C900" s="48"/>
      <c r="H900" s="39"/>
      <c r="K900" s="40"/>
      <c r="T900" s="41"/>
      <c r="AA900" s="39"/>
      <c r="AF900" s="40"/>
      <c r="AG900" s="42"/>
      <c r="AJ900" s="1"/>
    </row>
    <row r="901" spans="3:36" ht="15.75" customHeight="1">
      <c r="C901" s="48"/>
      <c r="H901" s="39"/>
      <c r="K901" s="40"/>
      <c r="T901" s="41"/>
      <c r="AA901" s="39"/>
      <c r="AF901" s="40"/>
      <c r="AG901" s="42"/>
      <c r="AJ901" s="1"/>
    </row>
    <row r="902" spans="3:36" ht="15.75" customHeight="1">
      <c r="C902" s="48"/>
      <c r="H902" s="39"/>
      <c r="K902" s="40"/>
      <c r="T902" s="41"/>
      <c r="AA902" s="39"/>
      <c r="AF902" s="40"/>
      <c r="AG902" s="42"/>
      <c r="AJ902" s="1"/>
    </row>
    <row r="903" spans="3:36" ht="15.75" customHeight="1">
      <c r="C903" s="48"/>
      <c r="H903" s="39"/>
      <c r="K903" s="40"/>
      <c r="T903" s="41"/>
      <c r="AA903" s="39"/>
      <c r="AF903" s="40"/>
      <c r="AG903" s="42"/>
      <c r="AJ903" s="1"/>
    </row>
    <row r="904" spans="3:36" ht="15.75" customHeight="1">
      <c r="C904" s="48"/>
      <c r="H904" s="39"/>
      <c r="K904" s="40"/>
      <c r="T904" s="41"/>
      <c r="AA904" s="39"/>
      <c r="AF904" s="40"/>
      <c r="AG904" s="42"/>
      <c r="AJ904" s="1"/>
    </row>
    <row r="905" spans="3:36" ht="15.75" customHeight="1">
      <c r="C905" s="48"/>
      <c r="H905" s="39"/>
      <c r="K905" s="40"/>
      <c r="T905" s="41"/>
      <c r="AA905" s="39"/>
      <c r="AF905" s="40"/>
      <c r="AG905" s="42"/>
      <c r="AJ905" s="1"/>
    </row>
    <row r="906" spans="3:36" ht="15.75" customHeight="1">
      <c r="C906" s="48"/>
      <c r="H906" s="39"/>
      <c r="K906" s="40"/>
      <c r="T906" s="41"/>
      <c r="AA906" s="39"/>
      <c r="AF906" s="40"/>
      <c r="AG906" s="42"/>
      <c r="AJ906" s="1"/>
    </row>
    <row r="907" spans="3:36" ht="15.75" customHeight="1">
      <c r="C907" s="48"/>
      <c r="H907" s="39"/>
      <c r="K907" s="40"/>
      <c r="T907" s="41"/>
      <c r="AA907" s="39"/>
      <c r="AF907" s="40"/>
      <c r="AG907" s="42"/>
      <c r="AJ907" s="1"/>
    </row>
    <row r="908" spans="3:36" ht="15.75" customHeight="1">
      <c r="C908" s="48"/>
      <c r="H908" s="39"/>
      <c r="K908" s="40"/>
      <c r="T908" s="41"/>
      <c r="AA908" s="39"/>
      <c r="AF908" s="40"/>
      <c r="AG908" s="42"/>
      <c r="AJ908" s="1"/>
    </row>
    <row r="909" spans="3:36" ht="15.75" customHeight="1">
      <c r="C909" s="48"/>
      <c r="H909" s="39"/>
      <c r="K909" s="40"/>
      <c r="T909" s="41"/>
      <c r="AA909" s="39"/>
      <c r="AF909" s="40"/>
      <c r="AG909" s="42"/>
      <c r="AJ909" s="1"/>
    </row>
    <row r="910" spans="3:36" ht="15.75" customHeight="1">
      <c r="C910" s="48"/>
      <c r="H910" s="39"/>
      <c r="K910" s="40"/>
      <c r="T910" s="41"/>
      <c r="AA910" s="39"/>
      <c r="AF910" s="40"/>
      <c r="AG910" s="42"/>
      <c r="AJ910" s="1"/>
    </row>
    <row r="911" spans="3:36" ht="15.75" customHeight="1">
      <c r="C911" s="48"/>
      <c r="H911" s="39"/>
      <c r="K911" s="40"/>
      <c r="T911" s="41"/>
      <c r="AA911" s="39"/>
      <c r="AF911" s="40"/>
      <c r="AG911" s="42"/>
      <c r="AJ911" s="1"/>
    </row>
    <row r="912" spans="3:36" ht="15.75" customHeight="1">
      <c r="C912" s="48"/>
      <c r="H912" s="39"/>
      <c r="K912" s="40"/>
      <c r="T912" s="41"/>
      <c r="AA912" s="39"/>
      <c r="AF912" s="40"/>
      <c r="AG912" s="42"/>
      <c r="AJ912" s="1"/>
    </row>
    <row r="913" spans="3:36" ht="15.75" customHeight="1">
      <c r="C913" s="48"/>
      <c r="H913" s="39"/>
      <c r="K913" s="40"/>
      <c r="T913" s="41"/>
      <c r="AA913" s="39"/>
      <c r="AF913" s="40"/>
      <c r="AG913" s="42"/>
      <c r="AJ913" s="1"/>
    </row>
    <row r="914" spans="3:36" ht="15.75" customHeight="1">
      <c r="C914" s="48"/>
      <c r="H914" s="39"/>
      <c r="K914" s="40"/>
      <c r="T914" s="41"/>
      <c r="AA914" s="39"/>
      <c r="AF914" s="40"/>
      <c r="AG914" s="42"/>
      <c r="AJ914" s="1"/>
    </row>
    <row r="915" spans="3:36" ht="15.75" customHeight="1">
      <c r="C915" s="48"/>
      <c r="H915" s="39"/>
      <c r="K915" s="40"/>
      <c r="T915" s="41"/>
      <c r="AA915" s="39"/>
      <c r="AF915" s="40"/>
      <c r="AG915" s="42"/>
      <c r="AJ915" s="1"/>
    </row>
    <row r="916" spans="3:36" ht="15.75" customHeight="1">
      <c r="C916" s="48"/>
      <c r="H916" s="39"/>
      <c r="K916" s="40"/>
      <c r="T916" s="41"/>
      <c r="AA916" s="39"/>
      <c r="AF916" s="40"/>
      <c r="AG916" s="42"/>
      <c r="AJ916" s="1"/>
    </row>
    <row r="917" spans="3:36" ht="15.75" customHeight="1">
      <c r="C917" s="48"/>
      <c r="H917" s="39"/>
      <c r="K917" s="40"/>
      <c r="T917" s="41"/>
      <c r="AA917" s="39"/>
      <c r="AF917" s="40"/>
      <c r="AG917" s="42"/>
      <c r="AJ917" s="1"/>
    </row>
    <row r="918" spans="3:36" ht="15.75" customHeight="1">
      <c r="C918" s="48"/>
      <c r="H918" s="39"/>
      <c r="K918" s="40"/>
      <c r="T918" s="41"/>
      <c r="AA918" s="39"/>
      <c r="AF918" s="40"/>
      <c r="AG918" s="42"/>
      <c r="AJ918" s="1"/>
    </row>
    <row r="919" spans="3:36" ht="15.75" customHeight="1">
      <c r="C919" s="48"/>
      <c r="H919" s="39"/>
      <c r="K919" s="40"/>
      <c r="T919" s="41"/>
      <c r="AA919" s="39"/>
      <c r="AF919" s="40"/>
      <c r="AG919" s="42"/>
      <c r="AJ919" s="1"/>
    </row>
    <row r="920" spans="3:36" ht="15.75" customHeight="1">
      <c r="C920" s="48"/>
      <c r="H920" s="39"/>
      <c r="K920" s="40"/>
      <c r="T920" s="41"/>
      <c r="AA920" s="39"/>
      <c r="AF920" s="40"/>
      <c r="AG920" s="42"/>
      <c r="AJ920" s="1"/>
    </row>
    <row r="921" spans="3:36" ht="15.75" customHeight="1">
      <c r="C921" s="48"/>
      <c r="H921" s="39"/>
      <c r="K921" s="40"/>
      <c r="T921" s="41"/>
      <c r="AA921" s="39"/>
      <c r="AF921" s="40"/>
      <c r="AG921" s="42"/>
      <c r="AJ921" s="1"/>
    </row>
    <row r="922" spans="3:36" ht="15.75" customHeight="1">
      <c r="C922" s="48"/>
      <c r="H922" s="39"/>
      <c r="K922" s="40"/>
      <c r="T922" s="41"/>
      <c r="AA922" s="39"/>
      <c r="AF922" s="40"/>
      <c r="AG922" s="42"/>
      <c r="AJ922" s="1"/>
    </row>
    <row r="923" spans="3:36" ht="15.75" customHeight="1">
      <c r="C923" s="48"/>
      <c r="H923" s="39"/>
      <c r="K923" s="40"/>
      <c r="T923" s="41"/>
      <c r="AA923" s="39"/>
      <c r="AF923" s="40"/>
      <c r="AG923" s="42"/>
      <c r="AJ923" s="1"/>
    </row>
    <row r="924" spans="3:36" ht="15.75" customHeight="1">
      <c r="C924" s="48"/>
      <c r="H924" s="39"/>
      <c r="K924" s="40"/>
      <c r="T924" s="41"/>
      <c r="AA924" s="39"/>
      <c r="AF924" s="40"/>
      <c r="AG924" s="42"/>
      <c r="AJ924" s="1"/>
    </row>
    <row r="925" spans="3:36" ht="15.75" customHeight="1">
      <c r="C925" s="48"/>
      <c r="H925" s="39"/>
      <c r="K925" s="40"/>
      <c r="T925" s="41"/>
      <c r="AA925" s="39"/>
      <c r="AF925" s="40"/>
      <c r="AG925" s="42"/>
      <c r="AJ925" s="1"/>
    </row>
    <row r="926" spans="3:36" ht="15.75" customHeight="1">
      <c r="C926" s="48"/>
      <c r="H926" s="39"/>
      <c r="K926" s="40"/>
      <c r="T926" s="41"/>
      <c r="AA926" s="39"/>
      <c r="AF926" s="40"/>
      <c r="AG926" s="42"/>
      <c r="AJ926" s="1"/>
    </row>
    <row r="927" spans="3:36" ht="15.75" customHeight="1">
      <c r="C927" s="48"/>
      <c r="H927" s="39"/>
      <c r="K927" s="40"/>
      <c r="T927" s="41"/>
      <c r="AA927" s="39"/>
      <c r="AF927" s="40"/>
      <c r="AG927" s="42"/>
      <c r="AJ927" s="1"/>
    </row>
    <row r="928" spans="3:36" ht="15.75" customHeight="1">
      <c r="C928" s="48"/>
      <c r="H928" s="39"/>
      <c r="K928" s="40"/>
      <c r="T928" s="41"/>
      <c r="AA928" s="39"/>
      <c r="AF928" s="40"/>
      <c r="AG928" s="42"/>
      <c r="AJ928" s="1"/>
    </row>
    <row r="929" spans="3:36" ht="15.75" customHeight="1">
      <c r="C929" s="48"/>
      <c r="H929" s="39"/>
      <c r="K929" s="40"/>
      <c r="T929" s="41"/>
      <c r="AA929" s="39"/>
      <c r="AF929" s="40"/>
      <c r="AG929" s="42"/>
      <c r="AJ929" s="1"/>
    </row>
    <row r="930" spans="3:36" ht="15.75" customHeight="1">
      <c r="C930" s="48"/>
      <c r="H930" s="39"/>
      <c r="K930" s="40"/>
      <c r="T930" s="41"/>
      <c r="AA930" s="39"/>
      <c r="AF930" s="40"/>
      <c r="AG930" s="42"/>
      <c r="AJ930" s="1"/>
    </row>
    <row r="931" spans="3:36" ht="15.75" customHeight="1">
      <c r="C931" s="48"/>
      <c r="H931" s="39"/>
      <c r="K931" s="40"/>
      <c r="T931" s="41"/>
      <c r="AA931" s="39"/>
      <c r="AF931" s="40"/>
      <c r="AG931" s="42"/>
      <c r="AJ931" s="1"/>
    </row>
    <row r="932" spans="3:36" ht="15.75" customHeight="1">
      <c r="C932" s="48"/>
      <c r="H932" s="39"/>
      <c r="K932" s="40"/>
      <c r="T932" s="41"/>
      <c r="AA932" s="39"/>
      <c r="AF932" s="40"/>
      <c r="AG932" s="42"/>
      <c r="AJ932" s="1"/>
    </row>
    <row r="933" spans="3:36" ht="15.75" customHeight="1">
      <c r="C933" s="48"/>
      <c r="H933" s="39"/>
      <c r="K933" s="40"/>
      <c r="T933" s="41"/>
      <c r="AA933" s="39"/>
      <c r="AF933" s="40"/>
      <c r="AG933" s="42"/>
      <c r="AJ933" s="1"/>
    </row>
    <row r="934" spans="3:36" ht="15.75" customHeight="1">
      <c r="C934" s="48"/>
      <c r="H934" s="39"/>
      <c r="K934" s="40"/>
      <c r="T934" s="41"/>
      <c r="AA934" s="39"/>
      <c r="AF934" s="40"/>
      <c r="AG934" s="42"/>
      <c r="AJ934" s="1"/>
    </row>
    <row r="935" spans="3:36" ht="15.75" customHeight="1">
      <c r="C935" s="48"/>
      <c r="H935" s="39"/>
      <c r="K935" s="40"/>
      <c r="T935" s="41"/>
      <c r="AA935" s="39"/>
      <c r="AF935" s="40"/>
      <c r="AG935" s="42"/>
      <c r="AJ935" s="1"/>
    </row>
    <row r="936" spans="3:36" ht="15.75" customHeight="1">
      <c r="C936" s="48"/>
      <c r="H936" s="39"/>
      <c r="K936" s="40"/>
      <c r="T936" s="41"/>
      <c r="AA936" s="39"/>
      <c r="AF936" s="40"/>
      <c r="AG936" s="42"/>
      <c r="AJ936" s="1"/>
    </row>
    <row r="937" spans="3:36" ht="15.75" customHeight="1">
      <c r="C937" s="48"/>
      <c r="H937" s="39"/>
      <c r="K937" s="40"/>
      <c r="T937" s="41"/>
      <c r="AA937" s="39"/>
      <c r="AF937" s="40"/>
      <c r="AG937" s="42"/>
      <c r="AJ937" s="1"/>
    </row>
    <row r="938" spans="3:36" ht="15.75" customHeight="1">
      <c r="C938" s="48"/>
      <c r="H938" s="39"/>
      <c r="K938" s="40"/>
      <c r="T938" s="41"/>
      <c r="AA938" s="39"/>
      <c r="AF938" s="40"/>
      <c r="AG938" s="42"/>
      <c r="AJ938" s="1"/>
    </row>
    <row r="939" spans="3:36" ht="15.75" customHeight="1">
      <c r="C939" s="48"/>
      <c r="H939" s="39"/>
      <c r="K939" s="40"/>
      <c r="T939" s="41"/>
      <c r="AA939" s="39"/>
      <c r="AF939" s="40"/>
      <c r="AG939" s="42"/>
      <c r="AJ939" s="1"/>
    </row>
    <row r="940" spans="3:36" ht="15.75" customHeight="1">
      <c r="C940" s="48"/>
      <c r="H940" s="39"/>
      <c r="K940" s="40"/>
      <c r="T940" s="41"/>
      <c r="AA940" s="39"/>
      <c r="AF940" s="40"/>
      <c r="AG940" s="42"/>
      <c r="AJ940" s="1"/>
    </row>
    <row r="941" spans="3:36" ht="15.75" customHeight="1">
      <c r="C941" s="48"/>
      <c r="H941" s="39"/>
      <c r="K941" s="40"/>
      <c r="T941" s="41"/>
      <c r="AA941" s="39"/>
      <c r="AF941" s="40"/>
      <c r="AG941" s="42"/>
      <c r="AJ941" s="1"/>
    </row>
    <row r="942" spans="3:36" ht="15.75" customHeight="1">
      <c r="C942" s="48"/>
      <c r="H942" s="39"/>
      <c r="K942" s="40"/>
      <c r="T942" s="41"/>
      <c r="AA942" s="39"/>
      <c r="AF942" s="40"/>
      <c r="AG942" s="42"/>
      <c r="AJ942" s="1"/>
    </row>
    <row r="943" spans="3:36" ht="15.75" customHeight="1">
      <c r="C943" s="48"/>
      <c r="H943" s="39"/>
      <c r="K943" s="40"/>
      <c r="T943" s="41"/>
      <c r="AA943" s="39"/>
      <c r="AF943" s="40"/>
      <c r="AG943" s="42"/>
      <c r="AJ943" s="1"/>
    </row>
    <row r="944" spans="3:36" ht="15.75" customHeight="1">
      <c r="C944" s="48"/>
      <c r="H944" s="39"/>
      <c r="K944" s="40"/>
      <c r="T944" s="41"/>
      <c r="AA944" s="39"/>
      <c r="AF944" s="40"/>
      <c r="AG944" s="42"/>
      <c r="AJ944" s="1"/>
    </row>
    <row r="945" spans="3:36" ht="15.75" customHeight="1">
      <c r="C945" s="48"/>
      <c r="H945" s="39"/>
      <c r="K945" s="40"/>
      <c r="T945" s="41"/>
      <c r="AA945" s="39"/>
      <c r="AF945" s="40"/>
      <c r="AG945" s="42"/>
      <c r="AJ945" s="1"/>
    </row>
    <row r="946" spans="3:36" ht="15.75" customHeight="1">
      <c r="C946" s="48"/>
      <c r="H946" s="39"/>
      <c r="K946" s="40"/>
      <c r="T946" s="41"/>
      <c r="AA946" s="39"/>
      <c r="AF946" s="40"/>
      <c r="AG946" s="42"/>
      <c r="AJ946" s="1"/>
    </row>
    <row r="947" spans="3:36" ht="15.75" customHeight="1">
      <c r="C947" s="48"/>
      <c r="H947" s="39"/>
      <c r="K947" s="40"/>
      <c r="T947" s="41"/>
      <c r="AA947" s="39"/>
      <c r="AF947" s="40"/>
      <c r="AG947" s="42"/>
      <c r="AJ947" s="1"/>
    </row>
    <row r="948" spans="3:36" ht="15.75" customHeight="1">
      <c r="C948" s="48"/>
      <c r="H948" s="39"/>
      <c r="K948" s="40"/>
      <c r="T948" s="41"/>
      <c r="AA948" s="39"/>
      <c r="AF948" s="40"/>
      <c r="AG948" s="42"/>
      <c r="AJ948" s="1"/>
    </row>
    <row r="949" spans="3:36" ht="15.75" customHeight="1">
      <c r="C949" s="48"/>
      <c r="H949" s="39"/>
      <c r="K949" s="40"/>
      <c r="T949" s="41"/>
      <c r="AA949" s="39"/>
      <c r="AF949" s="40"/>
      <c r="AG949" s="42"/>
      <c r="AJ949" s="1"/>
    </row>
    <row r="950" spans="3:36" ht="15.75" customHeight="1">
      <c r="C950" s="48"/>
      <c r="H950" s="39"/>
      <c r="K950" s="40"/>
      <c r="T950" s="41"/>
      <c r="AA950" s="39"/>
      <c r="AF950" s="40"/>
      <c r="AG950" s="42"/>
      <c r="AJ950" s="1"/>
    </row>
    <row r="951" spans="3:36" ht="15.75" customHeight="1">
      <c r="C951" s="48"/>
      <c r="H951" s="39"/>
      <c r="K951" s="40"/>
      <c r="T951" s="41"/>
      <c r="AA951" s="39"/>
      <c r="AF951" s="40"/>
      <c r="AG951" s="42"/>
      <c r="AJ951" s="1"/>
    </row>
    <row r="952" spans="3:36" ht="15.75" customHeight="1">
      <c r="C952" s="48"/>
      <c r="H952" s="39"/>
      <c r="K952" s="40"/>
      <c r="T952" s="41"/>
      <c r="AA952" s="39"/>
      <c r="AF952" s="40"/>
      <c r="AG952" s="42"/>
      <c r="AJ952" s="1"/>
    </row>
    <row r="953" spans="3:36" ht="15.75" customHeight="1">
      <c r="C953" s="48"/>
      <c r="H953" s="39"/>
      <c r="K953" s="40"/>
      <c r="T953" s="41"/>
      <c r="AA953" s="39"/>
      <c r="AF953" s="40"/>
      <c r="AG953" s="42"/>
      <c r="AJ953" s="1"/>
    </row>
    <row r="954" spans="3:36" ht="15.75" customHeight="1">
      <c r="C954" s="48"/>
      <c r="H954" s="39"/>
      <c r="K954" s="40"/>
      <c r="T954" s="41"/>
      <c r="AA954" s="39"/>
      <c r="AF954" s="40"/>
      <c r="AG954" s="42"/>
      <c r="AJ954" s="1"/>
    </row>
    <row r="955" spans="3:36" ht="15.75" customHeight="1">
      <c r="C955" s="48"/>
      <c r="H955" s="39"/>
      <c r="K955" s="40"/>
      <c r="T955" s="41"/>
      <c r="AA955" s="39"/>
      <c r="AF955" s="40"/>
      <c r="AG955" s="42"/>
      <c r="AJ955" s="1"/>
    </row>
    <row r="956" spans="3:36" ht="15.75" customHeight="1">
      <c r="C956" s="48"/>
      <c r="H956" s="39"/>
      <c r="K956" s="40"/>
      <c r="T956" s="41"/>
      <c r="AA956" s="39"/>
      <c r="AF956" s="40"/>
      <c r="AG956" s="42"/>
      <c r="AJ956" s="1"/>
    </row>
    <row r="957" spans="3:36" ht="15.75" customHeight="1">
      <c r="C957" s="48"/>
      <c r="H957" s="39"/>
      <c r="K957" s="40"/>
      <c r="T957" s="41"/>
      <c r="AA957" s="39"/>
      <c r="AF957" s="40"/>
      <c r="AG957" s="42"/>
      <c r="AJ957" s="1"/>
    </row>
    <row r="958" spans="3:36" ht="15.75" customHeight="1">
      <c r="C958" s="48"/>
      <c r="H958" s="39"/>
      <c r="K958" s="40"/>
      <c r="T958" s="41"/>
      <c r="AA958" s="39"/>
      <c r="AF958" s="40"/>
      <c r="AG958" s="42"/>
      <c r="AJ958" s="1"/>
    </row>
    <row r="959" spans="3:36" ht="15.75" customHeight="1">
      <c r="C959" s="48"/>
      <c r="H959" s="39"/>
      <c r="K959" s="40"/>
      <c r="T959" s="41"/>
      <c r="AA959" s="39"/>
      <c r="AF959" s="40"/>
      <c r="AG959" s="42"/>
      <c r="AJ959" s="1"/>
    </row>
    <row r="960" spans="3:36" ht="15.75" customHeight="1">
      <c r="C960" s="48"/>
      <c r="H960" s="39"/>
      <c r="K960" s="40"/>
      <c r="T960" s="41"/>
      <c r="AA960" s="39"/>
      <c r="AF960" s="40"/>
      <c r="AG960" s="42"/>
      <c r="AJ960" s="1"/>
    </row>
    <row r="961" spans="3:36" ht="15.75" customHeight="1">
      <c r="C961" s="48"/>
      <c r="H961" s="39"/>
      <c r="K961" s="40"/>
      <c r="T961" s="41"/>
      <c r="AA961" s="39"/>
      <c r="AF961" s="40"/>
      <c r="AG961" s="42"/>
      <c r="AJ961" s="1"/>
    </row>
    <row r="962" spans="3:36" ht="15.75" customHeight="1">
      <c r="C962" s="48"/>
      <c r="H962" s="39"/>
      <c r="K962" s="40"/>
      <c r="T962" s="41"/>
      <c r="AA962" s="39"/>
      <c r="AF962" s="40"/>
      <c r="AG962" s="42"/>
      <c r="AJ962" s="1"/>
    </row>
    <row r="963" spans="3:36" ht="15.75" customHeight="1">
      <c r="C963" s="48"/>
      <c r="H963" s="39"/>
      <c r="K963" s="40"/>
      <c r="T963" s="41"/>
      <c r="AA963" s="39"/>
      <c r="AF963" s="40"/>
      <c r="AG963" s="42"/>
      <c r="AJ963" s="1"/>
    </row>
    <row r="964" spans="3:36" ht="15.75" customHeight="1">
      <c r="C964" s="48"/>
      <c r="H964" s="39"/>
      <c r="K964" s="40"/>
      <c r="T964" s="41"/>
      <c r="AA964" s="39"/>
      <c r="AF964" s="40"/>
      <c r="AG964" s="42"/>
      <c r="AJ964" s="1"/>
    </row>
    <row r="965" spans="3:36" ht="15.75" customHeight="1">
      <c r="C965" s="48"/>
      <c r="H965" s="39"/>
      <c r="K965" s="40"/>
      <c r="T965" s="41"/>
      <c r="AA965" s="39"/>
      <c r="AF965" s="40"/>
      <c r="AG965" s="42"/>
      <c r="AJ965" s="1"/>
    </row>
    <row r="966" spans="3:36" ht="15.75" customHeight="1">
      <c r="C966" s="48"/>
      <c r="H966" s="39"/>
      <c r="K966" s="40"/>
      <c r="T966" s="41"/>
      <c r="AA966" s="39"/>
      <c r="AF966" s="40"/>
      <c r="AG966" s="42"/>
      <c r="AJ966" s="1"/>
    </row>
    <row r="967" spans="3:36" ht="15.75" customHeight="1">
      <c r="C967" s="48"/>
      <c r="H967" s="39"/>
      <c r="K967" s="40"/>
      <c r="T967" s="41"/>
      <c r="AA967" s="39"/>
      <c r="AF967" s="40"/>
      <c r="AG967" s="42"/>
      <c r="AJ967" s="1"/>
    </row>
    <row r="968" spans="3:36" ht="15.75" customHeight="1">
      <c r="C968" s="48"/>
      <c r="H968" s="39"/>
      <c r="K968" s="40"/>
      <c r="T968" s="41"/>
      <c r="AA968" s="39"/>
      <c r="AF968" s="40"/>
      <c r="AG968" s="42"/>
      <c r="AJ968" s="1"/>
    </row>
    <row r="969" spans="3:36" ht="15.75" customHeight="1">
      <c r="C969" s="48"/>
      <c r="H969" s="39"/>
      <c r="K969" s="40"/>
      <c r="T969" s="41"/>
      <c r="AA969" s="39"/>
      <c r="AF969" s="40"/>
      <c r="AG969" s="42"/>
      <c r="AJ969" s="1"/>
    </row>
    <row r="970" spans="3:36" ht="15.75" customHeight="1">
      <c r="C970" s="48"/>
      <c r="H970" s="39"/>
      <c r="K970" s="40"/>
      <c r="T970" s="41"/>
      <c r="AA970" s="39"/>
      <c r="AF970" s="40"/>
      <c r="AG970" s="42"/>
      <c r="AJ970" s="1"/>
    </row>
    <row r="971" spans="3:36" ht="15.75" customHeight="1">
      <c r="C971" s="48"/>
      <c r="H971" s="39"/>
      <c r="K971" s="40"/>
      <c r="T971" s="41"/>
      <c r="AA971" s="39"/>
      <c r="AF971" s="40"/>
      <c r="AG971" s="42"/>
      <c r="AJ971" s="1"/>
    </row>
    <row r="972" spans="3:36" ht="15.75" customHeight="1">
      <c r="C972" s="48"/>
      <c r="H972" s="39"/>
      <c r="K972" s="40"/>
      <c r="T972" s="41"/>
      <c r="AA972" s="39"/>
      <c r="AF972" s="40"/>
      <c r="AG972" s="42"/>
      <c r="AJ972" s="1"/>
    </row>
    <row r="973" spans="3:36" ht="15.75" customHeight="1">
      <c r="C973" s="48"/>
      <c r="H973" s="39"/>
      <c r="K973" s="40"/>
      <c r="T973" s="41"/>
      <c r="AA973" s="39"/>
      <c r="AF973" s="40"/>
      <c r="AG973" s="42"/>
      <c r="AJ973" s="1"/>
    </row>
    <row r="974" spans="3:36" ht="15.75" customHeight="1">
      <c r="C974" s="48"/>
      <c r="H974" s="39"/>
      <c r="K974" s="40"/>
      <c r="T974" s="41"/>
      <c r="AA974" s="39"/>
      <c r="AF974" s="40"/>
      <c r="AG974" s="42"/>
      <c r="AJ974" s="1"/>
    </row>
    <row r="975" spans="3:36" ht="15.75" customHeight="1">
      <c r="C975" s="48"/>
      <c r="H975" s="39"/>
      <c r="K975" s="40"/>
      <c r="T975" s="41"/>
      <c r="AA975" s="39"/>
      <c r="AF975" s="40"/>
      <c r="AG975" s="42"/>
      <c r="AJ975" s="1"/>
    </row>
    <row r="976" spans="3:36" ht="15.75" customHeight="1">
      <c r="C976" s="48"/>
      <c r="H976" s="39"/>
      <c r="K976" s="40"/>
      <c r="T976" s="41"/>
      <c r="AA976" s="39"/>
      <c r="AF976" s="40"/>
      <c r="AG976" s="42"/>
      <c r="AJ976" s="1"/>
    </row>
    <row r="977" spans="3:36" ht="15.75" customHeight="1">
      <c r="C977" s="48"/>
      <c r="H977" s="39"/>
      <c r="K977" s="40"/>
      <c r="T977" s="41"/>
      <c r="AA977" s="39"/>
      <c r="AF977" s="40"/>
      <c r="AG977" s="42"/>
      <c r="AJ977" s="1"/>
    </row>
    <row r="978" spans="3:36" ht="15.75" customHeight="1">
      <c r="C978" s="48"/>
      <c r="H978" s="39"/>
      <c r="K978" s="40"/>
      <c r="T978" s="41"/>
      <c r="AA978" s="39"/>
      <c r="AF978" s="40"/>
      <c r="AG978" s="42"/>
      <c r="AJ978" s="1"/>
    </row>
    <row r="979" spans="3:36" ht="15.75" customHeight="1">
      <c r="C979" s="48"/>
      <c r="H979" s="39"/>
      <c r="K979" s="40"/>
      <c r="T979" s="41"/>
      <c r="AA979" s="39"/>
      <c r="AF979" s="40"/>
      <c r="AG979" s="42"/>
      <c r="AJ979" s="1"/>
    </row>
    <row r="980" spans="3:36" ht="15.75" customHeight="1">
      <c r="C980" s="48"/>
      <c r="H980" s="39"/>
      <c r="K980" s="40"/>
      <c r="T980" s="41"/>
      <c r="AA980" s="39"/>
      <c r="AF980" s="40"/>
      <c r="AG980" s="42"/>
      <c r="AJ980" s="1"/>
    </row>
    <row r="981" spans="3:36" ht="15.75" customHeight="1">
      <c r="C981" s="48"/>
      <c r="H981" s="39"/>
      <c r="K981" s="40"/>
      <c r="T981" s="41"/>
      <c r="AA981" s="39"/>
      <c r="AF981" s="40"/>
      <c r="AG981" s="42"/>
      <c r="AJ981" s="1"/>
    </row>
    <row r="982" spans="3:36" ht="15.75" customHeight="1">
      <c r="C982" s="48"/>
      <c r="H982" s="39"/>
      <c r="K982" s="40"/>
      <c r="T982" s="41"/>
      <c r="AA982" s="39"/>
      <c r="AF982" s="40"/>
      <c r="AG982" s="42"/>
      <c r="AJ982" s="1"/>
    </row>
    <row r="983" spans="3:36" ht="15.75" customHeight="1">
      <c r="C983" s="48"/>
      <c r="H983" s="39"/>
      <c r="K983" s="40"/>
      <c r="T983" s="41"/>
      <c r="AA983" s="39"/>
      <c r="AF983" s="40"/>
      <c r="AG983" s="42"/>
      <c r="AJ983" s="1"/>
    </row>
    <row r="984" spans="3:36" ht="15.75" customHeight="1">
      <c r="C984" s="48"/>
      <c r="H984" s="39"/>
      <c r="K984" s="40"/>
      <c r="T984" s="41"/>
      <c r="AA984" s="39"/>
      <c r="AF984" s="40"/>
      <c r="AG984" s="42"/>
      <c r="AJ984" s="1"/>
    </row>
    <row r="985" spans="3:36" ht="15.75" customHeight="1">
      <c r="C985" s="48"/>
      <c r="H985" s="39"/>
      <c r="K985" s="40"/>
      <c r="T985" s="41"/>
      <c r="AA985" s="39"/>
      <c r="AF985" s="40"/>
      <c r="AG985" s="42"/>
      <c r="AJ985" s="1"/>
    </row>
    <row r="986" spans="3:36" ht="15.75" customHeight="1">
      <c r="C986" s="48"/>
      <c r="H986" s="39"/>
      <c r="K986" s="40"/>
      <c r="T986" s="41"/>
      <c r="AA986" s="39"/>
      <c r="AF986" s="40"/>
      <c r="AG986" s="42"/>
      <c r="AJ986" s="1"/>
    </row>
    <row r="987" spans="3:36" ht="15.75" customHeight="1">
      <c r="C987" s="48"/>
      <c r="H987" s="39"/>
      <c r="K987" s="40"/>
      <c r="T987" s="41"/>
      <c r="AA987" s="39"/>
      <c r="AF987" s="40"/>
      <c r="AG987" s="42"/>
      <c r="AJ987" s="1"/>
    </row>
    <row r="988" spans="3:36" ht="15.75" customHeight="1">
      <c r="C988" s="48"/>
      <c r="H988" s="39"/>
      <c r="K988" s="40"/>
      <c r="T988" s="41"/>
      <c r="AA988" s="39"/>
      <c r="AF988" s="40"/>
      <c r="AG988" s="42"/>
      <c r="AJ988" s="1"/>
    </row>
    <row r="989" spans="3:36" ht="15.75" customHeight="1">
      <c r="C989" s="48"/>
      <c r="H989" s="39"/>
      <c r="K989" s="40"/>
      <c r="T989" s="41"/>
      <c r="AA989" s="39"/>
      <c r="AF989" s="40"/>
      <c r="AG989" s="42"/>
      <c r="AJ989" s="1"/>
    </row>
    <row r="990" spans="3:36" ht="15.75" customHeight="1">
      <c r="C990" s="48"/>
      <c r="H990" s="39"/>
      <c r="K990" s="40"/>
      <c r="T990" s="41"/>
      <c r="AA990" s="39"/>
      <c r="AF990" s="40"/>
      <c r="AG990" s="42"/>
      <c r="AJ990" s="1"/>
    </row>
    <row r="991" spans="3:36" ht="15.75" customHeight="1">
      <c r="C991" s="48"/>
      <c r="H991" s="39"/>
      <c r="K991" s="40"/>
      <c r="T991" s="41"/>
      <c r="AA991" s="39"/>
      <c r="AF991" s="40"/>
      <c r="AG991" s="42"/>
      <c r="AJ991" s="1"/>
    </row>
    <row r="992" spans="3:36" ht="15.75" customHeight="1">
      <c r="C992" s="48"/>
      <c r="H992" s="39"/>
      <c r="K992" s="40"/>
      <c r="T992" s="41"/>
      <c r="AA992" s="39"/>
      <c r="AF992" s="40"/>
      <c r="AG992" s="42"/>
      <c r="AJ992" s="1"/>
    </row>
    <row r="993" spans="3:36" ht="15.75" customHeight="1">
      <c r="C993" s="48"/>
      <c r="H993" s="39"/>
      <c r="K993" s="40"/>
      <c r="T993" s="41"/>
      <c r="AA993" s="39"/>
      <c r="AF993" s="40"/>
      <c r="AG993" s="42"/>
      <c r="AJ993" s="1"/>
    </row>
    <row r="994" spans="3:36" ht="15.75" customHeight="1">
      <c r="C994" s="48"/>
      <c r="H994" s="39"/>
      <c r="K994" s="40"/>
      <c r="T994" s="41"/>
      <c r="AA994" s="39"/>
      <c r="AF994" s="40"/>
      <c r="AG994" s="42"/>
      <c r="AJ994" s="1"/>
    </row>
    <row r="995" spans="3:36" ht="15.75" customHeight="1">
      <c r="C995" s="48"/>
      <c r="H995" s="39"/>
      <c r="K995" s="40"/>
      <c r="T995" s="41"/>
      <c r="AA995" s="39"/>
      <c r="AF995" s="40"/>
      <c r="AG995" s="42"/>
      <c r="AJ995" s="1"/>
    </row>
    <row r="996" spans="3:36" ht="15.75" customHeight="1">
      <c r="C996" s="48"/>
      <c r="H996" s="39"/>
      <c r="K996" s="40"/>
      <c r="T996" s="41"/>
      <c r="AA996" s="39"/>
      <c r="AF996" s="40"/>
      <c r="AG996" s="42"/>
      <c r="AJ996" s="1"/>
    </row>
    <row r="997" spans="3:36" ht="15.75" customHeight="1">
      <c r="C997" s="48"/>
      <c r="H997" s="39"/>
      <c r="K997" s="40"/>
      <c r="T997" s="41"/>
      <c r="AA997" s="39"/>
      <c r="AF997" s="40"/>
      <c r="AG997" s="42"/>
      <c r="AJ997" s="1"/>
    </row>
    <row r="998" spans="3:36" ht="15.75" customHeight="1">
      <c r="C998" s="48"/>
      <c r="H998" s="39"/>
      <c r="K998" s="40"/>
      <c r="T998" s="41"/>
      <c r="AA998" s="39"/>
      <c r="AF998" s="40"/>
      <c r="AG998" s="42"/>
      <c r="AJ998" s="1"/>
    </row>
    <row r="999" spans="3:36" ht="15.75" customHeight="1">
      <c r="C999" s="48"/>
      <c r="H999" s="39"/>
      <c r="K999" s="40"/>
      <c r="T999" s="41"/>
      <c r="AA999" s="39"/>
      <c r="AF999" s="40"/>
      <c r="AG999" s="42"/>
      <c r="AJ999" s="1"/>
    </row>
    <row r="1000" spans="3:36" ht="15.75" customHeight="1">
      <c r="C1000" s="48"/>
      <c r="H1000" s="39"/>
      <c r="K1000" s="40"/>
      <c r="T1000" s="41"/>
      <c r="AA1000" s="39"/>
      <c r="AF1000" s="40"/>
      <c r="AG1000" s="42"/>
      <c r="AJ1000" s="1"/>
    </row>
    <row r="1001" spans="3:36" ht="15.75" customHeight="1">
      <c r="C1001" s="48"/>
      <c r="H1001" s="39"/>
      <c r="K1001" s="40"/>
      <c r="T1001" s="41"/>
      <c r="AA1001" s="39"/>
      <c r="AF1001" s="40"/>
      <c r="AG1001" s="42"/>
      <c r="AJ1001" s="1"/>
    </row>
    <row r="1002" spans="3:36" ht="15.75" customHeight="1">
      <c r="C1002" s="48"/>
      <c r="H1002" s="39"/>
      <c r="K1002" s="40"/>
      <c r="T1002" s="41"/>
      <c r="AA1002" s="39"/>
      <c r="AF1002" s="40"/>
      <c r="AG1002" s="42"/>
      <c r="AJ1002" s="1"/>
    </row>
    <row r="1003" spans="3:36" ht="15.75" customHeight="1">
      <c r="C1003" s="48"/>
      <c r="H1003" s="39"/>
      <c r="K1003" s="40"/>
      <c r="T1003" s="41"/>
      <c r="AA1003" s="39"/>
      <c r="AF1003" s="40"/>
      <c r="AG1003" s="42"/>
      <c r="AJ1003" s="1"/>
    </row>
    <row r="1004" spans="3:36" ht="15.75" customHeight="1">
      <c r="C1004" s="48"/>
      <c r="H1004" s="39"/>
      <c r="K1004" s="40"/>
      <c r="T1004" s="41"/>
      <c r="AA1004" s="39"/>
      <c r="AF1004" s="40"/>
      <c r="AG1004" s="42"/>
      <c r="AJ1004" s="1"/>
    </row>
    <row r="1005" spans="3:36" ht="15.75" customHeight="1">
      <c r="C1005" s="48"/>
      <c r="H1005" s="39"/>
      <c r="K1005" s="40"/>
      <c r="T1005" s="41"/>
      <c r="AA1005" s="39"/>
      <c r="AF1005" s="40"/>
      <c r="AG1005" s="42"/>
      <c r="AJ1005" s="1"/>
    </row>
    <row r="1006" spans="3:36" ht="15.75" customHeight="1">
      <c r="C1006" s="48"/>
      <c r="H1006" s="39"/>
      <c r="K1006" s="40"/>
      <c r="T1006" s="41"/>
      <c r="AA1006" s="39"/>
      <c r="AF1006" s="40"/>
      <c r="AG1006" s="42"/>
      <c r="AJ1006" s="1"/>
    </row>
    <row r="1007" spans="3:36" ht="15.75" customHeight="1">
      <c r="C1007" s="48"/>
      <c r="H1007" s="39"/>
      <c r="K1007" s="40"/>
      <c r="T1007" s="41"/>
      <c r="AA1007" s="39"/>
      <c r="AF1007" s="40"/>
      <c r="AG1007" s="42"/>
      <c r="AJ1007" s="1"/>
    </row>
    <row r="1008" spans="3:36" ht="15.75" customHeight="1">
      <c r="C1008" s="48"/>
      <c r="H1008" s="39"/>
      <c r="K1008" s="40"/>
      <c r="T1008" s="41"/>
      <c r="AA1008" s="39"/>
      <c r="AF1008" s="40"/>
      <c r="AG1008" s="42"/>
      <c r="AJ1008" s="1"/>
    </row>
    <row r="1009" spans="3:36" ht="15.75" customHeight="1">
      <c r="C1009" s="48"/>
      <c r="H1009" s="39"/>
      <c r="K1009" s="40"/>
      <c r="T1009" s="41"/>
      <c r="AA1009" s="39"/>
      <c r="AF1009" s="40"/>
      <c r="AG1009" s="42"/>
      <c r="AJ1009" s="1"/>
    </row>
    <row r="1010" spans="3:36" ht="15.75" customHeight="1">
      <c r="C1010" s="48"/>
      <c r="H1010" s="39"/>
      <c r="K1010" s="40"/>
      <c r="T1010" s="41"/>
      <c r="AA1010" s="39"/>
      <c r="AF1010" s="40"/>
      <c r="AG1010" s="42"/>
      <c r="AJ1010" s="1"/>
    </row>
    <row r="1011" spans="3:36" ht="15.75" customHeight="1">
      <c r="C1011" s="48"/>
      <c r="H1011" s="39"/>
      <c r="K1011" s="40"/>
      <c r="T1011" s="41"/>
      <c r="AA1011" s="39"/>
      <c r="AF1011" s="40"/>
      <c r="AG1011" s="42"/>
      <c r="AJ1011" s="1"/>
    </row>
    <row r="1012" spans="3:36" ht="15.75" customHeight="1">
      <c r="C1012" s="48"/>
      <c r="H1012" s="39"/>
      <c r="K1012" s="40"/>
      <c r="T1012" s="41"/>
      <c r="AA1012" s="39"/>
      <c r="AF1012" s="40"/>
      <c r="AG1012" s="42"/>
      <c r="AJ1012" s="1"/>
    </row>
    <row r="1013" spans="3:36" ht="15.75" customHeight="1">
      <c r="C1013" s="48"/>
      <c r="H1013" s="39"/>
      <c r="K1013" s="40"/>
      <c r="T1013" s="41"/>
      <c r="AA1013" s="39"/>
      <c r="AF1013" s="40"/>
      <c r="AG1013" s="42"/>
      <c r="AJ1013" s="1"/>
    </row>
    <row r="1014" spans="3:36" ht="15.75" customHeight="1">
      <c r="C1014" s="48"/>
      <c r="H1014" s="39"/>
      <c r="K1014" s="40"/>
      <c r="T1014" s="41"/>
      <c r="AA1014" s="39"/>
      <c r="AF1014" s="40"/>
      <c r="AG1014" s="42"/>
      <c r="AJ1014" s="1"/>
    </row>
    <row r="1015" spans="3:36" ht="15.75" customHeight="1">
      <c r="C1015" s="48"/>
      <c r="H1015" s="39"/>
      <c r="K1015" s="40"/>
      <c r="T1015" s="41"/>
      <c r="AA1015" s="39"/>
      <c r="AF1015" s="40"/>
      <c r="AG1015" s="42"/>
      <c r="AJ1015" s="1"/>
    </row>
    <row r="1016" spans="3:36" ht="15.75" customHeight="1">
      <c r="C1016" s="48"/>
      <c r="H1016" s="39"/>
      <c r="K1016" s="40"/>
      <c r="T1016" s="41"/>
      <c r="AA1016" s="39"/>
      <c r="AF1016" s="40"/>
      <c r="AG1016" s="42"/>
      <c r="AJ1016" s="1"/>
    </row>
    <row r="1017" spans="3:36" ht="15.75" customHeight="1">
      <c r="C1017" s="48"/>
      <c r="H1017" s="39"/>
      <c r="K1017" s="40"/>
      <c r="T1017" s="41"/>
      <c r="AA1017" s="39"/>
      <c r="AF1017" s="40"/>
      <c r="AG1017" s="42"/>
      <c r="AJ1017" s="1"/>
    </row>
    <row r="1018" spans="3:36" ht="15.75" customHeight="1">
      <c r="C1018" s="48"/>
      <c r="H1018" s="39"/>
      <c r="K1018" s="40"/>
      <c r="T1018" s="41"/>
      <c r="AA1018" s="39"/>
      <c r="AF1018" s="40"/>
      <c r="AG1018" s="42"/>
      <c r="AJ1018" s="1"/>
    </row>
    <row r="1019" spans="3:36" ht="15.75" customHeight="1">
      <c r="C1019" s="48"/>
      <c r="H1019" s="39"/>
      <c r="K1019" s="40"/>
      <c r="T1019" s="41"/>
      <c r="AA1019" s="39"/>
      <c r="AF1019" s="40"/>
      <c r="AG1019" s="42"/>
      <c r="AJ1019" s="1"/>
    </row>
    <row r="1020" spans="3:36" ht="15.75" customHeight="1">
      <c r="C1020" s="48"/>
      <c r="H1020" s="39"/>
      <c r="K1020" s="40"/>
      <c r="T1020" s="41"/>
      <c r="AA1020" s="39"/>
      <c r="AF1020" s="40"/>
      <c r="AG1020" s="42"/>
      <c r="AJ1020" s="1"/>
    </row>
    <row r="1021" spans="3:36" ht="15.75" customHeight="1">
      <c r="C1021" s="48"/>
      <c r="H1021" s="39"/>
      <c r="K1021" s="40"/>
      <c r="T1021" s="41"/>
      <c r="AA1021" s="39"/>
      <c r="AF1021" s="40"/>
      <c r="AG1021" s="42"/>
      <c r="AJ1021" s="1"/>
    </row>
    <row r="1022" spans="3:36" ht="15.75" customHeight="1">
      <c r="C1022" s="48"/>
      <c r="H1022" s="39"/>
      <c r="K1022" s="40"/>
      <c r="T1022" s="41"/>
      <c r="AA1022" s="39"/>
      <c r="AF1022" s="40"/>
      <c r="AG1022" s="42"/>
      <c r="AJ1022" s="1"/>
    </row>
    <row r="1023" spans="3:36" ht="15.75" customHeight="1">
      <c r="C1023" s="48"/>
      <c r="H1023" s="39"/>
      <c r="K1023" s="40"/>
      <c r="T1023" s="41"/>
      <c r="AA1023" s="39"/>
      <c r="AF1023" s="40"/>
      <c r="AG1023" s="42"/>
      <c r="AJ1023" s="1"/>
    </row>
    <row r="1024" spans="3:36" ht="15.75" customHeight="1">
      <c r="C1024" s="48"/>
      <c r="H1024" s="39"/>
      <c r="K1024" s="40"/>
      <c r="T1024" s="41"/>
      <c r="AA1024" s="39"/>
      <c r="AF1024" s="40"/>
      <c r="AG1024" s="42"/>
      <c r="AJ1024" s="1"/>
    </row>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000"/>
  <sheetViews>
    <sheetView tabSelected="1" topLeftCell="A13" workbookViewId="0"/>
  </sheetViews>
  <sheetFormatPr defaultColWidth="12.5703125" defaultRowHeight="15" customHeight="1"/>
  <cols>
    <col min="1" max="2" width="9" customWidth="1"/>
    <col min="3" max="3" width="20.42578125" customWidth="1"/>
    <col min="4" max="26" width="8.5703125" customWidth="1"/>
  </cols>
  <sheetData>
    <row r="1" spans="1:3" ht="14.25" customHeight="1">
      <c r="A1" s="2" t="s">
        <v>3</v>
      </c>
      <c r="B1" s="2" t="s">
        <v>17</v>
      </c>
      <c r="C1" s="5" t="s">
        <v>62</v>
      </c>
    </row>
    <row r="2" spans="1:3" ht="14.25" customHeight="1">
      <c r="A2" s="24"/>
      <c r="B2" s="26"/>
      <c r="C2" s="26"/>
    </row>
    <row r="3" spans="1:3" ht="14.25" customHeight="1">
      <c r="A3" s="36">
        <v>1976</v>
      </c>
      <c r="B3" s="1">
        <v>1.6631036366127887</v>
      </c>
      <c r="C3" s="42">
        <v>-7706430.5425742399</v>
      </c>
    </row>
    <row r="4" spans="1:3" ht="14.25" customHeight="1">
      <c r="A4" s="36">
        <v>1977</v>
      </c>
      <c r="B4" s="1">
        <v>7.2547645858356873</v>
      </c>
      <c r="C4" s="42">
        <v>-36060000</v>
      </c>
    </row>
    <row r="5" spans="1:3" ht="14.25" customHeight="1">
      <c r="A5" s="36">
        <v>1978</v>
      </c>
      <c r="B5" s="1">
        <v>5.7125320890018827</v>
      </c>
      <c r="C5" s="42">
        <v>18090000</v>
      </c>
    </row>
    <row r="6" spans="1:3" ht="14.25" customHeight="1">
      <c r="A6" s="36">
        <v>1979</v>
      </c>
      <c r="B6" s="1">
        <v>-5.2381827027895014</v>
      </c>
      <c r="C6" s="42">
        <v>48570000</v>
      </c>
    </row>
    <row r="7" spans="1:3" ht="14.25" customHeight="1">
      <c r="A7" s="36">
        <v>1980</v>
      </c>
      <c r="B7" s="1">
        <v>6.7358215279984961</v>
      </c>
      <c r="C7" s="42">
        <v>79159999.900000006</v>
      </c>
    </row>
    <row r="8" spans="1:3" ht="14.25" customHeight="1">
      <c r="A8" s="36">
        <v>1981</v>
      </c>
      <c r="B8" s="1">
        <v>6.0062036238176688</v>
      </c>
      <c r="C8" s="42">
        <v>91920000</v>
      </c>
    </row>
    <row r="9" spans="1:3" ht="14.25" customHeight="1">
      <c r="A9" s="36">
        <v>1982</v>
      </c>
      <c r="B9" s="1">
        <v>3.4757332403123655</v>
      </c>
      <c r="C9" s="42">
        <v>72079999.900000006</v>
      </c>
    </row>
    <row r="10" spans="1:3" ht="14.25" customHeight="1">
      <c r="A10" s="36">
        <v>1983</v>
      </c>
      <c r="B10" s="1">
        <v>7.288892901245859</v>
      </c>
      <c r="C10" s="42">
        <v>5639999.9000000004</v>
      </c>
    </row>
    <row r="11" spans="1:3" ht="14.25" customHeight="1">
      <c r="A11" s="36">
        <v>1984</v>
      </c>
      <c r="B11" s="1">
        <v>3.8207378559735048</v>
      </c>
      <c r="C11" s="42">
        <v>19239999.899999999</v>
      </c>
    </row>
    <row r="12" spans="1:3" ht="14.25" customHeight="1">
      <c r="A12" s="36">
        <v>1985</v>
      </c>
      <c r="B12" s="1">
        <v>5.254299223308891</v>
      </c>
      <c r="C12" s="42">
        <v>106090000</v>
      </c>
    </row>
    <row r="13" spans="1:3" ht="14.25" customHeight="1">
      <c r="A13" s="36">
        <v>1986</v>
      </c>
      <c r="B13" s="1">
        <v>4.7765641704894648</v>
      </c>
      <c r="C13" s="42">
        <v>117730000</v>
      </c>
    </row>
    <row r="14" spans="1:3" ht="14.25" customHeight="1">
      <c r="A14" s="36">
        <v>1987</v>
      </c>
      <c r="B14" s="1">
        <v>3.9653556339057587</v>
      </c>
      <c r="C14" s="42">
        <v>212319999.90000001</v>
      </c>
    </row>
    <row r="15" spans="1:3" ht="14.25" customHeight="1">
      <c r="A15" s="36">
        <v>1988</v>
      </c>
      <c r="B15" s="1">
        <v>9.6277829198483431</v>
      </c>
      <c r="C15" s="42">
        <v>91250000</v>
      </c>
    </row>
    <row r="16" spans="1:3" ht="14.25" customHeight="1">
      <c r="A16" s="36">
        <v>1989</v>
      </c>
      <c r="B16" s="1">
        <v>5.9473433282650348</v>
      </c>
      <c r="C16" s="42">
        <v>252099999.90000001</v>
      </c>
    </row>
    <row r="17" spans="1:3" ht="14.25" customHeight="1">
      <c r="A17" s="36">
        <v>1990</v>
      </c>
      <c r="B17" s="1">
        <v>5.5334545630649501</v>
      </c>
      <c r="C17" s="42">
        <v>236690000</v>
      </c>
    </row>
    <row r="18" spans="1:3" ht="14.25" customHeight="1">
      <c r="A18" s="36">
        <v>1991</v>
      </c>
      <c r="B18" s="1">
        <v>1.0568314329617863</v>
      </c>
      <c r="C18" s="42">
        <v>73537638.388532996</v>
      </c>
    </row>
    <row r="19" spans="1:3" ht="14.25" customHeight="1">
      <c r="A19" s="36">
        <v>1992</v>
      </c>
      <c r="B19" s="1">
        <v>5.4823960216700272</v>
      </c>
      <c r="C19" s="42">
        <v>276512438.97389299</v>
      </c>
    </row>
    <row r="20" spans="1:3" ht="14.25" customHeight="1">
      <c r="A20" s="36">
        <v>1993</v>
      </c>
      <c r="B20" s="1">
        <v>4.7507762195799046</v>
      </c>
      <c r="C20" s="42">
        <v>550370024.92938304</v>
      </c>
    </row>
    <row r="21" spans="1:3" ht="14.25" customHeight="1">
      <c r="A21" s="45">
        <v>1994</v>
      </c>
      <c r="B21" s="1">
        <v>6.6589240674730661</v>
      </c>
      <c r="C21" s="42">
        <v>973271468.72287297</v>
      </c>
    </row>
    <row r="22" spans="1:3" ht="14.25" customHeight="1">
      <c r="A22" s="45">
        <v>1995</v>
      </c>
      <c r="B22" s="1">
        <v>7.5744918402719463</v>
      </c>
      <c r="C22" s="42">
        <v>2143628110.28391</v>
      </c>
    </row>
    <row r="23" spans="1:3" ht="14.25" customHeight="1">
      <c r="A23" s="45">
        <v>1996</v>
      </c>
      <c r="B23" s="1">
        <v>7.5495222488882945</v>
      </c>
      <c r="C23" s="42">
        <v>2426057021.9109201</v>
      </c>
    </row>
    <row r="24" spans="1:3" ht="14.25" customHeight="1">
      <c r="A24" s="45">
        <v>1997</v>
      </c>
      <c r="B24" s="1">
        <v>4.049820849024826</v>
      </c>
      <c r="C24" s="42">
        <v>3577330042.34585</v>
      </c>
    </row>
    <row r="25" spans="1:3" ht="14.25" customHeight="1">
      <c r="A25" s="45">
        <v>1998</v>
      </c>
      <c r="B25" s="1">
        <v>6.1844158208035509</v>
      </c>
      <c r="C25" s="42">
        <v>2634651657.7714</v>
      </c>
    </row>
    <row r="26" spans="1:3" ht="14.25" customHeight="1">
      <c r="A26" s="45">
        <v>1999</v>
      </c>
      <c r="B26" s="1">
        <v>8.8457555611411607</v>
      </c>
      <c r="C26" s="42">
        <v>2168591054.37924</v>
      </c>
    </row>
    <row r="27" spans="1:3" ht="14.25" customHeight="1">
      <c r="A27" s="45">
        <v>2000</v>
      </c>
      <c r="B27" s="45">
        <v>3.8409911568655417</v>
      </c>
      <c r="C27" s="46">
        <v>3584217307.1875501</v>
      </c>
    </row>
    <row r="28" spans="1:3" ht="14.25" customHeight="1">
      <c r="A28" s="45">
        <v>2001</v>
      </c>
      <c r="B28" s="45">
        <v>4.8239662639730341</v>
      </c>
      <c r="C28" s="46">
        <v>5128093561.6268797</v>
      </c>
    </row>
    <row r="29" spans="1:3" ht="14.25" customHeight="1">
      <c r="A29" s="45">
        <v>2002</v>
      </c>
      <c r="B29" s="45">
        <v>3.8039753212003831</v>
      </c>
      <c r="C29" s="46">
        <v>5208967106.2789402</v>
      </c>
    </row>
    <row r="30" spans="1:3" ht="14.25" customHeight="1">
      <c r="A30" s="45">
        <v>2003</v>
      </c>
      <c r="B30" s="45">
        <v>7.8603814754504526</v>
      </c>
      <c r="C30" s="46">
        <v>3681984671.4342799</v>
      </c>
    </row>
    <row r="31" spans="1:3" ht="14.25" customHeight="1">
      <c r="A31" s="45">
        <v>2004</v>
      </c>
      <c r="B31" s="45">
        <v>7.9229366130797843</v>
      </c>
      <c r="C31" s="46">
        <v>5429250989.8571701</v>
      </c>
    </row>
    <row r="32" spans="1:3" ht="14.25" customHeight="1">
      <c r="A32" s="45">
        <v>2005</v>
      </c>
      <c r="B32" s="45">
        <v>7.9234306213178911</v>
      </c>
      <c r="C32" s="46">
        <v>7269407225.6143799</v>
      </c>
    </row>
    <row r="33" spans="1:3" ht="14.25" customHeight="1">
      <c r="A33" s="45">
        <v>2006</v>
      </c>
      <c r="B33" s="45">
        <v>8.0607325730505721</v>
      </c>
      <c r="C33" s="46">
        <v>20029119267.139599</v>
      </c>
    </row>
    <row r="34" spans="1:3" ht="14.25" customHeight="1">
      <c r="A34" s="45">
        <v>2007</v>
      </c>
      <c r="B34" s="45">
        <v>7.6608150651076556</v>
      </c>
      <c r="C34" s="46">
        <v>25227740886.6819</v>
      </c>
    </row>
    <row r="35" spans="1:3" ht="14.25" customHeight="1">
      <c r="A35" s="45">
        <v>2008</v>
      </c>
      <c r="B35" s="45">
        <v>3.0866980595008187</v>
      </c>
      <c r="C35" s="46">
        <v>43406277075.810799</v>
      </c>
    </row>
    <row r="36" spans="1:3" ht="14.25" customHeight="1">
      <c r="A36" s="45">
        <v>2009</v>
      </c>
      <c r="B36" s="45">
        <v>7.8618888330338024</v>
      </c>
      <c r="C36" s="46">
        <v>35581372929.664101</v>
      </c>
    </row>
    <row r="37" spans="1:3" ht="14.25" customHeight="1">
      <c r="A37" s="45">
        <v>2010</v>
      </c>
      <c r="B37" s="45">
        <v>8.4975847016562511</v>
      </c>
      <c r="C37" s="46">
        <v>27396885033.783798</v>
      </c>
    </row>
    <row r="38" spans="1:3" ht="14.25" customHeight="1">
      <c r="A38" s="45">
        <v>2011</v>
      </c>
      <c r="B38" s="45">
        <v>5.2413162002429345</v>
      </c>
      <c r="C38" s="46">
        <v>36498654597.858902</v>
      </c>
    </row>
    <row r="39" spans="1:3" ht="14.25" customHeight="1">
      <c r="A39" s="45">
        <v>2012</v>
      </c>
      <c r="B39" s="45">
        <v>5.4563875516477225</v>
      </c>
      <c r="C39" s="46">
        <v>23995685014.2141</v>
      </c>
    </row>
    <row r="40" spans="1:3" ht="14.25" customHeight="1">
      <c r="A40" s="45">
        <v>2013</v>
      </c>
      <c r="B40" s="45">
        <v>6.3861064009171287</v>
      </c>
      <c r="C40" s="46">
        <v>28153031270.320202</v>
      </c>
    </row>
    <row r="41" spans="1:3" ht="14.25" customHeight="1">
      <c r="A41" s="45">
        <v>2014</v>
      </c>
      <c r="B41" s="45">
        <v>7.4102276051697658</v>
      </c>
      <c r="C41" s="46">
        <v>34576643694.138199</v>
      </c>
    </row>
    <row r="42" spans="1:3" ht="14.25" customHeight="1">
      <c r="A42" s="45">
        <v>2015</v>
      </c>
      <c r="B42" s="45">
        <v>7.996253785679869</v>
      </c>
      <c r="C42" s="46">
        <v>44009492129.531898</v>
      </c>
    </row>
    <row r="43" spans="1:3" ht="14.25" customHeight="1">
      <c r="A43" s="45">
        <v>2016</v>
      </c>
      <c r="B43" s="45">
        <v>8.2563055017666187</v>
      </c>
      <c r="C43" s="46">
        <v>44458571545.797997</v>
      </c>
    </row>
    <row r="44" spans="1:3" ht="14.25" customHeight="1">
      <c r="A44" s="45">
        <v>2017</v>
      </c>
      <c r="B44" s="45">
        <v>6.7953834190242191</v>
      </c>
      <c r="C44" s="46">
        <v>39966091358.738403</v>
      </c>
    </row>
    <row r="45" spans="1:3" ht="14.25" customHeight="1">
      <c r="A45" s="45">
        <v>2018</v>
      </c>
      <c r="B45" s="45">
        <v>6.4538513449529518</v>
      </c>
      <c r="C45" s="46">
        <v>42117450737.264397</v>
      </c>
    </row>
    <row r="46" spans="1:3" ht="14.25" customHeight="1">
      <c r="A46" s="45">
        <v>2019</v>
      </c>
      <c r="B46" s="45">
        <v>3.8714369407052374</v>
      </c>
      <c r="C46" s="46">
        <v>50610647353.591103</v>
      </c>
    </row>
    <row r="47" spans="1:3" ht="14.25" customHeight="1">
      <c r="A47" s="45">
        <v>2020</v>
      </c>
      <c r="B47" s="45">
        <v>-5.7777247068730304</v>
      </c>
      <c r="C47" s="46">
        <v>64362364994.375397</v>
      </c>
    </row>
    <row r="48" spans="1:3" ht="14.25" customHeight="1">
      <c r="A48" s="45">
        <v>2021</v>
      </c>
      <c r="B48" s="45">
        <v>9.6895924919174092</v>
      </c>
      <c r="C48" s="46">
        <v>44727277562.880997</v>
      </c>
    </row>
    <row r="49" spans="1:3" ht="14.25" customHeight="1">
      <c r="A49" s="45">
        <v>2022</v>
      </c>
      <c r="B49" s="45">
        <v>7.609364977693204</v>
      </c>
      <c r="C49" s="46">
        <v>49940258404.2659</v>
      </c>
    </row>
    <row r="50" spans="1:3" ht="14.25" customHeight="1">
      <c r="A50" s="45">
        <v>2023</v>
      </c>
      <c r="B50" s="45">
        <v>7.2102246293350021</v>
      </c>
      <c r="C50" s="46">
        <v>28086193530.3979</v>
      </c>
    </row>
    <row r="51" spans="1:3" ht="14.25" customHeight="1">
      <c r="A51" s="45">
        <v>2024</v>
      </c>
      <c r="B51" s="45">
        <v>7.0992789317651841</v>
      </c>
      <c r="C51" s="46">
        <v>27139853378.140202</v>
      </c>
    </row>
    <row r="52" spans="1:3" ht="14.25" customHeight="1">
      <c r="A52" s="45">
        <v>2025</v>
      </c>
      <c r="B52" s="45">
        <v>7.5666617928424387</v>
      </c>
      <c r="C52" s="46">
        <v>39097233086.213303</v>
      </c>
    </row>
    <row r="53" spans="1:3" ht="14.25" customHeight="1">
      <c r="C53" s="42"/>
    </row>
    <row r="54" spans="1:3" ht="14.25" customHeight="1">
      <c r="C54" s="42"/>
    </row>
    <row r="55" spans="1:3" ht="14.25" customHeight="1">
      <c r="C55" s="42"/>
    </row>
    <row r="56" spans="1:3" ht="14.25" customHeight="1">
      <c r="C56" s="42"/>
    </row>
    <row r="57" spans="1:3" ht="14.25" customHeight="1">
      <c r="C57" s="42"/>
    </row>
    <row r="58" spans="1:3" ht="14.25" customHeight="1">
      <c r="C58" s="42"/>
    </row>
    <row r="59" spans="1:3" ht="14.25" customHeight="1">
      <c r="C59" s="42"/>
    </row>
    <row r="60" spans="1:3" ht="14.25" customHeight="1">
      <c r="C60" s="42"/>
    </row>
    <row r="61" spans="1:3" ht="14.25" customHeight="1">
      <c r="C61" s="42"/>
    </row>
    <row r="62" spans="1:3" ht="14.25" customHeight="1">
      <c r="C62" s="42"/>
    </row>
    <row r="63" spans="1:3" ht="14.25" customHeight="1">
      <c r="C63" s="42"/>
    </row>
    <row r="64" spans="1:3" ht="14.25" customHeight="1">
      <c r="C64" s="42"/>
    </row>
    <row r="65" spans="3:3" ht="14.25" customHeight="1">
      <c r="C65" s="42"/>
    </row>
    <row r="66" spans="3:3" ht="14.25" customHeight="1">
      <c r="C66" s="42"/>
    </row>
    <row r="67" spans="3:3" ht="14.25" customHeight="1">
      <c r="C67" s="42"/>
    </row>
    <row r="68" spans="3:3" ht="14.25" customHeight="1">
      <c r="C68" s="42"/>
    </row>
    <row r="69" spans="3:3" ht="14.25" customHeight="1">
      <c r="C69" s="42"/>
    </row>
    <row r="70" spans="3:3" ht="14.25" customHeight="1">
      <c r="C70" s="42"/>
    </row>
    <row r="71" spans="3:3" ht="14.25" customHeight="1">
      <c r="C71" s="42"/>
    </row>
    <row r="72" spans="3:3" ht="14.25" customHeight="1">
      <c r="C72" s="42"/>
    </row>
    <row r="73" spans="3:3" ht="14.25" customHeight="1">
      <c r="C73" s="42"/>
    </row>
    <row r="74" spans="3:3" ht="14.25" customHeight="1">
      <c r="C74" s="42"/>
    </row>
    <row r="75" spans="3:3" ht="14.25" customHeight="1">
      <c r="C75" s="42"/>
    </row>
    <row r="76" spans="3:3" ht="14.25" customHeight="1">
      <c r="C76" s="42"/>
    </row>
    <row r="77" spans="3:3" ht="14.25" customHeight="1">
      <c r="C77" s="42"/>
    </row>
    <row r="78" spans="3:3" ht="14.25" customHeight="1">
      <c r="C78" s="42"/>
    </row>
    <row r="79" spans="3:3" ht="14.25" customHeight="1">
      <c r="C79" s="42"/>
    </row>
    <row r="80" spans="3:3" ht="14.25" customHeight="1">
      <c r="C80" s="42"/>
    </row>
    <row r="81" spans="3:3" ht="14.25" customHeight="1">
      <c r="C81" s="42"/>
    </row>
    <row r="82" spans="3:3" ht="14.25" customHeight="1">
      <c r="C82" s="42"/>
    </row>
    <row r="83" spans="3:3" ht="14.25" customHeight="1">
      <c r="C83" s="42"/>
    </row>
    <row r="84" spans="3:3" ht="14.25" customHeight="1">
      <c r="C84" s="42"/>
    </row>
    <row r="85" spans="3:3" ht="14.25" customHeight="1">
      <c r="C85" s="42"/>
    </row>
    <row r="86" spans="3:3" ht="14.25" customHeight="1">
      <c r="C86" s="42"/>
    </row>
    <row r="87" spans="3:3" ht="14.25" customHeight="1">
      <c r="C87" s="42"/>
    </row>
    <row r="88" spans="3:3" ht="14.25" customHeight="1">
      <c r="C88" s="42"/>
    </row>
    <row r="89" spans="3:3" ht="14.25" customHeight="1">
      <c r="C89" s="42"/>
    </row>
    <row r="90" spans="3:3" ht="14.25" customHeight="1">
      <c r="C90" s="42"/>
    </row>
    <row r="91" spans="3:3" ht="14.25" customHeight="1">
      <c r="C91" s="42"/>
    </row>
    <row r="92" spans="3:3" ht="14.25" customHeight="1">
      <c r="C92" s="42"/>
    </row>
    <row r="93" spans="3:3" ht="14.25" customHeight="1">
      <c r="C93" s="42"/>
    </row>
    <row r="94" spans="3:3" ht="14.25" customHeight="1">
      <c r="C94" s="42"/>
    </row>
    <row r="95" spans="3:3" ht="14.25" customHeight="1">
      <c r="C95" s="42"/>
    </row>
    <row r="96" spans="3:3" ht="14.25" customHeight="1">
      <c r="C96" s="42"/>
    </row>
    <row r="97" spans="3:3" ht="14.25" customHeight="1">
      <c r="C97" s="42"/>
    </row>
    <row r="98" spans="3:3" ht="14.25" customHeight="1">
      <c r="C98" s="42"/>
    </row>
    <row r="99" spans="3:3" ht="14.25" customHeight="1">
      <c r="C99" s="42"/>
    </row>
    <row r="100" spans="3:3" ht="14.25" customHeight="1">
      <c r="C100" s="42"/>
    </row>
    <row r="101" spans="3:3" ht="14.25" customHeight="1">
      <c r="C101" s="42"/>
    </row>
    <row r="102" spans="3:3" ht="14.25" customHeight="1">
      <c r="C102" s="42"/>
    </row>
    <row r="103" spans="3:3" ht="14.25" customHeight="1">
      <c r="C103" s="42"/>
    </row>
    <row r="104" spans="3:3" ht="14.25" customHeight="1">
      <c r="C104" s="42"/>
    </row>
    <row r="105" spans="3:3" ht="14.25" customHeight="1">
      <c r="C105" s="42"/>
    </row>
    <row r="106" spans="3:3" ht="14.25" customHeight="1">
      <c r="C106" s="42"/>
    </row>
    <row r="107" spans="3:3" ht="14.25" customHeight="1">
      <c r="C107" s="42"/>
    </row>
    <row r="108" spans="3:3" ht="14.25" customHeight="1">
      <c r="C108" s="42"/>
    </row>
    <row r="109" spans="3:3" ht="14.25" customHeight="1">
      <c r="C109" s="42"/>
    </row>
    <row r="110" spans="3:3" ht="14.25" customHeight="1">
      <c r="C110" s="42"/>
    </row>
    <row r="111" spans="3:3" ht="14.25" customHeight="1">
      <c r="C111" s="42"/>
    </row>
    <row r="112" spans="3:3" ht="14.25" customHeight="1">
      <c r="C112" s="42"/>
    </row>
    <row r="113" spans="3:3" ht="14.25" customHeight="1">
      <c r="C113" s="42"/>
    </row>
    <row r="114" spans="3:3" ht="14.25" customHeight="1">
      <c r="C114" s="42"/>
    </row>
    <row r="115" spans="3:3" ht="14.25" customHeight="1">
      <c r="C115" s="42"/>
    </row>
    <row r="116" spans="3:3" ht="14.25" customHeight="1">
      <c r="C116" s="42"/>
    </row>
    <row r="117" spans="3:3" ht="14.25" customHeight="1">
      <c r="C117" s="42"/>
    </row>
    <row r="118" spans="3:3" ht="14.25" customHeight="1">
      <c r="C118" s="42"/>
    </row>
    <row r="119" spans="3:3" ht="14.25" customHeight="1">
      <c r="C119" s="42"/>
    </row>
    <row r="120" spans="3:3" ht="14.25" customHeight="1">
      <c r="C120" s="42"/>
    </row>
    <row r="121" spans="3:3" ht="14.25" customHeight="1">
      <c r="C121" s="42"/>
    </row>
    <row r="122" spans="3:3" ht="14.25" customHeight="1">
      <c r="C122" s="42"/>
    </row>
    <row r="123" spans="3:3" ht="14.25" customHeight="1">
      <c r="C123" s="42"/>
    </row>
    <row r="124" spans="3:3" ht="14.25" customHeight="1">
      <c r="C124" s="42"/>
    </row>
    <row r="125" spans="3:3" ht="14.25" customHeight="1">
      <c r="C125" s="42"/>
    </row>
    <row r="126" spans="3:3" ht="14.25" customHeight="1">
      <c r="C126" s="42"/>
    </row>
    <row r="127" spans="3:3" ht="14.25" customHeight="1">
      <c r="C127" s="42"/>
    </row>
    <row r="128" spans="3:3" ht="14.25" customHeight="1">
      <c r="C128" s="42"/>
    </row>
    <row r="129" spans="3:3" ht="14.25" customHeight="1">
      <c r="C129" s="42"/>
    </row>
    <row r="130" spans="3:3" ht="14.25" customHeight="1">
      <c r="C130" s="42"/>
    </row>
    <row r="131" spans="3:3" ht="14.25" customHeight="1">
      <c r="C131" s="42"/>
    </row>
    <row r="132" spans="3:3" ht="14.25" customHeight="1">
      <c r="C132" s="42"/>
    </row>
    <row r="133" spans="3:3" ht="14.25" customHeight="1">
      <c r="C133" s="42"/>
    </row>
    <row r="134" spans="3:3" ht="14.25" customHeight="1">
      <c r="C134" s="42"/>
    </row>
    <row r="135" spans="3:3" ht="14.25" customHeight="1">
      <c r="C135" s="42"/>
    </row>
    <row r="136" spans="3:3" ht="14.25" customHeight="1">
      <c r="C136" s="42"/>
    </row>
    <row r="137" spans="3:3" ht="14.25" customHeight="1">
      <c r="C137" s="42"/>
    </row>
    <row r="138" spans="3:3" ht="14.25" customHeight="1">
      <c r="C138" s="42"/>
    </row>
    <row r="139" spans="3:3" ht="14.25" customHeight="1">
      <c r="C139" s="42"/>
    </row>
    <row r="140" spans="3:3" ht="14.25" customHeight="1">
      <c r="C140" s="42"/>
    </row>
    <row r="141" spans="3:3" ht="14.25" customHeight="1">
      <c r="C141" s="42"/>
    </row>
    <row r="142" spans="3:3" ht="14.25" customHeight="1">
      <c r="C142" s="42"/>
    </row>
    <row r="143" spans="3:3" ht="14.25" customHeight="1">
      <c r="C143" s="42"/>
    </row>
    <row r="144" spans="3:3" ht="14.25" customHeight="1">
      <c r="C144" s="42"/>
    </row>
    <row r="145" spans="3:3" ht="14.25" customHeight="1">
      <c r="C145" s="42"/>
    </row>
    <row r="146" spans="3:3" ht="14.25" customHeight="1">
      <c r="C146" s="42"/>
    </row>
    <row r="147" spans="3:3" ht="14.25" customHeight="1">
      <c r="C147" s="42"/>
    </row>
    <row r="148" spans="3:3" ht="14.25" customHeight="1">
      <c r="C148" s="42"/>
    </row>
    <row r="149" spans="3:3" ht="14.25" customHeight="1">
      <c r="C149" s="42"/>
    </row>
    <row r="150" spans="3:3" ht="14.25" customHeight="1">
      <c r="C150" s="42"/>
    </row>
    <row r="151" spans="3:3" ht="14.25" customHeight="1">
      <c r="C151" s="42"/>
    </row>
    <row r="152" spans="3:3" ht="14.25" customHeight="1">
      <c r="C152" s="42"/>
    </row>
    <row r="153" spans="3:3" ht="14.25" customHeight="1">
      <c r="C153" s="42"/>
    </row>
    <row r="154" spans="3:3" ht="14.25" customHeight="1">
      <c r="C154" s="42"/>
    </row>
    <row r="155" spans="3:3" ht="14.25" customHeight="1">
      <c r="C155" s="42"/>
    </row>
    <row r="156" spans="3:3" ht="14.25" customHeight="1">
      <c r="C156" s="42"/>
    </row>
    <row r="157" spans="3:3" ht="14.25" customHeight="1">
      <c r="C157" s="42"/>
    </row>
    <row r="158" spans="3:3" ht="14.25" customHeight="1">
      <c r="C158" s="42"/>
    </row>
    <row r="159" spans="3:3" ht="14.25" customHeight="1">
      <c r="C159" s="42"/>
    </row>
    <row r="160" spans="3:3" ht="14.25" customHeight="1">
      <c r="C160" s="42"/>
    </row>
    <row r="161" spans="3:3" ht="14.25" customHeight="1">
      <c r="C161" s="42"/>
    </row>
    <row r="162" spans="3:3" ht="14.25" customHeight="1">
      <c r="C162" s="42"/>
    </row>
    <row r="163" spans="3:3" ht="14.25" customHeight="1">
      <c r="C163" s="42"/>
    </row>
    <row r="164" spans="3:3" ht="14.25" customHeight="1">
      <c r="C164" s="42"/>
    </row>
    <row r="165" spans="3:3" ht="14.25" customHeight="1">
      <c r="C165" s="42"/>
    </row>
    <row r="166" spans="3:3" ht="14.25" customHeight="1">
      <c r="C166" s="42"/>
    </row>
    <row r="167" spans="3:3" ht="14.25" customHeight="1">
      <c r="C167" s="42"/>
    </row>
    <row r="168" spans="3:3" ht="14.25" customHeight="1">
      <c r="C168" s="42"/>
    </row>
    <row r="169" spans="3:3" ht="14.25" customHeight="1">
      <c r="C169" s="42"/>
    </row>
    <row r="170" spans="3:3" ht="14.25" customHeight="1">
      <c r="C170" s="42"/>
    </row>
    <row r="171" spans="3:3" ht="14.25" customHeight="1">
      <c r="C171" s="42"/>
    </row>
    <row r="172" spans="3:3" ht="14.25" customHeight="1">
      <c r="C172" s="42"/>
    </row>
    <row r="173" spans="3:3" ht="14.25" customHeight="1">
      <c r="C173" s="42"/>
    </row>
    <row r="174" spans="3:3" ht="14.25" customHeight="1">
      <c r="C174" s="42"/>
    </row>
    <row r="175" spans="3:3" ht="14.25" customHeight="1">
      <c r="C175" s="42"/>
    </row>
    <row r="176" spans="3:3" ht="14.25" customHeight="1">
      <c r="C176" s="42"/>
    </row>
    <row r="177" spans="3:3" ht="14.25" customHeight="1">
      <c r="C177" s="42"/>
    </row>
    <row r="178" spans="3:3" ht="14.25" customHeight="1">
      <c r="C178" s="42"/>
    </row>
    <row r="179" spans="3:3" ht="14.25" customHeight="1">
      <c r="C179" s="42"/>
    </row>
    <row r="180" spans="3:3" ht="14.25" customHeight="1">
      <c r="C180" s="42"/>
    </row>
    <row r="181" spans="3:3" ht="14.25" customHeight="1">
      <c r="C181" s="42"/>
    </row>
    <row r="182" spans="3:3" ht="14.25" customHeight="1">
      <c r="C182" s="42"/>
    </row>
    <row r="183" spans="3:3" ht="14.25" customHeight="1">
      <c r="C183" s="42"/>
    </row>
    <row r="184" spans="3:3" ht="14.25" customHeight="1">
      <c r="C184" s="42"/>
    </row>
    <row r="185" spans="3:3" ht="14.25" customHeight="1">
      <c r="C185" s="42"/>
    </row>
    <row r="186" spans="3:3" ht="14.25" customHeight="1">
      <c r="C186" s="42"/>
    </row>
    <row r="187" spans="3:3" ht="14.25" customHeight="1">
      <c r="C187" s="42"/>
    </row>
    <row r="188" spans="3:3" ht="14.25" customHeight="1">
      <c r="C188" s="42"/>
    </row>
    <row r="189" spans="3:3" ht="14.25" customHeight="1">
      <c r="C189" s="42"/>
    </row>
    <row r="190" spans="3:3" ht="14.25" customHeight="1">
      <c r="C190" s="42"/>
    </row>
    <row r="191" spans="3:3" ht="14.25" customHeight="1">
      <c r="C191" s="42"/>
    </row>
    <row r="192" spans="3:3" ht="14.25" customHeight="1">
      <c r="C192" s="42"/>
    </row>
    <row r="193" spans="3:3" ht="14.25" customHeight="1">
      <c r="C193" s="42"/>
    </row>
    <row r="194" spans="3:3" ht="14.25" customHeight="1">
      <c r="C194" s="42"/>
    </row>
    <row r="195" spans="3:3" ht="14.25" customHeight="1">
      <c r="C195" s="42"/>
    </row>
    <row r="196" spans="3:3" ht="14.25" customHeight="1">
      <c r="C196" s="42"/>
    </row>
    <row r="197" spans="3:3" ht="14.25" customHeight="1">
      <c r="C197" s="42"/>
    </row>
    <row r="198" spans="3:3" ht="14.25" customHeight="1">
      <c r="C198" s="42"/>
    </row>
    <row r="199" spans="3:3" ht="14.25" customHeight="1">
      <c r="C199" s="42"/>
    </row>
    <row r="200" spans="3:3" ht="14.25" customHeight="1">
      <c r="C200" s="42"/>
    </row>
    <row r="201" spans="3:3" ht="14.25" customHeight="1">
      <c r="C201" s="42"/>
    </row>
    <row r="202" spans="3:3" ht="14.25" customHeight="1">
      <c r="C202" s="42"/>
    </row>
    <row r="203" spans="3:3" ht="14.25" customHeight="1">
      <c r="C203" s="42"/>
    </row>
    <row r="204" spans="3:3" ht="14.25" customHeight="1">
      <c r="C204" s="42"/>
    </row>
    <row r="205" spans="3:3" ht="14.25" customHeight="1">
      <c r="C205" s="42"/>
    </row>
    <row r="206" spans="3:3" ht="14.25" customHeight="1">
      <c r="C206" s="42"/>
    </row>
    <row r="207" spans="3:3" ht="14.25" customHeight="1">
      <c r="C207" s="42"/>
    </row>
    <row r="208" spans="3:3" ht="14.25" customHeight="1">
      <c r="C208" s="42"/>
    </row>
    <row r="209" spans="3:3" ht="14.25" customHeight="1">
      <c r="C209" s="42"/>
    </row>
    <row r="210" spans="3:3" ht="14.25" customHeight="1">
      <c r="C210" s="42"/>
    </row>
    <row r="211" spans="3:3" ht="14.25" customHeight="1">
      <c r="C211" s="42"/>
    </row>
    <row r="212" spans="3:3" ht="14.25" customHeight="1">
      <c r="C212" s="42"/>
    </row>
    <row r="213" spans="3:3" ht="14.25" customHeight="1">
      <c r="C213" s="42"/>
    </row>
    <row r="214" spans="3:3" ht="14.25" customHeight="1">
      <c r="C214" s="42"/>
    </row>
    <row r="215" spans="3:3" ht="14.25" customHeight="1">
      <c r="C215" s="42"/>
    </row>
    <row r="216" spans="3:3" ht="14.25" customHeight="1">
      <c r="C216" s="42"/>
    </row>
    <row r="217" spans="3:3" ht="14.25" customHeight="1">
      <c r="C217" s="42"/>
    </row>
    <row r="218" spans="3:3" ht="14.25" customHeight="1">
      <c r="C218" s="42"/>
    </row>
    <row r="219" spans="3:3" ht="14.25" customHeight="1">
      <c r="C219" s="42"/>
    </row>
    <row r="220" spans="3:3" ht="14.25" customHeight="1">
      <c r="C220" s="42"/>
    </row>
    <row r="221" spans="3:3" ht="14.25" customHeight="1">
      <c r="C221" s="42"/>
    </row>
    <row r="222" spans="3:3" ht="14.25" customHeight="1">
      <c r="C222" s="42"/>
    </row>
    <row r="223" spans="3:3" ht="14.25" customHeight="1">
      <c r="C223" s="42"/>
    </row>
    <row r="224" spans="3:3" ht="14.25" customHeight="1">
      <c r="C224" s="42"/>
    </row>
    <row r="225" spans="3:3" ht="14.25" customHeight="1">
      <c r="C225" s="42"/>
    </row>
    <row r="226" spans="3:3" ht="14.25" customHeight="1">
      <c r="C226" s="42"/>
    </row>
    <row r="227" spans="3:3" ht="14.25" customHeight="1">
      <c r="C227" s="42"/>
    </row>
    <row r="228" spans="3:3" ht="14.25" customHeight="1">
      <c r="C228" s="42"/>
    </row>
    <row r="229" spans="3:3" ht="14.25" customHeight="1">
      <c r="C229" s="42"/>
    </row>
    <row r="230" spans="3:3" ht="14.25" customHeight="1">
      <c r="C230" s="42"/>
    </row>
    <row r="231" spans="3:3" ht="14.25" customHeight="1">
      <c r="C231" s="42"/>
    </row>
    <row r="232" spans="3:3" ht="14.25" customHeight="1">
      <c r="C232" s="42"/>
    </row>
    <row r="233" spans="3:3" ht="14.25" customHeight="1">
      <c r="C233" s="42"/>
    </row>
    <row r="234" spans="3:3" ht="14.25" customHeight="1">
      <c r="C234" s="42"/>
    </row>
    <row r="235" spans="3:3" ht="14.25" customHeight="1">
      <c r="C235" s="42"/>
    </row>
    <row r="236" spans="3:3" ht="14.25" customHeight="1">
      <c r="C236" s="42"/>
    </row>
    <row r="237" spans="3:3" ht="14.25" customHeight="1">
      <c r="C237" s="42"/>
    </row>
    <row r="238" spans="3:3" ht="14.25" customHeight="1">
      <c r="C238" s="42"/>
    </row>
    <row r="239" spans="3:3" ht="14.25" customHeight="1">
      <c r="C239" s="42"/>
    </row>
    <row r="240" spans="3:3" ht="14.25" customHeight="1">
      <c r="C240" s="42"/>
    </row>
    <row r="241" spans="3:3" ht="14.25" customHeight="1">
      <c r="C241" s="42"/>
    </row>
    <row r="242" spans="3:3" ht="14.25" customHeight="1">
      <c r="C242" s="42"/>
    </row>
    <row r="243" spans="3:3" ht="14.25" customHeight="1">
      <c r="C243" s="42"/>
    </row>
    <row r="244" spans="3:3" ht="14.25" customHeight="1">
      <c r="C244" s="42"/>
    </row>
    <row r="245" spans="3:3" ht="14.25" customHeight="1">
      <c r="C245" s="42"/>
    </row>
    <row r="246" spans="3:3" ht="14.25" customHeight="1">
      <c r="C246" s="42"/>
    </row>
    <row r="247" spans="3:3" ht="14.25" customHeight="1">
      <c r="C247" s="42"/>
    </row>
    <row r="248" spans="3:3" ht="14.25" customHeight="1">
      <c r="C248" s="42"/>
    </row>
    <row r="249" spans="3:3" ht="14.25" customHeight="1">
      <c r="C249" s="42"/>
    </row>
    <row r="250" spans="3:3" ht="14.25" customHeight="1">
      <c r="C250" s="42"/>
    </row>
    <row r="251" spans="3:3" ht="14.25" customHeight="1">
      <c r="C251" s="42"/>
    </row>
    <row r="252" spans="3:3" ht="14.25" customHeight="1">
      <c r="C252" s="42"/>
    </row>
    <row r="253" spans="3:3" ht="14.25" customHeight="1">
      <c r="C253" s="42"/>
    </row>
    <row r="254" spans="3:3" ht="14.25" customHeight="1">
      <c r="C254" s="42"/>
    </row>
    <row r="255" spans="3:3" ht="14.25" customHeight="1">
      <c r="C255" s="42"/>
    </row>
    <row r="256" spans="3:3" ht="14.25" customHeight="1">
      <c r="C256" s="42"/>
    </row>
    <row r="257" spans="3:3" ht="14.25" customHeight="1">
      <c r="C257" s="42"/>
    </row>
    <row r="258" spans="3:3" ht="14.25" customHeight="1">
      <c r="C258" s="42"/>
    </row>
    <row r="259" spans="3:3" ht="14.25" customHeight="1">
      <c r="C259" s="42"/>
    </row>
    <row r="260" spans="3:3" ht="14.25" customHeight="1">
      <c r="C260" s="42"/>
    </row>
    <row r="261" spans="3:3" ht="14.25" customHeight="1">
      <c r="C261" s="42"/>
    </row>
    <row r="262" spans="3:3" ht="14.25" customHeight="1">
      <c r="C262" s="42"/>
    </row>
    <row r="263" spans="3:3" ht="14.25" customHeight="1">
      <c r="C263" s="42"/>
    </row>
    <row r="264" spans="3:3" ht="14.25" customHeight="1">
      <c r="C264" s="42"/>
    </row>
    <row r="265" spans="3:3" ht="14.25" customHeight="1">
      <c r="C265" s="42"/>
    </row>
    <row r="266" spans="3:3" ht="14.25" customHeight="1">
      <c r="C266" s="42"/>
    </row>
    <row r="267" spans="3:3" ht="14.25" customHeight="1">
      <c r="C267" s="42"/>
    </row>
    <row r="268" spans="3:3" ht="14.25" customHeight="1">
      <c r="C268" s="42"/>
    </row>
    <row r="269" spans="3:3" ht="14.25" customHeight="1">
      <c r="C269" s="42"/>
    </row>
    <row r="270" spans="3:3" ht="14.25" customHeight="1">
      <c r="C270" s="42"/>
    </row>
    <row r="271" spans="3:3" ht="14.25" customHeight="1">
      <c r="C271" s="42"/>
    </row>
    <row r="272" spans="3:3" ht="14.25" customHeight="1">
      <c r="C272" s="42"/>
    </row>
    <row r="273" spans="3:3" ht="14.25" customHeight="1">
      <c r="C273" s="42"/>
    </row>
    <row r="274" spans="3:3" ht="14.25" customHeight="1">
      <c r="C274" s="42"/>
    </row>
    <row r="275" spans="3:3" ht="14.25" customHeight="1">
      <c r="C275" s="42"/>
    </row>
    <row r="276" spans="3:3" ht="14.25" customHeight="1">
      <c r="C276" s="42"/>
    </row>
    <row r="277" spans="3:3" ht="14.25" customHeight="1">
      <c r="C277" s="42"/>
    </row>
    <row r="278" spans="3:3" ht="14.25" customHeight="1">
      <c r="C278" s="42"/>
    </row>
    <row r="279" spans="3:3" ht="14.25" customHeight="1">
      <c r="C279" s="42"/>
    </row>
    <row r="280" spans="3:3" ht="14.25" customHeight="1">
      <c r="C280" s="42"/>
    </row>
    <row r="281" spans="3:3" ht="14.25" customHeight="1">
      <c r="C281" s="42"/>
    </row>
    <row r="282" spans="3:3" ht="14.25" customHeight="1">
      <c r="C282" s="42"/>
    </row>
    <row r="283" spans="3:3" ht="14.25" customHeight="1">
      <c r="C283" s="42"/>
    </row>
    <row r="284" spans="3:3" ht="14.25" customHeight="1">
      <c r="C284" s="42"/>
    </row>
    <row r="285" spans="3:3" ht="14.25" customHeight="1">
      <c r="C285" s="42"/>
    </row>
    <row r="286" spans="3:3" ht="14.25" customHeight="1">
      <c r="C286" s="42"/>
    </row>
    <row r="287" spans="3:3" ht="14.25" customHeight="1">
      <c r="C287" s="42"/>
    </row>
    <row r="288" spans="3:3" ht="14.25" customHeight="1">
      <c r="C288" s="42"/>
    </row>
    <row r="289" spans="3:3" ht="14.25" customHeight="1">
      <c r="C289" s="42"/>
    </row>
    <row r="290" spans="3:3" ht="14.25" customHeight="1">
      <c r="C290" s="42"/>
    </row>
    <row r="291" spans="3:3" ht="14.25" customHeight="1">
      <c r="C291" s="42"/>
    </row>
    <row r="292" spans="3:3" ht="14.25" customHeight="1">
      <c r="C292" s="42"/>
    </row>
    <row r="293" spans="3:3" ht="14.25" customHeight="1">
      <c r="C293" s="42"/>
    </row>
    <row r="294" spans="3:3" ht="14.25" customHeight="1">
      <c r="C294" s="42"/>
    </row>
    <row r="295" spans="3:3" ht="14.25" customHeight="1">
      <c r="C295" s="42"/>
    </row>
    <row r="296" spans="3:3" ht="14.25" customHeight="1">
      <c r="C296" s="42"/>
    </row>
    <row r="297" spans="3:3" ht="14.25" customHeight="1">
      <c r="C297" s="42"/>
    </row>
    <row r="298" spans="3:3" ht="14.25" customHeight="1">
      <c r="C298" s="42"/>
    </row>
    <row r="299" spans="3:3" ht="14.25" customHeight="1">
      <c r="C299" s="42"/>
    </row>
    <row r="300" spans="3:3" ht="14.25" customHeight="1">
      <c r="C300" s="42"/>
    </row>
    <row r="301" spans="3:3" ht="14.25" customHeight="1">
      <c r="C301" s="42"/>
    </row>
    <row r="302" spans="3:3" ht="14.25" customHeight="1">
      <c r="C302" s="42"/>
    </row>
    <row r="303" spans="3:3" ht="14.25" customHeight="1">
      <c r="C303" s="42"/>
    </row>
    <row r="304" spans="3:3" ht="14.25" customHeight="1">
      <c r="C304" s="42"/>
    </row>
    <row r="305" spans="3:3" ht="14.25" customHeight="1">
      <c r="C305" s="42"/>
    </row>
    <row r="306" spans="3:3" ht="14.25" customHeight="1">
      <c r="C306" s="42"/>
    </row>
    <row r="307" spans="3:3" ht="14.25" customHeight="1">
      <c r="C307" s="42"/>
    </row>
    <row r="308" spans="3:3" ht="14.25" customHeight="1">
      <c r="C308" s="42"/>
    </row>
    <row r="309" spans="3:3" ht="14.25" customHeight="1">
      <c r="C309" s="42"/>
    </row>
    <row r="310" spans="3:3" ht="14.25" customHeight="1">
      <c r="C310" s="42"/>
    </row>
    <row r="311" spans="3:3" ht="14.25" customHeight="1">
      <c r="C311" s="42"/>
    </row>
    <row r="312" spans="3:3" ht="14.25" customHeight="1">
      <c r="C312" s="42"/>
    </row>
    <row r="313" spans="3:3" ht="14.25" customHeight="1">
      <c r="C313" s="42"/>
    </row>
    <row r="314" spans="3:3" ht="14.25" customHeight="1">
      <c r="C314" s="42"/>
    </row>
    <row r="315" spans="3:3" ht="14.25" customHeight="1">
      <c r="C315" s="42"/>
    </row>
    <row r="316" spans="3:3" ht="14.25" customHeight="1">
      <c r="C316" s="42"/>
    </row>
    <row r="317" spans="3:3" ht="14.25" customHeight="1">
      <c r="C317" s="42"/>
    </row>
    <row r="318" spans="3:3" ht="14.25" customHeight="1">
      <c r="C318" s="42"/>
    </row>
    <row r="319" spans="3:3" ht="14.25" customHeight="1">
      <c r="C319" s="42"/>
    </row>
    <row r="320" spans="3:3" ht="14.25" customHeight="1">
      <c r="C320" s="42"/>
    </row>
    <row r="321" spans="3:3" ht="14.25" customHeight="1">
      <c r="C321" s="42"/>
    </row>
    <row r="322" spans="3:3" ht="14.25" customHeight="1">
      <c r="C322" s="42"/>
    </row>
    <row r="323" spans="3:3" ht="14.25" customHeight="1">
      <c r="C323" s="42"/>
    </row>
    <row r="324" spans="3:3" ht="14.25" customHeight="1">
      <c r="C324" s="42"/>
    </row>
    <row r="325" spans="3:3" ht="14.25" customHeight="1">
      <c r="C325" s="42"/>
    </row>
    <row r="326" spans="3:3" ht="14.25" customHeight="1">
      <c r="C326" s="42"/>
    </row>
    <row r="327" spans="3:3" ht="14.25" customHeight="1">
      <c r="C327" s="42"/>
    </row>
    <row r="328" spans="3:3" ht="14.25" customHeight="1">
      <c r="C328" s="42"/>
    </row>
    <row r="329" spans="3:3" ht="14.25" customHeight="1">
      <c r="C329" s="42"/>
    </row>
    <row r="330" spans="3:3" ht="14.25" customHeight="1">
      <c r="C330" s="42"/>
    </row>
    <row r="331" spans="3:3" ht="14.25" customHeight="1">
      <c r="C331" s="42"/>
    </row>
    <row r="332" spans="3:3" ht="14.25" customHeight="1">
      <c r="C332" s="42"/>
    </row>
    <row r="333" spans="3:3" ht="14.25" customHeight="1">
      <c r="C333" s="42"/>
    </row>
    <row r="334" spans="3:3" ht="14.25" customHeight="1">
      <c r="C334" s="42"/>
    </row>
    <row r="335" spans="3:3" ht="14.25" customHeight="1">
      <c r="C335" s="42"/>
    </row>
    <row r="336" spans="3:3" ht="14.25" customHeight="1">
      <c r="C336" s="42"/>
    </row>
    <row r="337" spans="3:3" ht="14.25" customHeight="1">
      <c r="C337" s="42"/>
    </row>
    <row r="338" spans="3:3" ht="14.25" customHeight="1">
      <c r="C338" s="42"/>
    </row>
    <row r="339" spans="3:3" ht="14.25" customHeight="1">
      <c r="C339" s="42"/>
    </row>
    <row r="340" spans="3:3" ht="14.25" customHeight="1">
      <c r="C340" s="42"/>
    </row>
    <row r="341" spans="3:3" ht="14.25" customHeight="1">
      <c r="C341" s="42"/>
    </row>
    <row r="342" spans="3:3" ht="14.25" customHeight="1">
      <c r="C342" s="42"/>
    </row>
    <row r="343" spans="3:3" ht="14.25" customHeight="1">
      <c r="C343" s="42"/>
    </row>
    <row r="344" spans="3:3" ht="14.25" customHeight="1">
      <c r="C344" s="42"/>
    </row>
    <row r="345" spans="3:3" ht="14.25" customHeight="1">
      <c r="C345" s="42"/>
    </row>
    <row r="346" spans="3:3" ht="14.25" customHeight="1">
      <c r="C346" s="42"/>
    </row>
    <row r="347" spans="3:3" ht="14.25" customHeight="1">
      <c r="C347" s="42"/>
    </row>
    <row r="348" spans="3:3" ht="14.25" customHeight="1">
      <c r="C348" s="42"/>
    </row>
    <row r="349" spans="3:3" ht="14.25" customHeight="1">
      <c r="C349" s="42"/>
    </row>
    <row r="350" spans="3:3" ht="14.25" customHeight="1">
      <c r="C350" s="42"/>
    </row>
    <row r="351" spans="3:3" ht="14.25" customHeight="1">
      <c r="C351" s="42"/>
    </row>
    <row r="352" spans="3:3" ht="14.25" customHeight="1">
      <c r="C352" s="42"/>
    </row>
    <row r="353" spans="3:3" ht="14.25" customHeight="1">
      <c r="C353" s="42"/>
    </row>
    <row r="354" spans="3:3" ht="14.25" customHeight="1">
      <c r="C354" s="42"/>
    </row>
    <row r="355" spans="3:3" ht="14.25" customHeight="1">
      <c r="C355" s="42"/>
    </row>
    <row r="356" spans="3:3" ht="14.25" customHeight="1">
      <c r="C356" s="42"/>
    </row>
    <row r="357" spans="3:3" ht="14.25" customHeight="1">
      <c r="C357" s="42"/>
    </row>
    <row r="358" spans="3:3" ht="14.25" customHeight="1">
      <c r="C358" s="42"/>
    </row>
    <row r="359" spans="3:3" ht="14.25" customHeight="1">
      <c r="C359" s="42"/>
    </row>
    <row r="360" spans="3:3" ht="14.25" customHeight="1">
      <c r="C360" s="42"/>
    </row>
    <row r="361" spans="3:3" ht="14.25" customHeight="1">
      <c r="C361" s="42"/>
    </row>
    <row r="362" spans="3:3" ht="14.25" customHeight="1">
      <c r="C362" s="42"/>
    </row>
    <row r="363" spans="3:3" ht="14.25" customHeight="1">
      <c r="C363" s="42"/>
    </row>
    <row r="364" spans="3:3" ht="14.25" customHeight="1">
      <c r="C364" s="42"/>
    </row>
    <row r="365" spans="3:3" ht="14.25" customHeight="1">
      <c r="C365" s="42"/>
    </row>
    <row r="366" spans="3:3" ht="14.25" customHeight="1">
      <c r="C366" s="42"/>
    </row>
    <row r="367" spans="3:3" ht="14.25" customHeight="1">
      <c r="C367" s="42"/>
    </row>
    <row r="368" spans="3:3" ht="14.25" customHeight="1">
      <c r="C368" s="42"/>
    </row>
    <row r="369" spans="3:3" ht="14.25" customHeight="1">
      <c r="C369" s="42"/>
    </row>
    <row r="370" spans="3:3" ht="14.25" customHeight="1">
      <c r="C370" s="42"/>
    </row>
    <row r="371" spans="3:3" ht="14.25" customHeight="1">
      <c r="C371" s="42"/>
    </row>
    <row r="372" spans="3:3" ht="14.25" customHeight="1">
      <c r="C372" s="42"/>
    </row>
    <row r="373" spans="3:3" ht="14.25" customHeight="1">
      <c r="C373" s="42"/>
    </row>
    <row r="374" spans="3:3" ht="14.25" customHeight="1">
      <c r="C374" s="42"/>
    </row>
    <row r="375" spans="3:3" ht="14.25" customHeight="1">
      <c r="C375" s="42"/>
    </row>
    <row r="376" spans="3:3" ht="14.25" customHeight="1">
      <c r="C376" s="42"/>
    </row>
    <row r="377" spans="3:3" ht="14.25" customHeight="1">
      <c r="C377" s="42"/>
    </row>
    <row r="378" spans="3:3" ht="14.25" customHeight="1">
      <c r="C378" s="42"/>
    </row>
    <row r="379" spans="3:3" ht="14.25" customHeight="1">
      <c r="C379" s="42"/>
    </row>
    <row r="380" spans="3:3" ht="14.25" customHeight="1">
      <c r="C380" s="42"/>
    </row>
    <row r="381" spans="3:3" ht="14.25" customHeight="1">
      <c r="C381" s="42"/>
    </row>
    <row r="382" spans="3:3" ht="14.25" customHeight="1">
      <c r="C382" s="42"/>
    </row>
    <row r="383" spans="3:3" ht="14.25" customHeight="1">
      <c r="C383" s="42"/>
    </row>
    <row r="384" spans="3:3" ht="14.25" customHeight="1">
      <c r="C384" s="42"/>
    </row>
    <row r="385" spans="3:3" ht="14.25" customHeight="1">
      <c r="C385" s="42"/>
    </row>
    <row r="386" spans="3:3" ht="14.25" customHeight="1">
      <c r="C386" s="42"/>
    </row>
    <row r="387" spans="3:3" ht="14.25" customHeight="1">
      <c r="C387" s="42"/>
    </row>
    <row r="388" spans="3:3" ht="14.25" customHeight="1">
      <c r="C388" s="42"/>
    </row>
    <row r="389" spans="3:3" ht="14.25" customHeight="1">
      <c r="C389" s="42"/>
    </row>
    <row r="390" spans="3:3" ht="14.25" customHeight="1">
      <c r="C390" s="42"/>
    </row>
    <row r="391" spans="3:3" ht="14.25" customHeight="1">
      <c r="C391" s="42"/>
    </row>
    <row r="392" spans="3:3" ht="14.25" customHeight="1">
      <c r="C392" s="42"/>
    </row>
    <row r="393" spans="3:3" ht="14.25" customHeight="1">
      <c r="C393" s="42"/>
    </row>
    <row r="394" spans="3:3" ht="14.25" customHeight="1">
      <c r="C394" s="42"/>
    </row>
    <row r="395" spans="3:3" ht="14.25" customHeight="1">
      <c r="C395" s="42"/>
    </row>
    <row r="396" spans="3:3" ht="14.25" customHeight="1">
      <c r="C396" s="42"/>
    </row>
    <row r="397" spans="3:3" ht="14.25" customHeight="1">
      <c r="C397" s="42"/>
    </row>
    <row r="398" spans="3:3" ht="14.25" customHeight="1">
      <c r="C398" s="42"/>
    </row>
    <row r="399" spans="3:3" ht="14.25" customHeight="1">
      <c r="C399" s="42"/>
    </row>
    <row r="400" spans="3:3" ht="14.25" customHeight="1">
      <c r="C400" s="42"/>
    </row>
    <row r="401" spans="3:3" ht="14.25" customHeight="1">
      <c r="C401" s="42"/>
    </row>
    <row r="402" spans="3:3" ht="14.25" customHeight="1">
      <c r="C402" s="42"/>
    </row>
    <row r="403" spans="3:3" ht="14.25" customHeight="1">
      <c r="C403" s="42"/>
    </row>
    <row r="404" spans="3:3" ht="14.25" customHeight="1">
      <c r="C404" s="42"/>
    </row>
    <row r="405" spans="3:3" ht="14.25" customHeight="1">
      <c r="C405" s="42"/>
    </row>
    <row r="406" spans="3:3" ht="14.25" customHeight="1">
      <c r="C406" s="42"/>
    </row>
    <row r="407" spans="3:3" ht="14.25" customHeight="1">
      <c r="C407" s="42"/>
    </row>
    <row r="408" spans="3:3" ht="14.25" customHeight="1">
      <c r="C408" s="42"/>
    </row>
    <row r="409" spans="3:3" ht="14.25" customHeight="1">
      <c r="C409" s="42"/>
    </row>
    <row r="410" spans="3:3" ht="14.25" customHeight="1">
      <c r="C410" s="42"/>
    </row>
    <row r="411" spans="3:3" ht="14.25" customHeight="1">
      <c r="C411" s="42"/>
    </row>
    <row r="412" spans="3:3" ht="14.25" customHeight="1">
      <c r="C412" s="42"/>
    </row>
    <row r="413" spans="3:3" ht="14.25" customHeight="1">
      <c r="C413" s="42"/>
    </row>
    <row r="414" spans="3:3" ht="14.25" customHeight="1">
      <c r="C414" s="42"/>
    </row>
    <row r="415" spans="3:3" ht="14.25" customHeight="1">
      <c r="C415" s="42"/>
    </row>
    <row r="416" spans="3:3" ht="14.25" customHeight="1">
      <c r="C416" s="42"/>
    </row>
    <row r="417" spans="3:3" ht="14.25" customHeight="1">
      <c r="C417" s="42"/>
    </row>
    <row r="418" spans="3:3" ht="14.25" customHeight="1">
      <c r="C418" s="42"/>
    </row>
    <row r="419" spans="3:3" ht="14.25" customHeight="1">
      <c r="C419" s="42"/>
    </row>
    <row r="420" spans="3:3" ht="14.25" customHeight="1">
      <c r="C420" s="42"/>
    </row>
    <row r="421" spans="3:3" ht="14.25" customHeight="1">
      <c r="C421" s="42"/>
    </row>
    <row r="422" spans="3:3" ht="14.25" customHeight="1">
      <c r="C422" s="42"/>
    </row>
    <row r="423" spans="3:3" ht="14.25" customHeight="1">
      <c r="C423" s="42"/>
    </row>
    <row r="424" spans="3:3" ht="14.25" customHeight="1">
      <c r="C424" s="42"/>
    </row>
    <row r="425" spans="3:3" ht="14.25" customHeight="1">
      <c r="C425" s="42"/>
    </row>
    <row r="426" spans="3:3" ht="14.25" customHeight="1">
      <c r="C426" s="42"/>
    </row>
    <row r="427" spans="3:3" ht="14.25" customHeight="1">
      <c r="C427" s="42"/>
    </row>
    <row r="428" spans="3:3" ht="14.25" customHeight="1">
      <c r="C428" s="42"/>
    </row>
    <row r="429" spans="3:3" ht="14.25" customHeight="1">
      <c r="C429" s="42"/>
    </row>
    <row r="430" spans="3:3" ht="14.25" customHeight="1">
      <c r="C430" s="42"/>
    </row>
    <row r="431" spans="3:3" ht="14.25" customHeight="1">
      <c r="C431" s="42"/>
    </row>
    <row r="432" spans="3:3" ht="14.25" customHeight="1">
      <c r="C432" s="42"/>
    </row>
    <row r="433" spans="3:3" ht="14.25" customHeight="1">
      <c r="C433" s="42"/>
    </row>
    <row r="434" spans="3:3" ht="14.25" customHeight="1">
      <c r="C434" s="42"/>
    </row>
    <row r="435" spans="3:3" ht="14.25" customHeight="1">
      <c r="C435" s="42"/>
    </row>
    <row r="436" spans="3:3" ht="14.25" customHeight="1">
      <c r="C436" s="42"/>
    </row>
    <row r="437" spans="3:3" ht="14.25" customHeight="1">
      <c r="C437" s="42"/>
    </row>
    <row r="438" spans="3:3" ht="14.25" customHeight="1">
      <c r="C438" s="42"/>
    </row>
    <row r="439" spans="3:3" ht="14.25" customHeight="1">
      <c r="C439" s="42"/>
    </row>
    <row r="440" spans="3:3" ht="14.25" customHeight="1">
      <c r="C440" s="42"/>
    </row>
    <row r="441" spans="3:3" ht="14.25" customHeight="1">
      <c r="C441" s="42"/>
    </row>
    <row r="442" spans="3:3" ht="14.25" customHeight="1">
      <c r="C442" s="42"/>
    </row>
    <row r="443" spans="3:3" ht="14.25" customHeight="1">
      <c r="C443" s="42"/>
    </row>
    <row r="444" spans="3:3" ht="14.25" customHeight="1">
      <c r="C444" s="42"/>
    </row>
    <row r="445" spans="3:3" ht="14.25" customHeight="1">
      <c r="C445" s="42"/>
    </row>
    <row r="446" spans="3:3" ht="14.25" customHeight="1">
      <c r="C446" s="42"/>
    </row>
    <row r="447" spans="3:3" ht="14.25" customHeight="1">
      <c r="C447" s="42"/>
    </row>
    <row r="448" spans="3:3" ht="14.25" customHeight="1">
      <c r="C448" s="42"/>
    </row>
    <row r="449" spans="3:3" ht="14.25" customHeight="1">
      <c r="C449" s="42"/>
    </row>
    <row r="450" spans="3:3" ht="14.25" customHeight="1">
      <c r="C450" s="42"/>
    </row>
    <row r="451" spans="3:3" ht="14.25" customHeight="1">
      <c r="C451" s="42"/>
    </row>
    <row r="452" spans="3:3" ht="14.25" customHeight="1">
      <c r="C452" s="42"/>
    </row>
    <row r="453" spans="3:3" ht="14.25" customHeight="1">
      <c r="C453" s="42"/>
    </row>
    <row r="454" spans="3:3" ht="14.25" customHeight="1">
      <c r="C454" s="42"/>
    </row>
    <row r="455" spans="3:3" ht="14.25" customHeight="1">
      <c r="C455" s="42"/>
    </row>
    <row r="456" spans="3:3" ht="14.25" customHeight="1">
      <c r="C456" s="42"/>
    </row>
    <row r="457" spans="3:3" ht="14.25" customHeight="1">
      <c r="C457" s="42"/>
    </row>
    <row r="458" spans="3:3" ht="14.25" customHeight="1">
      <c r="C458" s="42"/>
    </row>
    <row r="459" spans="3:3" ht="14.25" customHeight="1">
      <c r="C459" s="42"/>
    </row>
    <row r="460" spans="3:3" ht="14.25" customHeight="1">
      <c r="C460" s="42"/>
    </row>
    <row r="461" spans="3:3" ht="14.25" customHeight="1">
      <c r="C461" s="42"/>
    </row>
    <row r="462" spans="3:3" ht="14.25" customHeight="1">
      <c r="C462" s="42"/>
    </row>
    <row r="463" spans="3:3" ht="14.25" customHeight="1">
      <c r="C463" s="42"/>
    </row>
    <row r="464" spans="3:3" ht="14.25" customHeight="1">
      <c r="C464" s="42"/>
    </row>
    <row r="465" spans="3:3" ht="14.25" customHeight="1">
      <c r="C465" s="42"/>
    </row>
    <row r="466" spans="3:3" ht="14.25" customHeight="1">
      <c r="C466" s="42"/>
    </row>
    <row r="467" spans="3:3" ht="14.25" customHeight="1">
      <c r="C467" s="42"/>
    </row>
    <row r="468" spans="3:3" ht="14.25" customHeight="1">
      <c r="C468" s="42"/>
    </row>
    <row r="469" spans="3:3" ht="14.25" customHeight="1">
      <c r="C469" s="42"/>
    </row>
    <row r="470" spans="3:3" ht="14.25" customHeight="1">
      <c r="C470" s="42"/>
    </row>
    <row r="471" spans="3:3" ht="14.25" customHeight="1">
      <c r="C471" s="42"/>
    </row>
    <row r="472" spans="3:3" ht="14.25" customHeight="1">
      <c r="C472" s="42"/>
    </row>
    <row r="473" spans="3:3" ht="14.25" customHeight="1">
      <c r="C473" s="42"/>
    </row>
    <row r="474" spans="3:3" ht="14.25" customHeight="1">
      <c r="C474" s="42"/>
    </row>
    <row r="475" spans="3:3" ht="14.25" customHeight="1">
      <c r="C475" s="42"/>
    </row>
    <row r="476" spans="3:3" ht="14.25" customHeight="1">
      <c r="C476" s="42"/>
    </row>
    <row r="477" spans="3:3" ht="14.25" customHeight="1">
      <c r="C477" s="42"/>
    </row>
    <row r="478" spans="3:3" ht="14.25" customHeight="1">
      <c r="C478" s="42"/>
    </row>
    <row r="479" spans="3:3" ht="14.25" customHeight="1">
      <c r="C479" s="42"/>
    </row>
    <row r="480" spans="3:3" ht="14.25" customHeight="1">
      <c r="C480" s="42"/>
    </row>
    <row r="481" spans="3:3" ht="14.25" customHeight="1">
      <c r="C481" s="42"/>
    </row>
    <row r="482" spans="3:3" ht="14.25" customHeight="1">
      <c r="C482" s="42"/>
    </row>
    <row r="483" spans="3:3" ht="14.25" customHeight="1">
      <c r="C483" s="42"/>
    </row>
    <row r="484" spans="3:3" ht="14.25" customHeight="1">
      <c r="C484" s="42"/>
    </row>
    <row r="485" spans="3:3" ht="14.25" customHeight="1">
      <c r="C485" s="42"/>
    </row>
    <row r="486" spans="3:3" ht="14.25" customHeight="1">
      <c r="C486" s="42"/>
    </row>
    <row r="487" spans="3:3" ht="14.25" customHeight="1">
      <c r="C487" s="42"/>
    </row>
    <row r="488" spans="3:3" ht="14.25" customHeight="1">
      <c r="C488" s="42"/>
    </row>
    <row r="489" spans="3:3" ht="14.25" customHeight="1">
      <c r="C489" s="42"/>
    </row>
    <row r="490" spans="3:3" ht="14.25" customHeight="1">
      <c r="C490" s="42"/>
    </row>
    <row r="491" spans="3:3" ht="14.25" customHeight="1">
      <c r="C491" s="42"/>
    </row>
    <row r="492" spans="3:3" ht="14.25" customHeight="1">
      <c r="C492" s="42"/>
    </row>
    <row r="493" spans="3:3" ht="14.25" customHeight="1">
      <c r="C493" s="42"/>
    </row>
    <row r="494" spans="3:3" ht="14.25" customHeight="1">
      <c r="C494" s="42"/>
    </row>
    <row r="495" spans="3:3" ht="14.25" customHeight="1">
      <c r="C495" s="42"/>
    </row>
    <row r="496" spans="3:3" ht="14.25" customHeight="1">
      <c r="C496" s="42"/>
    </row>
    <row r="497" spans="3:3" ht="14.25" customHeight="1">
      <c r="C497" s="42"/>
    </row>
    <row r="498" spans="3:3" ht="14.25" customHeight="1">
      <c r="C498" s="42"/>
    </row>
    <row r="499" spans="3:3" ht="14.25" customHeight="1">
      <c r="C499" s="42"/>
    </row>
    <row r="500" spans="3:3" ht="14.25" customHeight="1">
      <c r="C500" s="42"/>
    </row>
    <row r="501" spans="3:3" ht="14.25" customHeight="1">
      <c r="C501" s="42"/>
    </row>
    <row r="502" spans="3:3" ht="14.25" customHeight="1">
      <c r="C502" s="42"/>
    </row>
    <row r="503" spans="3:3" ht="14.25" customHeight="1">
      <c r="C503" s="42"/>
    </row>
    <row r="504" spans="3:3" ht="14.25" customHeight="1">
      <c r="C504" s="42"/>
    </row>
    <row r="505" spans="3:3" ht="14.25" customHeight="1">
      <c r="C505" s="42"/>
    </row>
    <row r="506" spans="3:3" ht="14.25" customHeight="1">
      <c r="C506" s="42"/>
    </row>
    <row r="507" spans="3:3" ht="14.25" customHeight="1">
      <c r="C507" s="42"/>
    </row>
    <row r="508" spans="3:3" ht="14.25" customHeight="1">
      <c r="C508" s="42"/>
    </row>
    <row r="509" spans="3:3" ht="14.25" customHeight="1">
      <c r="C509" s="42"/>
    </row>
    <row r="510" spans="3:3" ht="14.25" customHeight="1">
      <c r="C510" s="42"/>
    </row>
    <row r="511" spans="3:3" ht="14.25" customHeight="1">
      <c r="C511" s="42"/>
    </row>
    <row r="512" spans="3:3" ht="14.25" customHeight="1">
      <c r="C512" s="42"/>
    </row>
    <row r="513" spans="3:3" ht="14.25" customHeight="1">
      <c r="C513" s="42"/>
    </row>
    <row r="514" spans="3:3" ht="14.25" customHeight="1">
      <c r="C514" s="42"/>
    </row>
    <row r="515" spans="3:3" ht="14.25" customHeight="1">
      <c r="C515" s="42"/>
    </row>
    <row r="516" spans="3:3" ht="14.25" customHeight="1">
      <c r="C516" s="42"/>
    </row>
    <row r="517" spans="3:3" ht="14.25" customHeight="1">
      <c r="C517" s="42"/>
    </row>
    <row r="518" spans="3:3" ht="14.25" customHeight="1">
      <c r="C518" s="42"/>
    </row>
    <row r="519" spans="3:3" ht="14.25" customHeight="1">
      <c r="C519" s="42"/>
    </row>
    <row r="520" spans="3:3" ht="14.25" customHeight="1">
      <c r="C520" s="42"/>
    </row>
    <row r="521" spans="3:3" ht="14.25" customHeight="1">
      <c r="C521" s="42"/>
    </row>
    <row r="522" spans="3:3" ht="14.25" customHeight="1">
      <c r="C522" s="42"/>
    </row>
    <row r="523" spans="3:3" ht="14.25" customHeight="1">
      <c r="C523" s="42"/>
    </row>
    <row r="524" spans="3:3" ht="14.25" customHeight="1">
      <c r="C524" s="42"/>
    </row>
    <row r="525" spans="3:3" ht="14.25" customHeight="1">
      <c r="C525" s="42"/>
    </row>
    <row r="526" spans="3:3" ht="14.25" customHeight="1">
      <c r="C526" s="42"/>
    </row>
    <row r="527" spans="3:3" ht="14.25" customHeight="1">
      <c r="C527" s="42"/>
    </row>
    <row r="528" spans="3:3" ht="14.25" customHeight="1">
      <c r="C528" s="42"/>
    </row>
    <row r="529" spans="3:3" ht="14.25" customHeight="1">
      <c r="C529" s="42"/>
    </row>
    <row r="530" spans="3:3" ht="14.25" customHeight="1">
      <c r="C530" s="42"/>
    </row>
    <row r="531" spans="3:3" ht="14.25" customHeight="1">
      <c r="C531" s="42"/>
    </row>
    <row r="532" spans="3:3" ht="14.25" customHeight="1">
      <c r="C532" s="42"/>
    </row>
    <row r="533" spans="3:3" ht="14.25" customHeight="1">
      <c r="C533" s="42"/>
    </row>
    <row r="534" spans="3:3" ht="14.25" customHeight="1">
      <c r="C534" s="42"/>
    </row>
    <row r="535" spans="3:3" ht="14.25" customHeight="1">
      <c r="C535" s="42"/>
    </row>
    <row r="536" spans="3:3" ht="14.25" customHeight="1">
      <c r="C536" s="42"/>
    </row>
    <row r="537" spans="3:3" ht="14.25" customHeight="1">
      <c r="C537" s="42"/>
    </row>
    <row r="538" spans="3:3" ht="14.25" customHeight="1">
      <c r="C538" s="42"/>
    </row>
    <row r="539" spans="3:3" ht="14.25" customHeight="1">
      <c r="C539" s="42"/>
    </row>
    <row r="540" spans="3:3" ht="14.25" customHeight="1">
      <c r="C540" s="42"/>
    </row>
    <row r="541" spans="3:3" ht="14.25" customHeight="1">
      <c r="C541" s="42"/>
    </row>
    <row r="542" spans="3:3" ht="14.25" customHeight="1">
      <c r="C542" s="42"/>
    </row>
    <row r="543" spans="3:3" ht="14.25" customHeight="1">
      <c r="C543" s="42"/>
    </row>
    <row r="544" spans="3:3" ht="14.25" customHeight="1">
      <c r="C544" s="42"/>
    </row>
    <row r="545" spans="3:3" ht="14.25" customHeight="1">
      <c r="C545" s="42"/>
    </row>
    <row r="546" spans="3:3" ht="14.25" customHeight="1">
      <c r="C546" s="42"/>
    </row>
    <row r="547" spans="3:3" ht="14.25" customHeight="1">
      <c r="C547" s="42"/>
    </row>
    <row r="548" spans="3:3" ht="14.25" customHeight="1">
      <c r="C548" s="42"/>
    </row>
    <row r="549" spans="3:3" ht="14.25" customHeight="1">
      <c r="C549" s="42"/>
    </row>
    <row r="550" spans="3:3" ht="14.25" customHeight="1">
      <c r="C550" s="42"/>
    </row>
    <row r="551" spans="3:3" ht="14.25" customHeight="1">
      <c r="C551" s="42"/>
    </row>
    <row r="552" spans="3:3" ht="14.25" customHeight="1">
      <c r="C552" s="42"/>
    </row>
    <row r="553" spans="3:3" ht="14.25" customHeight="1">
      <c r="C553" s="42"/>
    </row>
    <row r="554" spans="3:3" ht="14.25" customHeight="1">
      <c r="C554" s="42"/>
    </row>
    <row r="555" spans="3:3" ht="14.25" customHeight="1">
      <c r="C555" s="42"/>
    </row>
    <row r="556" spans="3:3" ht="14.25" customHeight="1">
      <c r="C556" s="42"/>
    </row>
    <row r="557" spans="3:3" ht="14.25" customHeight="1">
      <c r="C557" s="42"/>
    </row>
    <row r="558" spans="3:3" ht="14.25" customHeight="1">
      <c r="C558" s="42"/>
    </row>
    <row r="559" spans="3:3" ht="14.25" customHeight="1">
      <c r="C559" s="42"/>
    </row>
    <row r="560" spans="3:3" ht="14.25" customHeight="1">
      <c r="C560" s="42"/>
    </row>
    <row r="561" spans="3:3" ht="14.25" customHeight="1">
      <c r="C561" s="42"/>
    </row>
    <row r="562" spans="3:3" ht="14.25" customHeight="1">
      <c r="C562" s="42"/>
    </row>
    <row r="563" spans="3:3" ht="14.25" customHeight="1">
      <c r="C563" s="42"/>
    </row>
    <row r="564" spans="3:3" ht="14.25" customHeight="1">
      <c r="C564" s="42"/>
    </row>
    <row r="565" spans="3:3" ht="14.25" customHeight="1">
      <c r="C565" s="42"/>
    </row>
    <row r="566" spans="3:3" ht="14.25" customHeight="1">
      <c r="C566" s="42"/>
    </row>
    <row r="567" spans="3:3" ht="14.25" customHeight="1">
      <c r="C567" s="42"/>
    </row>
    <row r="568" spans="3:3" ht="14.25" customHeight="1">
      <c r="C568" s="42"/>
    </row>
    <row r="569" spans="3:3" ht="14.25" customHeight="1">
      <c r="C569" s="42"/>
    </row>
    <row r="570" spans="3:3" ht="14.25" customHeight="1">
      <c r="C570" s="42"/>
    </row>
    <row r="571" spans="3:3" ht="14.25" customHeight="1">
      <c r="C571" s="42"/>
    </row>
    <row r="572" spans="3:3" ht="14.25" customHeight="1">
      <c r="C572" s="42"/>
    </row>
    <row r="573" spans="3:3" ht="14.25" customHeight="1">
      <c r="C573" s="42"/>
    </row>
    <row r="574" spans="3:3" ht="14.25" customHeight="1">
      <c r="C574" s="42"/>
    </row>
    <row r="575" spans="3:3" ht="14.25" customHeight="1">
      <c r="C575" s="42"/>
    </row>
    <row r="576" spans="3:3" ht="14.25" customHeight="1">
      <c r="C576" s="42"/>
    </row>
    <row r="577" spans="3:3" ht="14.25" customHeight="1">
      <c r="C577" s="42"/>
    </row>
    <row r="578" spans="3:3" ht="14.25" customHeight="1">
      <c r="C578" s="42"/>
    </row>
    <row r="579" spans="3:3" ht="14.25" customHeight="1">
      <c r="C579" s="42"/>
    </row>
    <row r="580" spans="3:3" ht="14.25" customHeight="1">
      <c r="C580" s="42"/>
    </row>
    <row r="581" spans="3:3" ht="14.25" customHeight="1">
      <c r="C581" s="42"/>
    </row>
    <row r="582" spans="3:3" ht="14.25" customHeight="1">
      <c r="C582" s="42"/>
    </row>
    <row r="583" spans="3:3" ht="14.25" customHeight="1">
      <c r="C583" s="42"/>
    </row>
    <row r="584" spans="3:3" ht="14.25" customHeight="1">
      <c r="C584" s="42"/>
    </row>
    <row r="585" spans="3:3" ht="14.25" customHeight="1">
      <c r="C585" s="42"/>
    </row>
    <row r="586" spans="3:3" ht="14.25" customHeight="1">
      <c r="C586" s="42"/>
    </row>
    <row r="587" spans="3:3" ht="14.25" customHeight="1">
      <c r="C587" s="42"/>
    </row>
    <row r="588" spans="3:3" ht="14.25" customHeight="1">
      <c r="C588" s="42"/>
    </row>
    <row r="589" spans="3:3" ht="14.25" customHeight="1">
      <c r="C589" s="42"/>
    </row>
    <row r="590" spans="3:3" ht="14.25" customHeight="1">
      <c r="C590" s="42"/>
    </row>
    <row r="591" spans="3:3" ht="14.25" customHeight="1">
      <c r="C591" s="42"/>
    </row>
    <row r="592" spans="3:3" ht="14.25" customHeight="1">
      <c r="C592" s="42"/>
    </row>
    <row r="593" spans="3:3" ht="14.25" customHeight="1">
      <c r="C593" s="42"/>
    </row>
    <row r="594" spans="3:3" ht="14.25" customHeight="1">
      <c r="C594" s="42"/>
    </row>
    <row r="595" spans="3:3" ht="14.25" customHeight="1">
      <c r="C595" s="42"/>
    </row>
    <row r="596" spans="3:3" ht="14.25" customHeight="1">
      <c r="C596" s="42"/>
    </row>
    <row r="597" spans="3:3" ht="14.25" customHeight="1">
      <c r="C597" s="42"/>
    </row>
    <row r="598" spans="3:3" ht="14.25" customHeight="1">
      <c r="C598" s="42"/>
    </row>
    <row r="599" spans="3:3" ht="14.25" customHeight="1">
      <c r="C599" s="42"/>
    </row>
    <row r="600" spans="3:3" ht="14.25" customHeight="1">
      <c r="C600" s="42"/>
    </row>
    <row r="601" spans="3:3" ht="14.25" customHeight="1">
      <c r="C601" s="42"/>
    </row>
    <row r="602" spans="3:3" ht="14.25" customHeight="1">
      <c r="C602" s="42"/>
    </row>
    <row r="603" spans="3:3" ht="14.25" customHeight="1">
      <c r="C603" s="42"/>
    </row>
    <row r="604" spans="3:3" ht="14.25" customHeight="1">
      <c r="C604" s="42"/>
    </row>
    <row r="605" spans="3:3" ht="14.25" customHeight="1">
      <c r="C605" s="42"/>
    </row>
    <row r="606" spans="3:3" ht="14.25" customHeight="1">
      <c r="C606" s="42"/>
    </row>
    <row r="607" spans="3:3" ht="14.25" customHeight="1">
      <c r="C607" s="42"/>
    </row>
    <row r="608" spans="3:3" ht="14.25" customHeight="1">
      <c r="C608" s="42"/>
    </row>
    <row r="609" spans="3:3" ht="14.25" customHeight="1">
      <c r="C609" s="42"/>
    </row>
    <row r="610" spans="3:3" ht="14.25" customHeight="1">
      <c r="C610" s="42"/>
    </row>
    <row r="611" spans="3:3" ht="14.25" customHeight="1">
      <c r="C611" s="42"/>
    </row>
    <row r="612" spans="3:3" ht="14.25" customHeight="1">
      <c r="C612" s="42"/>
    </row>
    <row r="613" spans="3:3" ht="14.25" customHeight="1">
      <c r="C613" s="42"/>
    </row>
    <row r="614" spans="3:3" ht="14.25" customHeight="1">
      <c r="C614" s="42"/>
    </row>
    <row r="615" spans="3:3" ht="14.25" customHeight="1">
      <c r="C615" s="42"/>
    </row>
    <row r="616" spans="3:3" ht="14.25" customHeight="1">
      <c r="C616" s="42"/>
    </row>
    <row r="617" spans="3:3" ht="14.25" customHeight="1">
      <c r="C617" s="42"/>
    </row>
    <row r="618" spans="3:3" ht="14.25" customHeight="1">
      <c r="C618" s="42"/>
    </row>
    <row r="619" spans="3:3" ht="14.25" customHeight="1">
      <c r="C619" s="42"/>
    </row>
    <row r="620" spans="3:3" ht="14.25" customHeight="1">
      <c r="C620" s="42"/>
    </row>
    <row r="621" spans="3:3" ht="14.25" customHeight="1">
      <c r="C621" s="42"/>
    </row>
    <row r="622" spans="3:3" ht="14.25" customHeight="1">
      <c r="C622" s="42"/>
    </row>
    <row r="623" spans="3:3" ht="14.25" customHeight="1">
      <c r="C623" s="42"/>
    </row>
    <row r="624" spans="3:3" ht="14.25" customHeight="1">
      <c r="C624" s="42"/>
    </row>
    <row r="625" spans="3:3" ht="14.25" customHeight="1">
      <c r="C625" s="42"/>
    </row>
    <row r="626" spans="3:3" ht="14.25" customHeight="1">
      <c r="C626" s="42"/>
    </row>
    <row r="627" spans="3:3" ht="14.25" customHeight="1">
      <c r="C627" s="42"/>
    </row>
    <row r="628" spans="3:3" ht="14.25" customHeight="1">
      <c r="C628" s="42"/>
    </row>
    <row r="629" spans="3:3" ht="14.25" customHeight="1">
      <c r="C629" s="42"/>
    </row>
    <row r="630" spans="3:3" ht="14.25" customHeight="1">
      <c r="C630" s="42"/>
    </row>
    <row r="631" spans="3:3" ht="14.25" customHeight="1">
      <c r="C631" s="42"/>
    </row>
    <row r="632" spans="3:3" ht="14.25" customHeight="1">
      <c r="C632" s="42"/>
    </row>
    <row r="633" spans="3:3" ht="14.25" customHeight="1">
      <c r="C633" s="42"/>
    </row>
    <row r="634" spans="3:3" ht="14.25" customHeight="1">
      <c r="C634" s="42"/>
    </row>
    <row r="635" spans="3:3" ht="14.25" customHeight="1">
      <c r="C635" s="42"/>
    </row>
    <row r="636" spans="3:3" ht="14.25" customHeight="1">
      <c r="C636" s="42"/>
    </row>
    <row r="637" spans="3:3" ht="14.25" customHeight="1">
      <c r="C637" s="42"/>
    </row>
    <row r="638" spans="3:3" ht="14.25" customHeight="1">
      <c r="C638" s="42"/>
    </row>
    <row r="639" spans="3:3" ht="14.25" customHeight="1">
      <c r="C639" s="42"/>
    </row>
    <row r="640" spans="3:3" ht="14.25" customHeight="1">
      <c r="C640" s="42"/>
    </row>
    <row r="641" spans="3:3" ht="14.25" customHeight="1">
      <c r="C641" s="42"/>
    </row>
    <row r="642" spans="3:3" ht="14.25" customHeight="1">
      <c r="C642" s="42"/>
    </row>
    <row r="643" spans="3:3" ht="14.25" customHeight="1">
      <c r="C643" s="42"/>
    </row>
    <row r="644" spans="3:3" ht="14.25" customHeight="1">
      <c r="C644" s="42"/>
    </row>
    <row r="645" spans="3:3" ht="14.25" customHeight="1">
      <c r="C645" s="42"/>
    </row>
    <row r="646" spans="3:3" ht="14.25" customHeight="1">
      <c r="C646" s="42"/>
    </row>
    <row r="647" spans="3:3" ht="14.25" customHeight="1">
      <c r="C647" s="42"/>
    </row>
    <row r="648" spans="3:3" ht="14.25" customHeight="1">
      <c r="C648" s="42"/>
    </row>
    <row r="649" spans="3:3" ht="14.25" customHeight="1">
      <c r="C649" s="42"/>
    </row>
    <row r="650" spans="3:3" ht="14.25" customHeight="1">
      <c r="C650" s="42"/>
    </row>
    <row r="651" spans="3:3" ht="14.25" customHeight="1">
      <c r="C651" s="42"/>
    </row>
    <row r="652" spans="3:3" ht="14.25" customHeight="1">
      <c r="C652" s="42"/>
    </row>
    <row r="653" spans="3:3" ht="14.25" customHeight="1">
      <c r="C653" s="42"/>
    </row>
    <row r="654" spans="3:3" ht="14.25" customHeight="1">
      <c r="C654" s="42"/>
    </row>
    <row r="655" spans="3:3" ht="14.25" customHeight="1">
      <c r="C655" s="42"/>
    </row>
    <row r="656" spans="3:3" ht="14.25" customHeight="1">
      <c r="C656" s="42"/>
    </row>
    <row r="657" spans="3:3" ht="14.25" customHeight="1">
      <c r="C657" s="42"/>
    </row>
    <row r="658" spans="3:3" ht="14.25" customHeight="1">
      <c r="C658" s="42"/>
    </row>
    <row r="659" spans="3:3" ht="14.25" customHeight="1">
      <c r="C659" s="42"/>
    </row>
    <row r="660" spans="3:3" ht="14.25" customHeight="1">
      <c r="C660" s="42"/>
    </row>
    <row r="661" spans="3:3" ht="14.25" customHeight="1">
      <c r="C661" s="42"/>
    </row>
    <row r="662" spans="3:3" ht="14.25" customHeight="1">
      <c r="C662" s="42"/>
    </row>
    <row r="663" spans="3:3" ht="14.25" customHeight="1">
      <c r="C663" s="42"/>
    </row>
    <row r="664" spans="3:3" ht="14.25" customHeight="1">
      <c r="C664" s="42"/>
    </row>
    <row r="665" spans="3:3" ht="14.25" customHeight="1">
      <c r="C665" s="42"/>
    </row>
    <row r="666" spans="3:3" ht="14.25" customHeight="1">
      <c r="C666" s="42"/>
    </row>
    <row r="667" spans="3:3" ht="14.25" customHeight="1">
      <c r="C667" s="42"/>
    </row>
    <row r="668" spans="3:3" ht="14.25" customHeight="1">
      <c r="C668" s="42"/>
    </row>
    <row r="669" spans="3:3" ht="14.25" customHeight="1">
      <c r="C669" s="42"/>
    </row>
    <row r="670" spans="3:3" ht="14.25" customHeight="1">
      <c r="C670" s="42"/>
    </row>
    <row r="671" spans="3:3" ht="14.25" customHeight="1">
      <c r="C671" s="42"/>
    </row>
    <row r="672" spans="3:3" ht="14.25" customHeight="1">
      <c r="C672" s="42"/>
    </row>
    <row r="673" spans="3:3" ht="14.25" customHeight="1">
      <c r="C673" s="42"/>
    </row>
    <row r="674" spans="3:3" ht="14.25" customHeight="1">
      <c r="C674" s="42"/>
    </row>
    <row r="675" spans="3:3" ht="14.25" customHeight="1">
      <c r="C675" s="42"/>
    </row>
    <row r="676" spans="3:3" ht="14.25" customHeight="1">
      <c r="C676" s="42"/>
    </row>
    <row r="677" spans="3:3" ht="14.25" customHeight="1">
      <c r="C677" s="42"/>
    </row>
    <row r="678" spans="3:3" ht="14.25" customHeight="1">
      <c r="C678" s="42"/>
    </row>
    <row r="679" spans="3:3" ht="14.25" customHeight="1">
      <c r="C679" s="42"/>
    </row>
    <row r="680" spans="3:3" ht="14.25" customHeight="1">
      <c r="C680" s="42"/>
    </row>
    <row r="681" spans="3:3" ht="14.25" customHeight="1">
      <c r="C681" s="42"/>
    </row>
    <row r="682" spans="3:3" ht="14.25" customHeight="1">
      <c r="C682" s="42"/>
    </row>
    <row r="683" spans="3:3" ht="14.25" customHeight="1">
      <c r="C683" s="42"/>
    </row>
    <row r="684" spans="3:3" ht="14.25" customHeight="1">
      <c r="C684" s="42"/>
    </row>
    <row r="685" spans="3:3" ht="14.25" customHeight="1">
      <c r="C685" s="42"/>
    </row>
    <row r="686" spans="3:3" ht="14.25" customHeight="1">
      <c r="C686" s="42"/>
    </row>
    <row r="687" spans="3:3" ht="14.25" customHeight="1">
      <c r="C687" s="42"/>
    </row>
    <row r="688" spans="3:3" ht="14.25" customHeight="1">
      <c r="C688" s="42"/>
    </row>
    <row r="689" spans="3:3" ht="14.25" customHeight="1">
      <c r="C689" s="42"/>
    </row>
    <row r="690" spans="3:3" ht="14.25" customHeight="1">
      <c r="C690" s="42"/>
    </row>
    <row r="691" spans="3:3" ht="14.25" customHeight="1">
      <c r="C691" s="42"/>
    </row>
    <row r="692" spans="3:3" ht="14.25" customHeight="1">
      <c r="C692" s="42"/>
    </row>
    <row r="693" spans="3:3" ht="14.25" customHeight="1">
      <c r="C693" s="42"/>
    </row>
    <row r="694" spans="3:3" ht="14.25" customHeight="1">
      <c r="C694" s="42"/>
    </row>
    <row r="695" spans="3:3" ht="14.25" customHeight="1">
      <c r="C695" s="42"/>
    </row>
    <row r="696" spans="3:3" ht="14.25" customHeight="1">
      <c r="C696" s="42"/>
    </row>
    <row r="697" spans="3:3" ht="14.25" customHeight="1">
      <c r="C697" s="42"/>
    </row>
    <row r="698" spans="3:3" ht="14.25" customHeight="1">
      <c r="C698" s="42"/>
    </row>
    <row r="699" spans="3:3" ht="14.25" customHeight="1">
      <c r="C699" s="42"/>
    </row>
    <row r="700" spans="3:3" ht="14.25" customHeight="1">
      <c r="C700" s="42"/>
    </row>
    <row r="701" spans="3:3" ht="14.25" customHeight="1">
      <c r="C701" s="42"/>
    </row>
    <row r="702" spans="3:3" ht="14.25" customHeight="1">
      <c r="C702" s="42"/>
    </row>
    <row r="703" spans="3:3" ht="14.25" customHeight="1">
      <c r="C703" s="42"/>
    </row>
    <row r="704" spans="3:3" ht="14.25" customHeight="1">
      <c r="C704" s="42"/>
    </row>
    <row r="705" spans="3:3" ht="14.25" customHeight="1">
      <c r="C705" s="42"/>
    </row>
    <row r="706" spans="3:3" ht="14.25" customHeight="1">
      <c r="C706" s="42"/>
    </row>
    <row r="707" spans="3:3" ht="14.25" customHeight="1">
      <c r="C707" s="42"/>
    </row>
    <row r="708" spans="3:3" ht="14.25" customHeight="1">
      <c r="C708" s="42"/>
    </row>
    <row r="709" spans="3:3" ht="14.25" customHeight="1">
      <c r="C709" s="42"/>
    </row>
    <row r="710" spans="3:3" ht="14.25" customHeight="1">
      <c r="C710" s="42"/>
    </row>
    <row r="711" spans="3:3" ht="14.25" customHeight="1">
      <c r="C711" s="42"/>
    </row>
    <row r="712" spans="3:3" ht="14.25" customHeight="1">
      <c r="C712" s="42"/>
    </row>
    <row r="713" spans="3:3" ht="14.25" customHeight="1">
      <c r="C713" s="42"/>
    </row>
    <row r="714" spans="3:3" ht="14.25" customHeight="1">
      <c r="C714" s="42"/>
    </row>
    <row r="715" spans="3:3" ht="14.25" customHeight="1">
      <c r="C715" s="42"/>
    </row>
    <row r="716" spans="3:3" ht="14.25" customHeight="1">
      <c r="C716" s="42"/>
    </row>
    <row r="717" spans="3:3" ht="14.25" customHeight="1">
      <c r="C717" s="42"/>
    </row>
    <row r="718" spans="3:3" ht="14.25" customHeight="1">
      <c r="C718" s="42"/>
    </row>
    <row r="719" spans="3:3" ht="14.25" customHeight="1">
      <c r="C719" s="42"/>
    </row>
    <row r="720" spans="3:3" ht="14.25" customHeight="1">
      <c r="C720" s="42"/>
    </row>
    <row r="721" spans="3:3" ht="14.25" customHeight="1">
      <c r="C721" s="42"/>
    </row>
    <row r="722" spans="3:3" ht="14.25" customHeight="1">
      <c r="C722" s="42"/>
    </row>
    <row r="723" spans="3:3" ht="14.25" customHeight="1">
      <c r="C723" s="42"/>
    </row>
    <row r="724" spans="3:3" ht="14.25" customHeight="1">
      <c r="C724" s="42"/>
    </row>
    <row r="725" spans="3:3" ht="14.25" customHeight="1">
      <c r="C725" s="42"/>
    </row>
    <row r="726" spans="3:3" ht="14.25" customHeight="1">
      <c r="C726" s="42"/>
    </row>
    <row r="727" spans="3:3" ht="14.25" customHeight="1">
      <c r="C727" s="42"/>
    </row>
    <row r="728" spans="3:3" ht="14.25" customHeight="1">
      <c r="C728" s="42"/>
    </row>
    <row r="729" spans="3:3" ht="14.25" customHeight="1">
      <c r="C729" s="42"/>
    </row>
    <row r="730" spans="3:3" ht="14.25" customHeight="1">
      <c r="C730" s="42"/>
    </row>
    <row r="731" spans="3:3" ht="14.25" customHeight="1">
      <c r="C731" s="42"/>
    </row>
    <row r="732" spans="3:3" ht="14.25" customHeight="1">
      <c r="C732" s="42"/>
    </row>
    <row r="733" spans="3:3" ht="14.25" customHeight="1">
      <c r="C733" s="42"/>
    </row>
    <row r="734" spans="3:3" ht="14.25" customHeight="1">
      <c r="C734" s="42"/>
    </row>
    <row r="735" spans="3:3" ht="14.25" customHeight="1">
      <c r="C735" s="42"/>
    </row>
    <row r="736" spans="3:3" ht="14.25" customHeight="1">
      <c r="C736" s="42"/>
    </row>
    <row r="737" spans="3:3" ht="14.25" customHeight="1">
      <c r="C737" s="42"/>
    </row>
    <row r="738" spans="3:3" ht="14.25" customHeight="1">
      <c r="C738" s="42"/>
    </row>
    <row r="739" spans="3:3" ht="14.25" customHeight="1">
      <c r="C739" s="42"/>
    </row>
    <row r="740" spans="3:3" ht="14.25" customHeight="1">
      <c r="C740" s="42"/>
    </row>
    <row r="741" spans="3:3" ht="14.25" customHeight="1">
      <c r="C741" s="42"/>
    </row>
    <row r="742" spans="3:3" ht="14.25" customHeight="1">
      <c r="C742" s="42"/>
    </row>
    <row r="743" spans="3:3" ht="14.25" customHeight="1">
      <c r="C743" s="42"/>
    </row>
    <row r="744" spans="3:3" ht="14.25" customHeight="1">
      <c r="C744" s="42"/>
    </row>
    <row r="745" spans="3:3" ht="14.25" customHeight="1">
      <c r="C745" s="42"/>
    </row>
    <row r="746" spans="3:3" ht="14.25" customHeight="1">
      <c r="C746" s="42"/>
    </row>
    <row r="747" spans="3:3" ht="14.25" customHeight="1">
      <c r="C747" s="42"/>
    </row>
    <row r="748" spans="3:3" ht="14.25" customHeight="1">
      <c r="C748" s="42"/>
    </row>
    <row r="749" spans="3:3" ht="14.25" customHeight="1">
      <c r="C749" s="42"/>
    </row>
    <row r="750" spans="3:3" ht="14.25" customHeight="1">
      <c r="C750" s="42"/>
    </row>
    <row r="751" spans="3:3" ht="14.25" customHeight="1">
      <c r="C751" s="42"/>
    </row>
    <row r="752" spans="3:3" ht="14.25" customHeight="1">
      <c r="C752" s="42"/>
    </row>
    <row r="753" spans="3:3" ht="14.25" customHeight="1">
      <c r="C753" s="42"/>
    </row>
    <row r="754" spans="3:3" ht="14.25" customHeight="1">
      <c r="C754" s="42"/>
    </row>
    <row r="755" spans="3:3" ht="14.25" customHeight="1">
      <c r="C755" s="42"/>
    </row>
    <row r="756" spans="3:3" ht="14.25" customHeight="1">
      <c r="C756" s="42"/>
    </row>
    <row r="757" spans="3:3" ht="14.25" customHeight="1">
      <c r="C757" s="42"/>
    </row>
    <row r="758" spans="3:3" ht="14.25" customHeight="1">
      <c r="C758" s="42"/>
    </row>
    <row r="759" spans="3:3" ht="14.25" customHeight="1">
      <c r="C759" s="42"/>
    </row>
    <row r="760" spans="3:3" ht="14.25" customHeight="1">
      <c r="C760" s="42"/>
    </row>
    <row r="761" spans="3:3" ht="14.25" customHeight="1">
      <c r="C761" s="42"/>
    </row>
    <row r="762" spans="3:3" ht="14.25" customHeight="1">
      <c r="C762" s="42"/>
    </row>
    <row r="763" spans="3:3" ht="14.25" customHeight="1">
      <c r="C763" s="42"/>
    </row>
    <row r="764" spans="3:3" ht="14.25" customHeight="1">
      <c r="C764" s="42"/>
    </row>
    <row r="765" spans="3:3" ht="14.25" customHeight="1">
      <c r="C765" s="42"/>
    </row>
    <row r="766" spans="3:3" ht="14.25" customHeight="1">
      <c r="C766" s="42"/>
    </row>
    <row r="767" spans="3:3" ht="14.25" customHeight="1">
      <c r="C767" s="42"/>
    </row>
    <row r="768" spans="3:3" ht="14.25" customHeight="1">
      <c r="C768" s="42"/>
    </row>
    <row r="769" spans="3:3" ht="14.25" customHeight="1">
      <c r="C769" s="42"/>
    </row>
    <row r="770" spans="3:3" ht="14.25" customHeight="1">
      <c r="C770" s="42"/>
    </row>
    <row r="771" spans="3:3" ht="14.25" customHeight="1">
      <c r="C771" s="42"/>
    </row>
    <row r="772" spans="3:3" ht="14.25" customHeight="1">
      <c r="C772" s="42"/>
    </row>
    <row r="773" spans="3:3" ht="14.25" customHeight="1">
      <c r="C773" s="42"/>
    </row>
    <row r="774" spans="3:3" ht="14.25" customHeight="1">
      <c r="C774" s="42"/>
    </row>
    <row r="775" spans="3:3" ht="14.25" customHeight="1">
      <c r="C775" s="42"/>
    </row>
    <row r="776" spans="3:3" ht="14.25" customHeight="1">
      <c r="C776" s="42"/>
    </row>
    <row r="777" spans="3:3" ht="14.25" customHeight="1">
      <c r="C777" s="42"/>
    </row>
    <row r="778" spans="3:3" ht="14.25" customHeight="1">
      <c r="C778" s="42"/>
    </row>
    <row r="779" spans="3:3" ht="14.25" customHeight="1">
      <c r="C779" s="42"/>
    </row>
    <row r="780" spans="3:3" ht="14.25" customHeight="1">
      <c r="C780" s="42"/>
    </row>
    <row r="781" spans="3:3" ht="14.25" customHeight="1">
      <c r="C781" s="42"/>
    </row>
    <row r="782" spans="3:3" ht="14.25" customHeight="1">
      <c r="C782" s="42"/>
    </row>
    <row r="783" spans="3:3" ht="14.25" customHeight="1">
      <c r="C783" s="42"/>
    </row>
    <row r="784" spans="3:3" ht="14.25" customHeight="1">
      <c r="C784" s="42"/>
    </row>
    <row r="785" spans="3:3" ht="14.25" customHeight="1">
      <c r="C785" s="42"/>
    </row>
    <row r="786" spans="3:3" ht="14.25" customHeight="1">
      <c r="C786" s="42"/>
    </row>
    <row r="787" spans="3:3" ht="14.25" customHeight="1">
      <c r="C787" s="42"/>
    </row>
    <row r="788" spans="3:3" ht="14.25" customHeight="1">
      <c r="C788" s="42"/>
    </row>
    <row r="789" spans="3:3" ht="14.25" customHeight="1">
      <c r="C789" s="42"/>
    </row>
    <row r="790" spans="3:3" ht="14.25" customHeight="1">
      <c r="C790" s="42"/>
    </row>
    <row r="791" spans="3:3" ht="14.25" customHeight="1">
      <c r="C791" s="42"/>
    </row>
    <row r="792" spans="3:3" ht="14.25" customHeight="1">
      <c r="C792" s="42"/>
    </row>
    <row r="793" spans="3:3" ht="14.25" customHeight="1">
      <c r="C793" s="42"/>
    </row>
    <row r="794" spans="3:3" ht="14.25" customHeight="1">
      <c r="C794" s="42"/>
    </row>
    <row r="795" spans="3:3" ht="14.25" customHeight="1">
      <c r="C795" s="42"/>
    </row>
    <row r="796" spans="3:3" ht="14.25" customHeight="1">
      <c r="C796" s="42"/>
    </row>
    <row r="797" spans="3:3" ht="14.25" customHeight="1">
      <c r="C797" s="42"/>
    </row>
    <row r="798" spans="3:3" ht="14.25" customHeight="1">
      <c r="C798" s="42"/>
    </row>
    <row r="799" spans="3:3" ht="14.25" customHeight="1">
      <c r="C799" s="42"/>
    </row>
    <row r="800" spans="3:3" ht="14.25" customHeight="1">
      <c r="C800" s="42"/>
    </row>
    <row r="801" spans="3:3" ht="14.25" customHeight="1">
      <c r="C801" s="42"/>
    </row>
    <row r="802" spans="3:3" ht="14.25" customHeight="1">
      <c r="C802" s="42"/>
    </row>
    <row r="803" spans="3:3" ht="14.25" customHeight="1">
      <c r="C803" s="42"/>
    </row>
    <row r="804" spans="3:3" ht="14.25" customHeight="1">
      <c r="C804" s="42"/>
    </row>
    <row r="805" spans="3:3" ht="14.25" customHeight="1">
      <c r="C805" s="42"/>
    </row>
    <row r="806" spans="3:3" ht="14.25" customHeight="1">
      <c r="C806" s="42"/>
    </row>
    <row r="807" spans="3:3" ht="14.25" customHeight="1">
      <c r="C807" s="42"/>
    </row>
    <row r="808" spans="3:3" ht="14.25" customHeight="1">
      <c r="C808" s="42"/>
    </row>
    <row r="809" spans="3:3" ht="14.25" customHeight="1">
      <c r="C809" s="42"/>
    </row>
    <row r="810" spans="3:3" ht="14.25" customHeight="1">
      <c r="C810" s="42"/>
    </row>
    <row r="811" spans="3:3" ht="14.25" customHeight="1">
      <c r="C811" s="42"/>
    </row>
    <row r="812" spans="3:3" ht="14.25" customHeight="1">
      <c r="C812" s="42"/>
    </row>
    <row r="813" spans="3:3" ht="14.25" customHeight="1">
      <c r="C813" s="42"/>
    </row>
    <row r="814" spans="3:3" ht="14.25" customHeight="1">
      <c r="C814" s="42"/>
    </row>
    <row r="815" spans="3:3" ht="14.25" customHeight="1">
      <c r="C815" s="42"/>
    </row>
    <row r="816" spans="3:3" ht="14.25" customHeight="1">
      <c r="C816" s="42"/>
    </row>
    <row r="817" spans="3:3" ht="14.25" customHeight="1">
      <c r="C817" s="42"/>
    </row>
    <row r="818" spans="3:3" ht="14.25" customHeight="1">
      <c r="C818" s="42"/>
    </row>
    <row r="819" spans="3:3" ht="14.25" customHeight="1">
      <c r="C819" s="42"/>
    </row>
    <row r="820" spans="3:3" ht="14.25" customHeight="1">
      <c r="C820" s="42"/>
    </row>
    <row r="821" spans="3:3" ht="14.25" customHeight="1">
      <c r="C821" s="42"/>
    </row>
    <row r="822" spans="3:3" ht="14.25" customHeight="1">
      <c r="C822" s="42"/>
    </row>
    <row r="823" spans="3:3" ht="14.25" customHeight="1">
      <c r="C823" s="42"/>
    </row>
    <row r="824" spans="3:3" ht="14.25" customHeight="1">
      <c r="C824" s="42"/>
    </row>
    <row r="825" spans="3:3" ht="14.25" customHeight="1">
      <c r="C825" s="42"/>
    </row>
    <row r="826" spans="3:3" ht="14.25" customHeight="1">
      <c r="C826" s="42"/>
    </row>
    <row r="827" spans="3:3" ht="14.25" customHeight="1">
      <c r="C827" s="42"/>
    </row>
    <row r="828" spans="3:3" ht="14.25" customHeight="1">
      <c r="C828" s="42"/>
    </row>
    <row r="829" spans="3:3" ht="14.25" customHeight="1">
      <c r="C829" s="42"/>
    </row>
    <row r="830" spans="3:3" ht="14.25" customHeight="1">
      <c r="C830" s="42"/>
    </row>
    <row r="831" spans="3:3" ht="14.25" customHeight="1">
      <c r="C831" s="42"/>
    </row>
    <row r="832" spans="3:3" ht="14.25" customHeight="1">
      <c r="C832" s="42"/>
    </row>
    <row r="833" spans="3:3" ht="14.25" customHeight="1">
      <c r="C833" s="42"/>
    </row>
    <row r="834" spans="3:3" ht="14.25" customHeight="1">
      <c r="C834" s="42"/>
    </row>
    <row r="835" spans="3:3" ht="14.25" customHeight="1">
      <c r="C835" s="42"/>
    </row>
    <row r="836" spans="3:3" ht="14.25" customHeight="1">
      <c r="C836" s="42"/>
    </row>
    <row r="837" spans="3:3" ht="14.25" customHeight="1">
      <c r="C837" s="42"/>
    </row>
    <row r="838" spans="3:3" ht="14.25" customHeight="1">
      <c r="C838" s="42"/>
    </row>
    <row r="839" spans="3:3" ht="14.25" customHeight="1">
      <c r="C839" s="42"/>
    </row>
    <row r="840" spans="3:3" ht="14.25" customHeight="1">
      <c r="C840" s="42"/>
    </row>
    <row r="841" spans="3:3" ht="14.25" customHeight="1">
      <c r="C841" s="42"/>
    </row>
    <row r="842" spans="3:3" ht="14.25" customHeight="1">
      <c r="C842" s="42"/>
    </row>
    <row r="843" spans="3:3" ht="14.25" customHeight="1">
      <c r="C843" s="42"/>
    </row>
    <row r="844" spans="3:3" ht="14.25" customHeight="1">
      <c r="C844" s="42"/>
    </row>
    <row r="845" spans="3:3" ht="14.25" customHeight="1">
      <c r="C845" s="42"/>
    </row>
    <row r="846" spans="3:3" ht="14.25" customHeight="1">
      <c r="C846" s="42"/>
    </row>
    <row r="847" spans="3:3" ht="14.25" customHeight="1">
      <c r="C847" s="42"/>
    </row>
    <row r="848" spans="3:3" ht="14.25" customHeight="1">
      <c r="C848" s="42"/>
    </row>
    <row r="849" spans="3:3" ht="14.25" customHeight="1">
      <c r="C849" s="42"/>
    </row>
    <row r="850" spans="3:3" ht="14.25" customHeight="1">
      <c r="C850" s="42"/>
    </row>
    <row r="851" spans="3:3" ht="14.25" customHeight="1">
      <c r="C851" s="42"/>
    </row>
    <row r="852" spans="3:3" ht="14.25" customHeight="1">
      <c r="C852" s="42"/>
    </row>
    <row r="853" spans="3:3" ht="14.25" customHeight="1">
      <c r="C853" s="42"/>
    </row>
    <row r="854" spans="3:3" ht="14.25" customHeight="1">
      <c r="C854" s="42"/>
    </row>
    <row r="855" spans="3:3" ht="14.25" customHeight="1">
      <c r="C855" s="42"/>
    </row>
    <row r="856" spans="3:3" ht="14.25" customHeight="1">
      <c r="C856" s="42"/>
    </row>
    <row r="857" spans="3:3" ht="14.25" customHeight="1">
      <c r="C857" s="42"/>
    </row>
    <row r="858" spans="3:3" ht="14.25" customHeight="1">
      <c r="C858" s="42"/>
    </row>
    <row r="859" spans="3:3" ht="14.25" customHeight="1">
      <c r="C859" s="42"/>
    </row>
    <row r="860" spans="3:3" ht="14.25" customHeight="1">
      <c r="C860" s="42"/>
    </row>
    <row r="861" spans="3:3" ht="14.25" customHeight="1">
      <c r="C861" s="42"/>
    </row>
    <row r="862" spans="3:3" ht="14.25" customHeight="1">
      <c r="C862" s="42"/>
    </row>
    <row r="863" spans="3:3" ht="14.25" customHeight="1">
      <c r="C863" s="42"/>
    </row>
    <row r="864" spans="3:3" ht="14.25" customHeight="1">
      <c r="C864" s="42"/>
    </row>
    <row r="865" spans="3:3" ht="14.25" customHeight="1">
      <c r="C865" s="42"/>
    </row>
    <row r="866" spans="3:3" ht="14.25" customHeight="1">
      <c r="C866" s="42"/>
    </row>
    <row r="867" spans="3:3" ht="14.25" customHeight="1">
      <c r="C867" s="42"/>
    </row>
    <row r="868" spans="3:3" ht="14.25" customHeight="1">
      <c r="C868" s="42"/>
    </row>
    <row r="869" spans="3:3" ht="14.25" customHeight="1">
      <c r="C869" s="42"/>
    </row>
    <row r="870" spans="3:3" ht="14.25" customHeight="1">
      <c r="C870" s="42"/>
    </row>
    <row r="871" spans="3:3" ht="14.25" customHeight="1">
      <c r="C871" s="42"/>
    </row>
    <row r="872" spans="3:3" ht="14.25" customHeight="1">
      <c r="C872" s="42"/>
    </row>
    <row r="873" spans="3:3" ht="14.25" customHeight="1">
      <c r="C873" s="42"/>
    </row>
    <row r="874" spans="3:3" ht="14.25" customHeight="1">
      <c r="C874" s="42"/>
    </row>
    <row r="875" spans="3:3" ht="14.25" customHeight="1">
      <c r="C875" s="42"/>
    </row>
    <row r="876" spans="3:3" ht="14.25" customHeight="1">
      <c r="C876" s="42"/>
    </row>
    <row r="877" spans="3:3" ht="14.25" customHeight="1">
      <c r="C877" s="42"/>
    </row>
    <row r="878" spans="3:3" ht="14.25" customHeight="1">
      <c r="C878" s="42"/>
    </row>
    <row r="879" spans="3:3" ht="14.25" customHeight="1">
      <c r="C879" s="42"/>
    </row>
    <row r="880" spans="3:3" ht="14.25" customHeight="1">
      <c r="C880" s="42"/>
    </row>
    <row r="881" spans="3:3" ht="14.25" customHeight="1">
      <c r="C881" s="42"/>
    </row>
    <row r="882" spans="3:3" ht="14.25" customHeight="1">
      <c r="C882" s="42"/>
    </row>
    <row r="883" spans="3:3" ht="14.25" customHeight="1">
      <c r="C883" s="42"/>
    </row>
    <row r="884" spans="3:3" ht="14.25" customHeight="1">
      <c r="C884" s="42"/>
    </row>
    <row r="885" spans="3:3" ht="14.25" customHeight="1">
      <c r="C885" s="42"/>
    </row>
    <row r="886" spans="3:3" ht="14.25" customHeight="1">
      <c r="C886" s="42"/>
    </row>
    <row r="887" spans="3:3" ht="14.25" customHeight="1">
      <c r="C887" s="42"/>
    </row>
    <row r="888" spans="3:3" ht="14.25" customHeight="1">
      <c r="C888" s="42"/>
    </row>
    <row r="889" spans="3:3" ht="14.25" customHeight="1">
      <c r="C889" s="42"/>
    </row>
    <row r="890" spans="3:3" ht="14.25" customHeight="1">
      <c r="C890" s="42"/>
    </row>
    <row r="891" spans="3:3" ht="14.25" customHeight="1">
      <c r="C891" s="42"/>
    </row>
    <row r="892" spans="3:3" ht="14.25" customHeight="1">
      <c r="C892" s="42"/>
    </row>
    <row r="893" spans="3:3" ht="14.25" customHeight="1">
      <c r="C893" s="42"/>
    </row>
    <row r="894" spans="3:3" ht="14.25" customHeight="1">
      <c r="C894" s="42"/>
    </row>
    <row r="895" spans="3:3" ht="14.25" customHeight="1">
      <c r="C895" s="42"/>
    </row>
    <row r="896" spans="3:3" ht="14.25" customHeight="1">
      <c r="C896" s="42"/>
    </row>
    <row r="897" spans="3:3" ht="14.25" customHeight="1">
      <c r="C897" s="42"/>
    </row>
    <row r="898" spans="3:3" ht="14.25" customHeight="1">
      <c r="C898" s="42"/>
    </row>
    <row r="899" spans="3:3" ht="14.25" customHeight="1">
      <c r="C899" s="42"/>
    </row>
    <row r="900" spans="3:3" ht="14.25" customHeight="1">
      <c r="C900" s="42"/>
    </row>
    <row r="901" spans="3:3" ht="14.25" customHeight="1">
      <c r="C901" s="42"/>
    </row>
    <row r="902" spans="3:3" ht="14.25" customHeight="1">
      <c r="C902" s="42"/>
    </row>
    <row r="903" spans="3:3" ht="14.25" customHeight="1">
      <c r="C903" s="42"/>
    </row>
    <row r="904" spans="3:3" ht="14.25" customHeight="1">
      <c r="C904" s="42"/>
    </row>
    <row r="905" spans="3:3" ht="14.25" customHeight="1">
      <c r="C905" s="42"/>
    </row>
    <row r="906" spans="3:3" ht="14.25" customHeight="1">
      <c r="C906" s="42"/>
    </row>
    <row r="907" spans="3:3" ht="14.25" customHeight="1">
      <c r="C907" s="42"/>
    </row>
    <row r="908" spans="3:3" ht="14.25" customHeight="1">
      <c r="C908" s="42"/>
    </row>
    <row r="909" spans="3:3" ht="14.25" customHeight="1">
      <c r="C909" s="42"/>
    </row>
    <row r="910" spans="3:3" ht="14.25" customHeight="1">
      <c r="C910" s="42"/>
    </row>
    <row r="911" spans="3:3" ht="14.25" customHeight="1">
      <c r="C911" s="42"/>
    </row>
    <row r="912" spans="3:3" ht="14.25" customHeight="1">
      <c r="C912" s="42"/>
    </row>
    <row r="913" spans="3:3" ht="14.25" customHeight="1">
      <c r="C913" s="42"/>
    </row>
    <row r="914" spans="3:3" ht="14.25" customHeight="1">
      <c r="C914" s="42"/>
    </row>
    <row r="915" spans="3:3" ht="14.25" customHeight="1">
      <c r="C915" s="42"/>
    </row>
    <row r="916" spans="3:3" ht="14.25" customHeight="1">
      <c r="C916" s="42"/>
    </row>
    <row r="917" spans="3:3" ht="14.25" customHeight="1">
      <c r="C917" s="42"/>
    </row>
    <row r="918" spans="3:3" ht="14.25" customHeight="1">
      <c r="C918" s="42"/>
    </row>
    <row r="919" spans="3:3" ht="14.25" customHeight="1">
      <c r="C919" s="42"/>
    </row>
    <row r="920" spans="3:3" ht="14.25" customHeight="1">
      <c r="C920" s="42"/>
    </row>
    <row r="921" spans="3:3" ht="14.25" customHeight="1">
      <c r="C921" s="42"/>
    </row>
    <row r="922" spans="3:3" ht="14.25" customHeight="1">
      <c r="C922" s="42"/>
    </row>
    <row r="923" spans="3:3" ht="14.25" customHeight="1">
      <c r="C923" s="42"/>
    </row>
    <row r="924" spans="3:3" ht="14.25" customHeight="1">
      <c r="C924" s="42"/>
    </row>
    <row r="925" spans="3:3" ht="14.25" customHeight="1">
      <c r="C925" s="42"/>
    </row>
    <row r="926" spans="3:3" ht="14.25" customHeight="1">
      <c r="C926" s="42"/>
    </row>
    <row r="927" spans="3:3" ht="14.25" customHeight="1">
      <c r="C927" s="42"/>
    </row>
    <row r="928" spans="3:3" ht="14.25" customHeight="1">
      <c r="C928" s="42"/>
    </row>
    <row r="929" spans="3:3" ht="14.25" customHeight="1">
      <c r="C929" s="42"/>
    </row>
    <row r="930" spans="3:3" ht="14.25" customHeight="1">
      <c r="C930" s="42"/>
    </row>
    <row r="931" spans="3:3" ht="14.25" customHeight="1">
      <c r="C931" s="42"/>
    </row>
    <row r="932" spans="3:3" ht="14.25" customHeight="1">
      <c r="C932" s="42"/>
    </row>
    <row r="933" spans="3:3" ht="14.25" customHeight="1">
      <c r="C933" s="42"/>
    </row>
    <row r="934" spans="3:3" ht="14.25" customHeight="1">
      <c r="C934" s="42"/>
    </row>
    <row r="935" spans="3:3" ht="14.25" customHeight="1">
      <c r="C935" s="42"/>
    </row>
    <row r="936" spans="3:3" ht="14.25" customHeight="1">
      <c r="C936" s="42"/>
    </row>
    <row r="937" spans="3:3" ht="14.25" customHeight="1">
      <c r="C937" s="42"/>
    </row>
    <row r="938" spans="3:3" ht="14.25" customHeight="1">
      <c r="C938" s="42"/>
    </row>
    <row r="939" spans="3:3" ht="14.25" customHeight="1">
      <c r="C939" s="42"/>
    </row>
    <row r="940" spans="3:3" ht="14.25" customHeight="1">
      <c r="C940" s="42"/>
    </row>
    <row r="941" spans="3:3" ht="14.25" customHeight="1">
      <c r="C941" s="42"/>
    </row>
    <row r="942" spans="3:3" ht="14.25" customHeight="1">
      <c r="C942" s="42"/>
    </row>
    <row r="943" spans="3:3" ht="14.25" customHeight="1">
      <c r="C943" s="42"/>
    </row>
    <row r="944" spans="3:3" ht="14.25" customHeight="1">
      <c r="C944" s="42"/>
    </row>
    <row r="945" spans="3:3" ht="14.25" customHeight="1">
      <c r="C945" s="42"/>
    </row>
    <row r="946" spans="3:3" ht="14.25" customHeight="1">
      <c r="C946" s="42"/>
    </row>
    <row r="947" spans="3:3" ht="14.25" customHeight="1">
      <c r="C947" s="42"/>
    </row>
    <row r="948" spans="3:3" ht="14.25" customHeight="1">
      <c r="C948" s="42"/>
    </row>
    <row r="949" spans="3:3" ht="14.25" customHeight="1">
      <c r="C949" s="42"/>
    </row>
    <row r="950" spans="3:3" ht="14.25" customHeight="1">
      <c r="C950" s="42"/>
    </row>
    <row r="951" spans="3:3" ht="14.25" customHeight="1">
      <c r="C951" s="42"/>
    </row>
    <row r="952" spans="3:3" ht="14.25" customHeight="1">
      <c r="C952" s="42"/>
    </row>
    <row r="953" spans="3:3" ht="14.25" customHeight="1">
      <c r="C953" s="42"/>
    </row>
    <row r="954" spans="3:3" ht="14.25" customHeight="1">
      <c r="C954" s="42"/>
    </row>
    <row r="955" spans="3:3" ht="14.25" customHeight="1">
      <c r="C955" s="42"/>
    </row>
    <row r="956" spans="3:3" ht="14.25" customHeight="1">
      <c r="C956" s="42"/>
    </row>
    <row r="957" spans="3:3" ht="14.25" customHeight="1">
      <c r="C957" s="42"/>
    </row>
    <row r="958" spans="3:3" ht="14.25" customHeight="1">
      <c r="C958" s="42"/>
    </row>
    <row r="959" spans="3:3" ht="14.25" customHeight="1">
      <c r="C959" s="42"/>
    </row>
    <row r="960" spans="3:3" ht="14.25" customHeight="1">
      <c r="C960" s="42"/>
    </row>
    <row r="961" spans="3:3" ht="14.25" customHeight="1">
      <c r="C961" s="42"/>
    </row>
    <row r="962" spans="3:3" ht="14.25" customHeight="1">
      <c r="C962" s="42"/>
    </row>
    <row r="963" spans="3:3" ht="14.25" customHeight="1">
      <c r="C963" s="42"/>
    </row>
    <row r="964" spans="3:3" ht="14.25" customHeight="1">
      <c r="C964" s="42"/>
    </row>
    <row r="965" spans="3:3" ht="14.25" customHeight="1">
      <c r="C965" s="42"/>
    </row>
    <row r="966" spans="3:3" ht="14.25" customHeight="1">
      <c r="C966" s="42"/>
    </row>
    <row r="967" spans="3:3" ht="14.25" customHeight="1">
      <c r="C967" s="42"/>
    </row>
    <row r="968" spans="3:3" ht="14.25" customHeight="1">
      <c r="C968" s="42"/>
    </row>
    <row r="969" spans="3:3" ht="14.25" customHeight="1">
      <c r="C969" s="42"/>
    </row>
    <row r="970" spans="3:3" ht="14.25" customHeight="1">
      <c r="C970" s="42"/>
    </row>
    <row r="971" spans="3:3" ht="14.25" customHeight="1">
      <c r="C971" s="42"/>
    </row>
    <row r="972" spans="3:3" ht="14.25" customHeight="1">
      <c r="C972" s="42"/>
    </row>
    <row r="973" spans="3:3" ht="14.25" customHeight="1">
      <c r="C973" s="42"/>
    </row>
    <row r="974" spans="3:3" ht="14.25" customHeight="1">
      <c r="C974" s="42"/>
    </row>
    <row r="975" spans="3:3" ht="14.25" customHeight="1">
      <c r="C975" s="42"/>
    </row>
    <row r="976" spans="3:3" ht="14.25" customHeight="1">
      <c r="C976" s="42"/>
    </row>
    <row r="977" spans="3:3" ht="14.25" customHeight="1">
      <c r="C977" s="42"/>
    </row>
    <row r="978" spans="3:3" ht="14.25" customHeight="1">
      <c r="C978" s="42"/>
    </row>
    <row r="979" spans="3:3" ht="14.25" customHeight="1">
      <c r="C979" s="42"/>
    </row>
    <row r="980" spans="3:3" ht="14.25" customHeight="1">
      <c r="C980" s="42"/>
    </row>
    <row r="981" spans="3:3" ht="14.25" customHeight="1">
      <c r="C981" s="42"/>
    </row>
    <row r="982" spans="3:3" ht="14.25" customHeight="1">
      <c r="C982" s="42"/>
    </row>
    <row r="983" spans="3:3" ht="14.25" customHeight="1">
      <c r="C983" s="42"/>
    </row>
    <row r="984" spans="3:3" ht="14.25" customHeight="1">
      <c r="C984" s="42"/>
    </row>
    <row r="985" spans="3:3" ht="14.25" customHeight="1">
      <c r="C985" s="42"/>
    </row>
    <row r="986" spans="3:3" ht="14.25" customHeight="1">
      <c r="C986" s="42"/>
    </row>
    <row r="987" spans="3:3" ht="14.25" customHeight="1">
      <c r="C987" s="42"/>
    </row>
    <row r="988" spans="3:3" ht="14.25" customHeight="1">
      <c r="C988" s="42"/>
    </row>
    <row r="989" spans="3:3" ht="14.25" customHeight="1">
      <c r="C989" s="42"/>
    </row>
    <row r="990" spans="3:3" ht="14.25" customHeight="1">
      <c r="C990" s="42"/>
    </row>
    <row r="991" spans="3:3" ht="14.25" customHeight="1">
      <c r="C991" s="42"/>
    </row>
    <row r="992" spans="3:3" ht="14.25" customHeight="1">
      <c r="C992" s="42"/>
    </row>
    <row r="993" spans="3:3" ht="14.25" customHeight="1">
      <c r="C993" s="42"/>
    </row>
    <row r="994" spans="3:3" ht="14.25" customHeight="1">
      <c r="C994" s="42"/>
    </row>
    <row r="995" spans="3:3" ht="14.25" customHeight="1">
      <c r="C995" s="42"/>
    </row>
    <row r="996" spans="3:3" ht="14.25" customHeight="1">
      <c r="C996" s="42"/>
    </row>
    <row r="997" spans="3:3" ht="14.25" customHeight="1">
      <c r="C997" s="42"/>
    </row>
    <row r="998" spans="3:3" ht="14.25" customHeight="1">
      <c r="C998" s="42"/>
    </row>
    <row r="999" spans="3:3" ht="14.25" customHeight="1">
      <c r="C999" s="42"/>
    </row>
    <row r="1000" spans="3:3" ht="14.25" customHeight="1">
      <c r="C1000" s="42"/>
    </row>
  </sheetData>
  <pageMargins left="0.7" right="0.7" top="0.75" bottom="0.75" header="0" footer="0"/>
  <pageSetup orientation="landscape"/>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J201"/>
  <sheetViews>
    <sheetView workbookViewId="0"/>
  </sheetViews>
  <sheetFormatPr defaultColWidth="12.5703125" defaultRowHeight="15" customHeight="1"/>
  <sheetData>
    <row r="1" spans="1:10">
      <c r="A1" s="73" t="s">
        <v>1</v>
      </c>
      <c r="B1" s="74"/>
      <c r="C1" s="74"/>
      <c r="D1" s="74"/>
      <c r="E1" s="74"/>
      <c r="F1" s="74"/>
      <c r="G1" s="74"/>
      <c r="H1" s="74"/>
      <c r="I1" s="74"/>
      <c r="J1" s="74"/>
    </row>
    <row r="2" spans="1:10">
      <c r="A2" s="75" t="s">
        <v>7</v>
      </c>
      <c r="B2" s="74"/>
      <c r="C2" s="74"/>
      <c r="D2" s="74"/>
      <c r="E2" s="74"/>
      <c r="F2" s="74"/>
      <c r="G2" s="74"/>
      <c r="H2" s="74"/>
      <c r="I2" s="74"/>
      <c r="J2" s="74"/>
    </row>
    <row r="3" spans="1:10">
      <c r="A3" s="7" t="s">
        <v>24</v>
      </c>
      <c r="B3" s="8" t="s">
        <v>32</v>
      </c>
      <c r="C3" s="8" t="s">
        <v>36</v>
      </c>
      <c r="D3" s="10">
        <v>2022</v>
      </c>
      <c r="E3" s="10">
        <v>2023</v>
      </c>
      <c r="F3" s="10">
        <v>2024</v>
      </c>
      <c r="G3" s="10">
        <v>2025</v>
      </c>
      <c r="H3" s="76" t="s">
        <v>46</v>
      </c>
      <c r="I3" s="77"/>
      <c r="J3" s="14"/>
    </row>
    <row r="4" spans="1:10">
      <c r="A4" s="15"/>
      <c r="B4" s="15"/>
      <c r="C4" s="16" t="s">
        <v>55</v>
      </c>
      <c r="D4" s="16" t="s">
        <v>55</v>
      </c>
      <c r="E4" s="16" t="s">
        <v>55</v>
      </c>
      <c r="F4" s="16" t="s">
        <v>55</v>
      </c>
      <c r="G4" s="16" t="s">
        <v>55</v>
      </c>
      <c r="H4" s="16" t="s">
        <v>63</v>
      </c>
      <c r="I4" s="18" t="s">
        <v>55</v>
      </c>
      <c r="J4" s="14"/>
    </row>
    <row r="5" spans="1:10">
      <c r="A5" s="20">
        <v>1</v>
      </c>
      <c r="B5" s="21" t="s">
        <v>68</v>
      </c>
      <c r="C5" s="23">
        <v>126779.39</v>
      </c>
      <c r="D5" s="23">
        <v>17265.57</v>
      </c>
      <c r="E5" s="23">
        <v>11568.46</v>
      </c>
      <c r="F5" s="23">
        <v>16310.16</v>
      </c>
      <c r="G5" s="23">
        <v>20615.52</v>
      </c>
      <c r="H5" s="27" t="s">
        <v>72</v>
      </c>
      <c r="I5" s="23">
        <v>192539.1</v>
      </c>
      <c r="J5" s="14"/>
    </row>
    <row r="6" spans="1:10">
      <c r="A6" s="20">
        <v>2</v>
      </c>
      <c r="B6" s="21" t="s">
        <v>76</v>
      </c>
      <c r="C6" s="23">
        <v>155117.38</v>
      </c>
      <c r="D6" s="23">
        <v>7543.24</v>
      </c>
      <c r="E6" s="23">
        <v>8444.6200000000008</v>
      </c>
      <c r="F6" s="23">
        <v>7892.58</v>
      </c>
      <c r="G6" s="23">
        <v>6210.3</v>
      </c>
      <c r="H6" s="27" t="s">
        <v>83</v>
      </c>
      <c r="I6" s="23">
        <v>185208.11</v>
      </c>
      <c r="J6" s="14"/>
    </row>
    <row r="7" spans="1:10">
      <c r="A7" s="20">
        <v>3</v>
      </c>
      <c r="B7" s="21" t="s">
        <v>85</v>
      </c>
      <c r="C7" s="23">
        <v>51264.77</v>
      </c>
      <c r="D7" s="23">
        <v>7983.22</v>
      </c>
      <c r="E7" s="23">
        <v>3922.92</v>
      </c>
      <c r="F7" s="23">
        <v>5900.74</v>
      </c>
      <c r="G7" s="23">
        <v>9527.2900000000009</v>
      </c>
      <c r="H7" s="27" t="s">
        <v>88</v>
      </c>
      <c r="I7" s="23">
        <v>78598.94</v>
      </c>
      <c r="J7" s="14"/>
    </row>
    <row r="8" spans="1:10">
      <c r="A8" s="20">
        <v>4</v>
      </c>
      <c r="B8" s="38" t="s">
        <v>90</v>
      </c>
      <c r="C8" s="23">
        <v>39321.61</v>
      </c>
      <c r="D8" s="23">
        <v>4115.75</v>
      </c>
      <c r="E8" s="23">
        <v>2619.7800000000002</v>
      </c>
      <c r="F8" s="23">
        <v>6715.42</v>
      </c>
      <c r="G8" s="23">
        <v>2847.66</v>
      </c>
      <c r="H8" s="27" t="s">
        <v>92</v>
      </c>
      <c r="I8" s="23">
        <v>55620.23</v>
      </c>
      <c r="J8" s="14"/>
    </row>
    <row r="9" spans="1:10">
      <c r="A9" s="20">
        <v>5</v>
      </c>
      <c r="B9" s="38" t="s">
        <v>94</v>
      </c>
      <c r="C9" s="23">
        <v>36446.400000000001</v>
      </c>
      <c r="D9" s="23">
        <v>2006.45</v>
      </c>
      <c r="E9" s="23">
        <v>3102.22</v>
      </c>
      <c r="F9" s="23">
        <v>1807.82</v>
      </c>
      <c r="G9" s="23">
        <v>4313.5</v>
      </c>
      <c r="H9" s="27" t="s">
        <v>95</v>
      </c>
      <c r="I9" s="23">
        <v>47676.4</v>
      </c>
      <c r="J9" s="14"/>
    </row>
    <row r="10" spans="1:10">
      <c r="A10" s="20">
        <v>6</v>
      </c>
      <c r="B10" s="38" t="s">
        <v>97</v>
      </c>
      <c r="C10" s="23">
        <v>31943.13</v>
      </c>
      <c r="D10" s="23">
        <v>1815.86</v>
      </c>
      <c r="E10" s="23">
        <v>1048.1099999999999</v>
      </c>
      <c r="F10" s="44">
        <v>861.83</v>
      </c>
      <c r="G10" s="23">
        <v>1056.79</v>
      </c>
      <c r="H10" s="27" t="s">
        <v>98</v>
      </c>
      <c r="I10" s="23">
        <v>36725.72</v>
      </c>
      <c r="J10" s="14"/>
    </row>
    <row r="11" spans="1:10">
      <c r="A11" s="20">
        <v>7</v>
      </c>
      <c r="B11" s="38" t="s">
        <v>99</v>
      </c>
      <c r="C11" s="23">
        <v>12037.22</v>
      </c>
      <c r="D11" s="23">
        <v>3289.77</v>
      </c>
      <c r="E11" s="23">
        <v>2681.81</v>
      </c>
      <c r="F11" s="23">
        <v>4639.08</v>
      </c>
      <c r="G11" s="23">
        <v>2654.39</v>
      </c>
      <c r="H11" s="27" t="s">
        <v>101</v>
      </c>
      <c r="I11" s="23">
        <v>25302.29</v>
      </c>
      <c r="J11" s="14"/>
    </row>
    <row r="12" spans="1:10">
      <c r="A12" s="20">
        <v>8</v>
      </c>
      <c r="B12" s="38" t="s">
        <v>103</v>
      </c>
      <c r="C12" s="23">
        <v>13077.22</v>
      </c>
      <c r="D12" s="23">
        <v>1698.82</v>
      </c>
      <c r="E12" s="44">
        <v>363.27</v>
      </c>
      <c r="F12" s="44">
        <v>422.67</v>
      </c>
      <c r="G12" s="23">
        <v>2046.97</v>
      </c>
      <c r="H12" s="27" t="s">
        <v>104</v>
      </c>
      <c r="I12" s="23">
        <v>17608.96</v>
      </c>
      <c r="J12" s="14"/>
    </row>
    <row r="13" spans="1:10">
      <c r="A13" s="20">
        <v>9</v>
      </c>
      <c r="B13" s="38" t="s">
        <v>105</v>
      </c>
      <c r="C13" s="23">
        <v>11274.19</v>
      </c>
      <c r="D13" s="23">
        <v>1247.28</v>
      </c>
      <c r="E13" s="44">
        <v>919.41</v>
      </c>
      <c r="F13" s="23">
        <v>1191.32</v>
      </c>
      <c r="G13" s="23">
        <v>1428.13</v>
      </c>
      <c r="H13" s="27" t="s">
        <v>107</v>
      </c>
      <c r="I13" s="23">
        <v>16060.33</v>
      </c>
      <c r="J13" s="14"/>
    </row>
    <row r="14" spans="1:10">
      <c r="A14" s="20">
        <v>10</v>
      </c>
      <c r="B14" s="38" t="s">
        <v>108</v>
      </c>
      <c r="C14" s="23">
        <v>13454.74</v>
      </c>
      <c r="D14" s="44">
        <v>496.88</v>
      </c>
      <c r="E14" s="44">
        <v>564.58000000000004</v>
      </c>
      <c r="F14" s="44">
        <v>463.37</v>
      </c>
      <c r="G14" s="44">
        <v>535.91</v>
      </c>
      <c r="H14" s="23">
        <v>95308.01</v>
      </c>
      <c r="I14" s="23">
        <v>15515.48</v>
      </c>
      <c r="J14" s="14"/>
    </row>
    <row r="15" spans="1:10">
      <c r="A15" s="20">
        <v>11</v>
      </c>
      <c r="B15" s="38" t="s">
        <v>110</v>
      </c>
      <c r="C15" s="23">
        <v>10074.469999999999</v>
      </c>
      <c r="D15" s="44">
        <v>426.23</v>
      </c>
      <c r="E15" s="44">
        <v>353.15</v>
      </c>
      <c r="F15" s="44">
        <v>859.24</v>
      </c>
      <c r="G15" s="44">
        <v>315.7</v>
      </c>
      <c r="H15" s="23">
        <v>78132.72</v>
      </c>
      <c r="I15" s="23">
        <v>12028.78</v>
      </c>
      <c r="J15" s="14"/>
    </row>
    <row r="16" spans="1:10">
      <c r="A16" s="20">
        <v>12</v>
      </c>
      <c r="B16" s="38" t="s">
        <v>112</v>
      </c>
      <c r="C16" s="23">
        <v>9316.58</v>
      </c>
      <c r="D16" s="44">
        <v>452.79</v>
      </c>
      <c r="E16" s="44">
        <v>212.26</v>
      </c>
      <c r="F16" s="44">
        <v>802.05</v>
      </c>
      <c r="G16" s="44">
        <v>511.04</v>
      </c>
      <c r="H16" s="23">
        <v>76509.570000000007</v>
      </c>
      <c r="I16" s="23">
        <v>11294.72</v>
      </c>
      <c r="J16" s="14"/>
    </row>
    <row r="17" spans="1:10">
      <c r="A17" s="20">
        <v>13</v>
      </c>
      <c r="B17" s="38" t="s">
        <v>114</v>
      </c>
      <c r="C17" s="23">
        <v>5148.25</v>
      </c>
      <c r="D17" s="44">
        <v>252.92</v>
      </c>
      <c r="E17" s="44">
        <v>385.73</v>
      </c>
      <c r="F17" s="44">
        <v>630.61</v>
      </c>
      <c r="G17" s="44">
        <v>587.76</v>
      </c>
      <c r="H17" s="23">
        <v>48338.19</v>
      </c>
      <c r="I17" s="23">
        <v>7005.27</v>
      </c>
      <c r="J17" s="14"/>
    </row>
    <row r="18" spans="1:10">
      <c r="A18" s="20">
        <v>14</v>
      </c>
      <c r="B18" s="38" t="s">
        <v>115</v>
      </c>
      <c r="C18" s="23">
        <v>3666.95</v>
      </c>
      <c r="D18" s="44">
        <v>663.09</v>
      </c>
      <c r="E18" s="44">
        <v>424.49</v>
      </c>
      <c r="F18" s="44">
        <v>352.67</v>
      </c>
      <c r="G18" s="44">
        <v>544.99</v>
      </c>
      <c r="H18" s="23">
        <v>39991.79</v>
      </c>
      <c r="I18" s="23">
        <v>5652.18</v>
      </c>
      <c r="J18" s="14"/>
    </row>
    <row r="19" spans="1:10">
      <c r="A19" s="20">
        <v>15</v>
      </c>
      <c r="B19" s="38" t="s">
        <v>118</v>
      </c>
      <c r="C19" s="23">
        <v>4594.88</v>
      </c>
      <c r="D19" s="44">
        <v>94.1</v>
      </c>
      <c r="E19" s="44">
        <v>61.05</v>
      </c>
      <c r="F19" s="44">
        <v>87.7</v>
      </c>
      <c r="G19" s="44">
        <v>61.4</v>
      </c>
      <c r="H19" s="23">
        <v>31104.77</v>
      </c>
      <c r="I19" s="23">
        <v>4899.12</v>
      </c>
      <c r="J19" s="14"/>
    </row>
    <row r="20" spans="1:10">
      <c r="A20" s="20">
        <v>16</v>
      </c>
      <c r="B20" s="38" t="s">
        <v>120</v>
      </c>
      <c r="C20" s="23">
        <v>2367.9699999999998</v>
      </c>
      <c r="D20" s="44">
        <v>817.03</v>
      </c>
      <c r="E20" s="44">
        <v>569.53</v>
      </c>
      <c r="F20" s="44">
        <v>410.51</v>
      </c>
      <c r="G20" s="44">
        <v>161.44</v>
      </c>
      <c r="H20" s="23">
        <v>31041.83</v>
      </c>
      <c r="I20" s="23">
        <v>4326.4799999999996</v>
      </c>
      <c r="J20" s="14"/>
    </row>
    <row r="21" spans="1:10">
      <c r="A21" s="20">
        <v>17</v>
      </c>
      <c r="B21" s="38" t="s">
        <v>121</v>
      </c>
      <c r="C21" s="23">
        <v>3558.92</v>
      </c>
      <c r="D21" s="44">
        <v>161.34</v>
      </c>
      <c r="E21" s="44">
        <v>224.17</v>
      </c>
      <c r="F21" s="44">
        <v>343.02</v>
      </c>
      <c r="G21" s="44">
        <v>37.57</v>
      </c>
      <c r="H21" s="23">
        <v>27366.34</v>
      </c>
      <c r="I21" s="23">
        <v>4325.03</v>
      </c>
      <c r="J21" s="14"/>
    </row>
    <row r="22" spans="1:10">
      <c r="A22" s="20">
        <v>18</v>
      </c>
      <c r="B22" s="38" t="s">
        <v>123</v>
      </c>
      <c r="C22" s="23">
        <v>2495.0100000000002</v>
      </c>
      <c r="D22" s="44">
        <v>272.64</v>
      </c>
      <c r="E22" s="44">
        <v>112.44</v>
      </c>
      <c r="F22" s="23">
        <v>1130.7</v>
      </c>
      <c r="G22" s="44">
        <v>193.09</v>
      </c>
      <c r="H22" s="23">
        <v>30206.87</v>
      </c>
      <c r="I22" s="23">
        <v>4203.88</v>
      </c>
      <c r="J22" s="14"/>
    </row>
    <row r="23" spans="1:10">
      <c r="A23" s="20">
        <v>19</v>
      </c>
      <c r="B23" s="38" t="s">
        <v>125</v>
      </c>
      <c r="C23" s="23">
        <v>3248.25</v>
      </c>
      <c r="D23" s="44">
        <v>110.04</v>
      </c>
      <c r="E23" s="44">
        <v>175.19</v>
      </c>
      <c r="F23" s="44">
        <v>159.47999999999999</v>
      </c>
      <c r="G23" s="44">
        <v>69.63</v>
      </c>
      <c r="H23" s="23">
        <v>23072.98</v>
      </c>
      <c r="I23" s="23">
        <v>3762.6</v>
      </c>
      <c r="J23" s="14"/>
    </row>
    <row r="24" spans="1:10">
      <c r="A24" s="20">
        <v>20</v>
      </c>
      <c r="B24" s="38" t="s">
        <v>127</v>
      </c>
      <c r="C24" s="23">
        <v>3139.31</v>
      </c>
      <c r="D24" s="44">
        <v>17.27</v>
      </c>
      <c r="E24" s="44">
        <v>68.05</v>
      </c>
      <c r="F24" s="44">
        <v>21.41</v>
      </c>
      <c r="G24" s="44">
        <v>54.19</v>
      </c>
      <c r="H24" s="23">
        <v>24412.74</v>
      </c>
      <c r="I24" s="23">
        <v>3300.22</v>
      </c>
      <c r="J24" s="14"/>
    </row>
    <row r="25" spans="1:10">
      <c r="A25" s="20">
        <v>21</v>
      </c>
      <c r="B25" s="38" t="s">
        <v>128</v>
      </c>
      <c r="C25" s="23">
        <v>2088.0100000000002</v>
      </c>
      <c r="D25" s="44">
        <v>121.46</v>
      </c>
      <c r="E25" s="44">
        <v>298.42</v>
      </c>
      <c r="F25" s="44">
        <v>90.88</v>
      </c>
      <c r="G25" s="44">
        <v>229.42</v>
      </c>
      <c r="H25" s="23">
        <v>18420.82</v>
      </c>
      <c r="I25" s="23">
        <v>2828.2</v>
      </c>
      <c r="J25" s="14"/>
    </row>
    <row r="26" spans="1:10">
      <c r="A26" s="20">
        <v>22</v>
      </c>
      <c r="B26" s="38" t="s">
        <v>130</v>
      </c>
      <c r="C26" s="23">
        <v>1907.26</v>
      </c>
      <c r="D26" s="44">
        <v>238.95</v>
      </c>
      <c r="E26" s="44">
        <v>140.08000000000001</v>
      </c>
      <c r="F26" s="44">
        <v>328.59</v>
      </c>
      <c r="G26" s="44">
        <v>90.58</v>
      </c>
      <c r="H26" s="23">
        <v>17830.310000000001</v>
      </c>
      <c r="I26" s="23">
        <v>2705.45</v>
      </c>
      <c r="J26" s="14"/>
    </row>
    <row r="27" spans="1:10">
      <c r="A27" s="20">
        <v>23</v>
      </c>
      <c r="B27" s="38" t="s">
        <v>132</v>
      </c>
      <c r="C27" s="23">
        <v>2450.36</v>
      </c>
      <c r="D27" s="44">
        <v>9.91</v>
      </c>
      <c r="E27" s="44">
        <v>42.05</v>
      </c>
      <c r="F27" s="44">
        <v>3.73</v>
      </c>
      <c r="G27" s="44">
        <v>6.49</v>
      </c>
      <c r="H27" s="23">
        <v>16161.85</v>
      </c>
      <c r="I27" s="23">
        <v>2512.54</v>
      </c>
      <c r="J27" s="14"/>
    </row>
    <row r="28" spans="1:10">
      <c r="A28" s="20">
        <v>24</v>
      </c>
      <c r="B28" s="38" t="s">
        <v>134</v>
      </c>
      <c r="C28" s="23">
        <v>1328.06</v>
      </c>
      <c r="D28" s="44">
        <v>36.119999999999997</v>
      </c>
      <c r="E28" s="44">
        <v>60.48</v>
      </c>
      <c r="F28" s="44">
        <v>145.41999999999999</v>
      </c>
      <c r="G28" s="44">
        <v>496.81</v>
      </c>
      <c r="H28" s="23">
        <v>15140.97</v>
      </c>
      <c r="I28" s="23">
        <v>2066.88</v>
      </c>
      <c r="J28" s="14"/>
    </row>
    <row r="29" spans="1:10">
      <c r="A29" s="20">
        <v>25</v>
      </c>
      <c r="B29" s="38" t="s">
        <v>135</v>
      </c>
      <c r="C29" s="44">
        <v>446.16</v>
      </c>
      <c r="D29" s="44">
        <v>49.85</v>
      </c>
      <c r="E29" s="23">
        <v>1001.01</v>
      </c>
      <c r="F29" s="44">
        <v>7.14</v>
      </c>
      <c r="G29" s="44">
        <v>266.54000000000002</v>
      </c>
      <c r="H29" s="23">
        <v>14391.72</v>
      </c>
      <c r="I29" s="23">
        <v>1770.71</v>
      </c>
      <c r="J29" s="14"/>
    </row>
    <row r="30" spans="1:10">
      <c r="A30" s="20">
        <v>26</v>
      </c>
      <c r="B30" s="38" t="s">
        <v>137</v>
      </c>
      <c r="C30" s="23">
        <v>1036.29</v>
      </c>
      <c r="D30" s="44">
        <v>42.43</v>
      </c>
      <c r="E30" s="44">
        <v>336.58</v>
      </c>
      <c r="F30" s="44">
        <v>102.87</v>
      </c>
      <c r="G30" s="44">
        <v>204.44</v>
      </c>
      <c r="H30" s="23">
        <v>11544.29</v>
      </c>
      <c r="I30" s="23">
        <v>1722.61</v>
      </c>
      <c r="J30" s="14"/>
    </row>
    <row r="31" spans="1:10">
      <c r="A31" s="20">
        <v>27</v>
      </c>
      <c r="B31" s="38" t="s">
        <v>139</v>
      </c>
      <c r="C31" s="23">
        <v>1115.24</v>
      </c>
      <c r="D31" s="44">
        <v>79.03</v>
      </c>
      <c r="E31" s="44">
        <v>225.01</v>
      </c>
      <c r="F31" s="44">
        <v>47.88</v>
      </c>
      <c r="G31" s="44">
        <v>192.37</v>
      </c>
      <c r="H31" s="23">
        <v>12201.09</v>
      </c>
      <c r="I31" s="23">
        <v>1659.54</v>
      </c>
      <c r="J31" s="14"/>
    </row>
    <row r="32" spans="1:10">
      <c r="A32" s="20">
        <v>28</v>
      </c>
      <c r="B32" s="38" t="s">
        <v>141</v>
      </c>
      <c r="C32" s="23">
        <v>1127.9100000000001</v>
      </c>
      <c r="D32" s="44">
        <v>71.680000000000007</v>
      </c>
      <c r="E32" s="44">
        <v>25.65</v>
      </c>
      <c r="F32" s="44">
        <v>176.56</v>
      </c>
      <c r="G32" s="44">
        <v>130.51</v>
      </c>
      <c r="H32" s="23">
        <v>9971.39</v>
      </c>
      <c r="I32" s="23">
        <v>1532.31</v>
      </c>
      <c r="J32" s="14"/>
    </row>
    <row r="33" spans="1:10">
      <c r="A33" s="20">
        <v>29</v>
      </c>
      <c r="B33" s="38" t="s">
        <v>143</v>
      </c>
      <c r="C33" s="44">
        <v>876.23</v>
      </c>
      <c r="D33" s="44">
        <v>208.41</v>
      </c>
      <c r="E33" s="44">
        <v>151.01</v>
      </c>
      <c r="F33" s="44">
        <v>177.57</v>
      </c>
      <c r="G33" s="44">
        <v>41.84</v>
      </c>
      <c r="H33" s="23">
        <v>10014</v>
      </c>
      <c r="I33" s="23">
        <v>1455.05</v>
      </c>
      <c r="J33" s="14"/>
    </row>
    <row r="34" spans="1:10">
      <c r="A34" s="20">
        <v>30</v>
      </c>
      <c r="B34" s="38" t="s">
        <v>144</v>
      </c>
      <c r="C34" s="23">
        <v>1305.51</v>
      </c>
      <c r="D34" s="44">
        <v>5.41</v>
      </c>
      <c r="E34" s="44">
        <v>10.57</v>
      </c>
      <c r="F34" s="44">
        <v>18.84</v>
      </c>
      <c r="G34" s="44">
        <v>20.92</v>
      </c>
      <c r="H34" s="23">
        <v>7824.6</v>
      </c>
      <c r="I34" s="23">
        <v>1361.25</v>
      </c>
      <c r="J34" s="14"/>
    </row>
    <row r="35" spans="1:10">
      <c r="A35" s="20">
        <v>31</v>
      </c>
      <c r="B35" s="38" t="s">
        <v>146</v>
      </c>
      <c r="C35" s="23">
        <v>1134.83</v>
      </c>
      <c r="D35" s="44">
        <v>32.58</v>
      </c>
      <c r="E35" s="44">
        <v>27.58</v>
      </c>
      <c r="F35" s="44">
        <v>67.819999999999993</v>
      </c>
      <c r="G35" s="44">
        <v>74.3</v>
      </c>
      <c r="H35" s="23">
        <v>8295.83</v>
      </c>
      <c r="I35" s="23">
        <v>1337.12</v>
      </c>
      <c r="J35" s="14"/>
    </row>
    <row r="36" spans="1:10">
      <c r="A36" s="20">
        <v>32</v>
      </c>
      <c r="B36" s="38" t="s">
        <v>148</v>
      </c>
      <c r="C36" s="27" t="s">
        <v>149</v>
      </c>
      <c r="D36" s="44">
        <v>14.39</v>
      </c>
      <c r="E36" s="44">
        <v>392.54</v>
      </c>
      <c r="F36" s="44">
        <v>200.26</v>
      </c>
      <c r="G36" s="44">
        <v>656.38</v>
      </c>
      <c r="H36" s="23">
        <v>10762.87</v>
      </c>
      <c r="I36" s="23">
        <v>1263.56</v>
      </c>
      <c r="J36" s="14"/>
    </row>
    <row r="37" spans="1:10">
      <c r="A37" s="20">
        <v>33</v>
      </c>
      <c r="B37" s="38" t="s">
        <v>151</v>
      </c>
      <c r="C37" s="44">
        <v>699.51</v>
      </c>
      <c r="D37" s="44">
        <v>116.39</v>
      </c>
      <c r="E37" s="44">
        <v>124.93</v>
      </c>
      <c r="F37" s="44">
        <v>131.41999999999999</v>
      </c>
      <c r="G37" s="44">
        <v>133.91999999999999</v>
      </c>
      <c r="H37" s="23">
        <v>8931.9599999999991</v>
      </c>
      <c r="I37" s="23">
        <v>1206.17</v>
      </c>
      <c r="J37" s="14"/>
    </row>
    <row r="38" spans="1:10">
      <c r="A38" s="20">
        <v>34</v>
      </c>
      <c r="B38" s="38" t="s">
        <v>153</v>
      </c>
      <c r="C38" s="44">
        <v>389.02</v>
      </c>
      <c r="D38" s="44">
        <v>75.98</v>
      </c>
      <c r="E38" s="44">
        <v>256.52999999999997</v>
      </c>
      <c r="F38" s="44">
        <v>158.28</v>
      </c>
      <c r="G38" s="44">
        <v>111.11</v>
      </c>
      <c r="H38" s="23">
        <v>7458.77</v>
      </c>
      <c r="I38" s="44">
        <v>990.91</v>
      </c>
      <c r="J38" s="14"/>
    </row>
    <row r="39" spans="1:10">
      <c r="A39" s="20">
        <v>35</v>
      </c>
      <c r="B39" s="38" t="s">
        <v>154</v>
      </c>
      <c r="C39" s="44">
        <v>688.75</v>
      </c>
      <c r="D39" s="44">
        <v>11.28</v>
      </c>
      <c r="E39" s="44">
        <v>11.73</v>
      </c>
      <c r="F39" s="44">
        <v>15.36</v>
      </c>
      <c r="G39" s="44">
        <v>21.83</v>
      </c>
      <c r="H39" s="23">
        <v>4275.09</v>
      </c>
      <c r="I39" s="44">
        <v>748.95</v>
      </c>
      <c r="J39" s="14"/>
    </row>
    <row r="40" spans="1:10">
      <c r="A40" s="20">
        <v>36</v>
      </c>
      <c r="B40" s="38" t="s">
        <v>157</v>
      </c>
      <c r="C40" s="44">
        <v>516.57000000000005</v>
      </c>
      <c r="D40" s="44">
        <v>91.63</v>
      </c>
      <c r="E40" s="44">
        <v>48.37</v>
      </c>
      <c r="F40" s="44">
        <v>17.29</v>
      </c>
      <c r="G40" s="44">
        <v>54.73</v>
      </c>
      <c r="H40" s="23">
        <v>4870.74</v>
      </c>
      <c r="I40" s="44">
        <v>728.59</v>
      </c>
      <c r="J40" s="14"/>
    </row>
    <row r="41" spans="1:10">
      <c r="A41" s="20">
        <v>37</v>
      </c>
      <c r="B41" s="38" t="s">
        <v>159</v>
      </c>
      <c r="C41" s="44">
        <v>639.30999999999995</v>
      </c>
      <c r="D41" s="44">
        <v>7.75</v>
      </c>
      <c r="E41" s="44">
        <v>6.76</v>
      </c>
      <c r="F41" s="44">
        <v>5.14</v>
      </c>
      <c r="G41" s="44">
        <v>9.77</v>
      </c>
      <c r="H41" s="23">
        <v>3258.11</v>
      </c>
      <c r="I41" s="44">
        <v>668.74</v>
      </c>
      <c r="J41" s="14"/>
    </row>
    <row r="42" spans="1:10">
      <c r="A42" s="20">
        <v>38</v>
      </c>
      <c r="B42" s="38" t="s">
        <v>161</v>
      </c>
      <c r="C42" s="44">
        <v>554.20000000000005</v>
      </c>
      <c r="D42" s="44">
        <v>38.29</v>
      </c>
      <c r="E42" s="44">
        <v>7.58</v>
      </c>
      <c r="F42" s="44">
        <v>19.579999999999998</v>
      </c>
      <c r="G42" s="44">
        <v>21.3</v>
      </c>
      <c r="H42" s="23">
        <v>4070.9</v>
      </c>
      <c r="I42" s="44">
        <v>640.95000000000005</v>
      </c>
      <c r="J42" s="14"/>
    </row>
    <row r="43" spans="1:10">
      <c r="A43" s="20">
        <v>39</v>
      </c>
      <c r="B43" s="38" t="s">
        <v>162</v>
      </c>
      <c r="C43" s="44">
        <v>558.69000000000005</v>
      </c>
      <c r="D43" s="44">
        <v>29.78</v>
      </c>
      <c r="E43" s="44">
        <v>3.56</v>
      </c>
      <c r="F43" s="44">
        <v>8.01</v>
      </c>
      <c r="G43" s="44">
        <v>17.2</v>
      </c>
      <c r="H43" s="23">
        <v>3500.32</v>
      </c>
      <c r="I43" s="44">
        <v>617.24</v>
      </c>
      <c r="J43" s="14"/>
    </row>
    <row r="44" spans="1:10">
      <c r="A44" s="20">
        <v>40</v>
      </c>
      <c r="B44" s="38" t="s">
        <v>164</v>
      </c>
      <c r="C44" s="44">
        <v>575.57000000000005</v>
      </c>
      <c r="D44" s="27" t="s">
        <v>149</v>
      </c>
      <c r="E44" s="44">
        <v>5.9999999999999995E-4</v>
      </c>
      <c r="F44" s="44">
        <v>0.06</v>
      </c>
      <c r="G44" s="44">
        <v>6.3</v>
      </c>
      <c r="H44" s="23">
        <v>3975.12</v>
      </c>
      <c r="I44" s="44">
        <v>581.92999999999995</v>
      </c>
      <c r="J44" s="14"/>
    </row>
    <row r="45" spans="1:10">
      <c r="A45" s="20">
        <v>41</v>
      </c>
      <c r="B45" s="38" t="s">
        <v>166</v>
      </c>
      <c r="C45" s="44">
        <v>522.07000000000005</v>
      </c>
      <c r="D45" s="44">
        <v>10.66</v>
      </c>
      <c r="E45" s="44">
        <v>34.46</v>
      </c>
      <c r="F45" s="44">
        <v>4.3499999999999996</v>
      </c>
      <c r="G45" s="44">
        <v>5.0999999999999996</v>
      </c>
      <c r="H45" s="23">
        <v>3401.52</v>
      </c>
      <c r="I45" s="44">
        <v>576.64</v>
      </c>
      <c r="J45" s="14"/>
    </row>
    <row r="46" spans="1:10">
      <c r="A46" s="20">
        <v>42</v>
      </c>
      <c r="B46" s="38" t="s">
        <v>168</v>
      </c>
      <c r="C46" s="44">
        <v>411.53</v>
      </c>
      <c r="D46" s="44">
        <v>67.42</v>
      </c>
      <c r="E46" s="44">
        <v>5.59</v>
      </c>
      <c r="F46" s="44">
        <v>16.809999999999999</v>
      </c>
      <c r="G46" s="44">
        <v>69.959999999999994</v>
      </c>
      <c r="H46" s="23">
        <v>4078.13</v>
      </c>
      <c r="I46" s="44">
        <v>571.32000000000005</v>
      </c>
      <c r="J46" s="14"/>
    </row>
    <row r="47" spans="1:10">
      <c r="A47" s="20">
        <v>43</v>
      </c>
      <c r="B47" s="38" t="s">
        <v>170</v>
      </c>
      <c r="C47" s="27" t="s">
        <v>149</v>
      </c>
      <c r="D47" s="27" t="s">
        <v>149</v>
      </c>
      <c r="E47" s="44">
        <v>127.1</v>
      </c>
      <c r="F47" s="44">
        <v>20.7</v>
      </c>
      <c r="G47" s="44">
        <v>304.73</v>
      </c>
      <c r="H47" s="23">
        <v>3837.53</v>
      </c>
      <c r="I47" s="44">
        <v>452.53</v>
      </c>
      <c r="J47" s="14"/>
    </row>
    <row r="48" spans="1:10">
      <c r="A48" s="20">
        <v>44</v>
      </c>
      <c r="B48" s="38" t="s">
        <v>172</v>
      </c>
      <c r="C48" s="44">
        <v>304.52</v>
      </c>
      <c r="D48" s="44">
        <v>7.83</v>
      </c>
      <c r="E48" s="44">
        <v>3.95</v>
      </c>
      <c r="F48" s="44">
        <v>22.37</v>
      </c>
      <c r="G48" s="44">
        <v>15.77</v>
      </c>
      <c r="H48" s="23">
        <v>2467.13</v>
      </c>
      <c r="I48" s="44">
        <v>354.44</v>
      </c>
      <c r="J48" s="14"/>
    </row>
    <row r="49" spans="1:10">
      <c r="A49" s="20">
        <v>45</v>
      </c>
      <c r="B49" s="38" t="s">
        <v>174</v>
      </c>
      <c r="C49" s="44">
        <v>263.82</v>
      </c>
      <c r="D49" s="44">
        <v>17.399999999999999</v>
      </c>
      <c r="E49" s="44">
        <v>7.05</v>
      </c>
      <c r="F49" s="44">
        <v>45.43</v>
      </c>
      <c r="G49" s="44">
        <v>16.2</v>
      </c>
      <c r="H49" s="23">
        <v>2396.84</v>
      </c>
      <c r="I49" s="44">
        <v>349.9</v>
      </c>
      <c r="J49" s="14"/>
    </row>
    <row r="50" spans="1:10">
      <c r="A50" s="20">
        <v>46</v>
      </c>
      <c r="B50" s="38" t="s">
        <v>176</v>
      </c>
      <c r="C50" s="44">
        <v>84.37</v>
      </c>
      <c r="D50" s="44">
        <v>42.91</v>
      </c>
      <c r="E50" s="44">
        <v>88.56</v>
      </c>
      <c r="F50" s="44">
        <v>86.48</v>
      </c>
      <c r="G50" s="44">
        <v>25.55</v>
      </c>
      <c r="H50" s="23">
        <v>2622.39</v>
      </c>
      <c r="I50" s="44">
        <v>327.87</v>
      </c>
      <c r="J50" s="14"/>
    </row>
    <row r="51" spans="1:10">
      <c r="A51" s="20">
        <v>47</v>
      </c>
      <c r="B51" s="38" t="s">
        <v>178</v>
      </c>
      <c r="C51" s="44">
        <v>210.41</v>
      </c>
      <c r="D51" s="44">
        <v>9.2899999999999991</v>
      </c>
      <c r="E51" s="44">
        <v>7.75</v>
      </c>
      <c r="F51" s="44">
        <v>14.71</v>
      </c>
      <c r="G51" s="44">
        <v>13.61</v>
      </c>
      <c r="H51" s="23">
        <v>1645.88</v>
      </c>
      <c r="I51" s="44">
        <v>255.78</v>
      </c>
      <c r="J51" s="14"/>
    </row>
    <row r="52" spans="1:10">
      <c r="A52" s="20">
        <v>48</v>
      </c>
      <c r="B52" s="38" t="s">
        <v>180</v>
      </c>
      <c r="C52" s="44">
        <v>217.51</v>
      </c>
      <c r="D52" s="27" t="s">
        <v>149</v>
      </c>
      <c r="E52" s="27" t="s">
        <v>149</v>
      </c>
      <c r="F52" s="44">
        <v>0.3</v>
      </c>
      <c r="G52" s="44">
        <v>0.5</v>
      </c>
      <c r="H52" s="23">
        <v>1343.95</v>
      </c>
      <c r="I52" s="44">
        <v>218.31</v>
      </c>
      <c r="J52" s="14"/>
    </row>
    <row r="53" spans="1:10">
      <c r="A53" s="20">
        <v>49</v>
      </c>
      <c r="B53" s="38" t="s">
        <v>182</v>
      </c>
      <c r="C53" s="44">
        <v>181.69</v>
      </c>
      <c r="D53" s="44">
        <v>2.06</v>
      </c>
      <c r="E53" s="44">
        <v>2.85</v>
      </c>
      <c r="F53" s="44">
        <v>0.34</v>
      </c>
      <c r="G53" s="44">
        <v>0.44</v>
      </c>
      <c r="H53" s="23">
        <v>1190.17</v>
      </c>
      <c r="I53" s="44">
        <v>187.39</v>
      </c>
      <c r="J53" s="14"/>
    </row>
    <row r="54" spans="1:10">
      <c r="A54" s="20">
        <v>50</v>
      </c>
      <c r="B54" s="38" t="s">
        <v>183</v>
      </c>
      <c r="C54" s="44">
        <v>151.93</v>
      </c>
      <c r="D54" s="44">
        <v>5</v>
      </c>
      <c r="E54" s="44">
        <v>4.7699999999999996</v>
      </c>
      <c r="F54" s="44">
        <v>5.61</v>
      </c>
      <c r="G54" s="44">
        <v>1.02</v>
      </c>
      <c r="H54" s="44">
        <v>855.16</v>
      </c>
      <c r="I54" s="44">
        <v>168.33</v>
      </c>
      <c r="J54" s="14"/>
    </row>
    <row r="55" spans="1:10">
      <c r="A55" s="20">
        <v>51</v>
      </c>
      <c r="B55" s="38" t="s">
        <v>185</v>
      </c>
      <c r="C55" s="44">
        <v>140.41</v>
      </c>
      <c r="D55" s="44">
        <v>0.53</v>
      </c>
      <c r="E55" s="44">
        <v>0.31</v>
      </c>
      <c r="F55" s="44">
        <v>0.17</v>
      </c>
      <c r="G55" s="44">
        <v>20.36</v>
      </c>
      <c r="H55" s="44">
        <v>862.19</v>
      </c>
      <c r="I55" s="44">
        <v>161.77000000000001</v>
      </c>
      <c r="J55" s="14"/>
    </row>
    <row r="56" spans="1:10">
      <c r="A56" s="20">
        <v>52</v>
      </c>
      <c r="B56" s="38" t="s">
        <v>187</v>
      </c>
      <c r="C56" s="44">
        <v>104.43</v>
      </c>
      <c r="D56" s="44">
        <v>16.53</v>
      </c>
      <c r="E56" s="44">
        <v>1.82</v>
      </c>
      <c r="F56" s="44">
        <v>3.33</v>
      </c>
      <c r="G56" s="44">
        <v>0.34</v>
      </c>
      <c r="H56" s="44">
        <v>818.91</v>
      </c>
      <c r="I56" s="44">
        <v>126.45</v>
      </c>
      <c r="J56" s="14"/>
    </row>
    <row r="57" spans="1:10">
      <c r="A57" s="20">
        <v>53</v>
      </c>
      <c r="B57" s="38" t="s">
        <v>188</v>
      </c>
      <c r="C57" s="44">
        <v>97.14</v>
      </c>
      <c r="D57" s="44">
        <v>1.23</v>
      </c>
      <c r="E57" s="44">
        <v>0.8</v>
      </c>
      <c r="F57" s="44">
        <v>8.66</v>
      </c>
      <c r="G57" s="44">
        <v>7.76</v>
      </c>
      <c r="H57" s="44">
        <v>807.34</v>
      </c>
      <c r="I57" s="44">
        <v>115.6</v>
      </c>
      <c r="J57" s="14"/>
    </row>
    <row r="58" spans="1:10">
      <c r="A58" s="20">
        <v>54</v>
      </c>
      <c r="B58" s="38" t="s">
        <v>190</v>
      </c>
      <c r="C58" s="44">
        <v>77.67</v>
      </c>
      <c r="D58" s="44">
        <v>20.37</v>
      </c>
      <c r="E58" s="44">
        <v>7.19</v>
      </c>
      <c r="F58" s="44">
        <v>0.6</v>
      </c>
      <c r="G58" s="44">
        <v>4.4400000000000004</v>
      </c>
      <c r="H58" s="44">
        <v>788.68</v>
      </c>
      <c r="I58" s="44">
        <v>110.26</v>
      </c>
      <c r="J58" s="14"/>
    </row>
    <row r="59" spans="1:10">
      <c r="A59" s="20">
        <v>55</v>
      </c>
      <c r="B59" s="38" t="s">
        <v>192</v>
      </c>
      <c r="C59" s="44">
        <v>54.29</v>
      </c>
      <c r="D59" s="44">
        <v>19.04</v>
      </c>
      <c r="E59" s="44">
        <v>1.48</v>
      </c>
      <c r="F59" s="44">
        <v>13.21</v>
      </c>
      <c r="G59" s="44">
        <v>15.28</v>
      </c>
      <c r="H59" s="44">
        <v>776.64</v>
      </c>
      <c r="I59" s="44">
        <v>103.3</v>
      </c>
      <c r="J59" s="14"/>
    </row>
    <row r="60" spans="1:10">
      <c r="A60" s="20">
        <v>56</v>
      </c>
      <c r="B60" s="38" t="s">
        <v>194</v>
      </c>
      <c r="C60" s="44">
        <v>96.28</v>
      </c>
      <c r="D60" s="44">
        <v>0.1</v>
      </c>
      <c r="E60" s="44">
        <v>1.1599999999999999</v>
      </c>
      <c r="F60" s="44">
        <v>1.41</v>
      </c>
      <c r="G60" s="44">
        <v>3.23</v>
      </c>
      <c r="H60" s="44">
        <v>628.47</v>
      </c>
      <c r="I60" s="44">
        <v>102.19</v>
      </c>
      <c r="J60" s="14"/>
    </row>
    <row r="61" spans="1:10">
      <c r="A61" s="20">
        <v>57</v>
      </c>
      <c r="B61" s="38" t="s">
        <v>195</v>
      </c>
      <c r="C61" s="44">
        <v>86.49</v>
      </c>
      <c r="D61" s="44">
        <v>2.89</v>
      </c>
      <c r="E61" s="44">
        <v>1.39</v>
      </c>
      <c r="F61" s="44">
        <v>5.8</v>
      </c>
      <c r="G61" s="44">
        <v>2.37</v>
      </c>
      <c r="H61" s="44">
        <v>646.72</v>
      </c>
      <c r="I61" s="44">
        <v>98.94</v>
      </c>
      <c r="J61" s="14"/>
    </row>
    <row r="62" spans="1:10">
      <c r="A62" s="20">
        <v>58</v>
      </c>
      <c r="B62" s="38" t="s">
        <v>196</v>
      </c>
      <c r="C62" s="44">
        <v>46.81</v>
      </c>
      <c r="D62" s="44">
        <v>50.93</v>
      </c>
      <c r="E62" s="27" t="s">
        <v>149</v>
      </c>
      <c r="F62" s="44">
        <v>0.21</v>
      </c>
      <c r="G62" s="44">
        <v>0.28999999999999998</v>
      </c>
      <c r="H62" s="44">
        <v>618.54</v>
      </c>
      <c r="I62" s="44">
        <v>98.24</v>
      </c>
      <c r="J62" s="14"/>
    </row>
    <row r="63" spans="1:10">
      <c r="A63" s="20">
        <v>59</v>
      </c>
      <c r="B63" s="38" t="s">
        <v>197</v>
      </c>
      <c r="C63" s="44">
        <v>75.11</v>
      </c>
      <c r="D63" s="44">
        <v>2.56</v>
      </c>
      <c r="E63" s="44">
        <v>4.2699999999999996</v>
      </c>
      <c r="F63" s="44">
        <v>5.28</v>
      </c>
      <c r="G63" s="44">
        <v>1.41</v>
      </c>
      <c r="H63" s="44">
        <v>538</v>
      </c>
      <c r="I63" s="44">
        <v>88.62</v>
      </c>
      <c r="J63" s="14"/>
    </row>
    <row r="64" spans="1:10">
      <c r="A64" s="20">
        <v>60</v>
      </c>
      <c r="B64" s="38" t="s">
        <v>198</v>
      </c>
      <c r="C64" s="44">
        <v>5.32</v>
      </c>
      <c r="D64" s="44">
        <v>0.14000000000000001</v>
      </c>
      <c r="E64" s="44">
        <v>4.8099999999999996</v>
      </c>
      <c r="F64" s="44">
        <v>3.38</v>
      </c>
      <c r="G64" s="44">
        <v>73.69</v>
      </c>
      <c r="H64" s="44">
        <v>744.55</v>
      </c>
      <c r="I64" s="44">
        <v>87.33</v>
      </c>
      <c r="J64" s="14"/>
    </row>
    <row r="65" spans="1:10">
      <c r="A65" s="20">
        <v>61</v>
      </c>
      <c r="B65" s="38" t="s">
        <v>199</v>
      </c>
      <c r="C65" s="44">
        <v>79.17</v>
      </c>
      <c r="D65" s="27" t="s">
        <v>149</v>
      </c>
      <c r="E65" s="27" t="s">
        <v>149</v>
      </c>
      <c r="F65" s="27" t="s">
        <v>149</v>
      </c>
      <c r="G65" s="27" t="s">
        <v>149</v>
      </c>
      <c r="H65" s="44">
        <v>353.89</v>
      </c>
      <c r="I65" s="44">
        <v>79.17</v>
      </c>
      <c r="J65" s="14"/>
    </row>
    <row r="66" spans="1:10">
      <c r="A66" s="20">
        <v>62</v>
      </c>
      <c r="B66" s="38" t="s">
        <v>200</v>
      </c>
      <c r="C66" s="44">
        <v>59.1</v>
      </c>
      <c r="D66" s="44">
        <v>0.49</v>
      </c>
      <c r="E66" s="44">
        <v>0.03</v>
      </c>
      <c r="F66" s="27" t="s">
        <v>149</v>
      </c>
      <c r="G66" s="44">
        <v>0.39</v>
      </c>
      <c r="H66" s="44">
        <v>347.48</v>
      </c>
      <c r="I66" s="44">
        <v>60</v>
      </c>
      <c r="J66" s="14"/>
    </row>
    <row r="67" spans="1:10">
      <c r="A67" s="20">
        <v>63</v>
      </c>
      <c r="B67" s="38" t="s">
        <v>201</v>
      </c>
      <c r="C67" s="44">
        <v>58.56</v>
      </c>
      <c r="D67" s="27" t="s">
        <v>149</v>
      </c>
      <c r="E67" s="44">
        <v>1.17</v>
      </c>
      <c r="F67" s="27" t="s">
        <v>149</v>
      </c>
      <c r="G67" s="27" t="s">
        <v>149</v>
      </c>
      <c r="H67" s="44">
        <v>323.07</v>
      </c>
      <c r="I67" s="44">
        <v>59.72</v>
      </c>
      <c r="J67" s="14"/>
    </row>
    <row r="68" spans="1:10">
      <c r="A68" s="20">
        <v>64</v>
      </c>
      <c r="B68" s="38" t="s">
        <v>202</v>
      </c>
      <c r="C68" s="44">
        <v>28.27</v>
      </c>
      <c r="D68" s="44">
        <v>0.43</v>
      </c>
      <c r="E68" s="44">
        <v>0.56000000000000005</v>
      </c>
      <c r="F68" s="44">
        <v>0.14000000000000001</v>
      </c>
      <c r="G68" s="44">
        <v>28.8</v>
      </c>
      <c r="H68" s="44">
        <v>400.02</v>
      </c>
      <c r="I68" s="44">
        <v>58.2</v>
      </c>
      <c r="J68" s="14"/>
    </row>
    <row r="69" spans="1:10">
      <c r="A69" s="20">
        <v>65</v>
      </c>
      <c r="B69" s="38" t="s">
        <v>203</v>
      </c>
      <c r="C69" s="44">
        <v>36.14</v>
      </c>
      <c r="D69" s="44">
        <v>11.03</v>
      </c>
      <c r="E69" s="44">
        <v>3.84</v>
      </c>
      <c r="F69" s="44">
        <v>2.42</v>
      </c>
      <c r="G69" s="44">
        <v>2.09</v>
      </c>
      <c r="H69" s="44">
        <v>358.8</v>
      </c>
      <c r="I69" s="44">
        <v>55.53</v>
      </c>
      <c r="J69" s="14"/>
    </row>
    <row r="70" spans="1:10">
      <c r="A70" s="20">
        <v>66</v>
      </c>
      <c r="B70" s="38" t="s">
        <v>204</v>
      </c>
      <c r="C70" s="44">
        <v>50.17</v>
      </c>
      <c r="D70" s="27" t="s">
        <v>149</v>
      </c>
      <c r="E70" s="44">
        <v>4.0000000000000002E-4</v>
      </c>
      <c r="F70" s="44">
        <v>0.31</v>
      </c>
      <c r="G70" s="27" t="s">
        <v>149</v>
      </c>
      <c r="H70" s="44">
        <v>354.55</v>
      </c>
      <c r="I70" s="44">
        <v>50.48</v>
      </c>
      <c r="J70" s="14"/>
    </row>
    <row r="71" spans="1:10">
      <c r="A71" s="20">
        <v>67</v>
      </c>
      <c r="B71" s="38" t="s">
        <v>205</v>
      </c>
      <c r="C71" s="44">
        <v>41.67</v>
      </c>
      <c r="D71" s="44">
        <v>6.83</v>
      </c>
      <c r="E71" s="27" t="s">
        <v>149</v>
      </c>
      <c r="F71" s="27" t="s">
        <v>149</v>
      </c>
      <c r="G71" s="27" t="s">
        <v>149</v>
      </c>
      <c r="H71" s="44">
        <v>270.48</v>
      </c>
      <c r="I71" s="44">
        <v>48.5</v>
      </c>
      <c r="J71" s="14"/>
    </row>
    <row r="72" spans="1:10">
      <c r="A72" s="20">
        <v>68</v>
      </c>
      <c r="B72" s="38" t="s">
        <v>206</v>
      </c>
      <c r="C72" s="44">
        <v>47.77</v>
      </c>
      <c r="D72" s="27" t="s">
        <v>149</v>
      </c>
      <c r="E72" s="27" t="s">
        <v>149</v>
      </c>
      <c r="F72" s="27" t="s">
        <v>149</v>
      </c>
      <c r="G72" s="27" t="s">
        <v>149</v>
      </c>
      <c r="H72" s="44">
        <v>277.38</v>
      </c>
      <c r="I72" s="44">
        <v>47.77</v>
      </c>
      <c r="J72" s="14"/>
    </row>
    <row r="73" spans="1:10">
      <c r="A73" s="20">
        <v>69</v>
      </c>
      <c r="B73" s="38" t="s">
        <v>207</v>
      </c>
      <c r="C73" s="44">
        <v>15.14</v>
      </c>
      <c r="D73" s="44">
        <v>23.93</v>
      </c>
      <c r="E73" s="27" t="s">
        <v>149</v>
      </c>
      <c r="F73" s="44">
        <v>0.03</v>
      </c>
      <c r="G73" s="27" t="s">
        <v>149</v>
      </c>
      <c r="H73" s="44">
        <v>298.7</v>
      </c>
      <c r="I73" s="44">
        <v>39.1</v>
      </c>
      <c r="J73" s="14"/>
    </row>
    <row r="74" spans="1:10">
      <c r="A74" s="20">
        <v>70</v>
      </c>
      <c r="B74" s="38" t="s">
        <v>208</v>
      </c>
      <c r="C74" s="44">
        <v>33.67</v>
      </c>
      <c r="D74" s="27" t="s">
        <v>149</v>
      </c>
      <c r="E74" s="27" t="s">
        <v>149</v>
      </c>
      <c r="F74" s="27" t="s">
        <v>149</v>
      </c>
      <c r="G74" s="27" t="s">
        <v>149</v>
      </c>
      <c r="H74" s="44">
        <v>148.86000000000001</v>
      </c>
      <c r="I74" s="44">
        <v>33.67</v>
      </c>
      <c r="J74" s="14"/>
    </row>
    <row r="75" spans="1:10">
      <c r="A75" s="20">
        <v>71</v>
      </c>
      <c r="B75" s="38" t="s">
        <v>209</v>
      </c>
      <c r="C75" s="44">
        <v>9.16</v>
      </c>
      <c r="D75" s="27" t="s">
        <v>149</v>
      </c>
      <c r="E75" s="44">
        <v>0.3</v>
      </c>
      <c r="F75" s="44">
        <v>21.98</v>
      </c>
      <c r="G75" s="44">
        <v>1.93</v>
      </c>
      <c r="H75" s="44">
        <v>257.16000000000003</v>
      </c>
      <c r="I75" s="44">
        <v>33.369999999999997</v>
      </c>
      <c r="J75" s="14"/>
    </row>
    <row r="76" spans="1:10">
      <c r="A76" s="20">
        <v>72</v>
      </c>
      <c r="B76" s="38" t="s">
        <v>210</v>
      </c>
      <c r="C76" s="44">
        <v>25.35</v>
      </c>
      <c r="D76" s="44">
        <v>6.0000000000000001E-3</v>
      </c>
      <c r="E76" s="44">
        <v>0.36</v>
      </c>
      <c r="F76" s="44">
        <v>6.97</v>
      </c>
      <c r="G76" s="44">
        <v>0.04</v>
      </c>
      <c r="H76" s="44">
        <v>209.35</v>
      </c>
      <c r="I76" s="44">
        <v>32.72</v>
      </c>
      <c r="J76" s="14"/>
    </row>
    <row r="77" spans="1:10">
      <c r="A77" s="20">
        <v>73</v>
      </c>
      <c r="B77" s="38" t="s">
        <v>211</v>
      </c>
      <c r="C77" s="44">
        <v>18.05</v>
      </c>
      <c r="D77" s="44">
        <v>2.86</v>
      </c>
      <c r="E77" s="44">
        <v>3.09</v>
      </c>
      <c r="F77" s="44">
        <v>5.57</v>
      </c>
      <c r="G77" s="44">
        <v>2.88</v>
      </c>
      <c r="H77" s="44">
        <v>211.05</v>
      </c>
      <c r="I77" s="44">
        <v>32.450000000000003</v>
      </c>
      <c r="J77" s="14"/>
    </row>
    <row r="78" spans="1:10">
      <c r="A78" s="20">
        <v>74</v>
      </c>
      <c r="B78" s="38" t="s">
        <v>212</v>
      </c>
      <c r="C78" s="44">
        <v>31.59</v>
      </c>
      <c r="D78" s="44">
        <v>0.33</v>
      </c>
      <c r="E78" s="44">
        <v>0.02</v>
      </c>
      <c r="F78" s="27" t="s">
        <v>149</v>
      </c>
      <c r="G78" s="44">
        <v>0.27</v>
      </c>
      <c r="H78" s="44">
        <v>180.66</v>
      </c>
      <c r="I78" s="44">
        <v>32.200000000000003</v>
      </c>
      <c r="J78" s="14"/>
    </row>
    <row r="79" spans="1:10">
      <c r="A79" s="20">
        <v>75</v>
      </c>
      <c r="B79" s="38" t="s">
        <v>213</v>
      </c>
      <c r="C79" s="44">
        <v>28.05</v>
      </c>
      <c r="D79" s="44">
        <v>1.07</v>
      </c>
      <c r="E79" s="44">
        <v>1.35</v>
      </c>
      <c r="F79" s="44">
        <v>0.08</v>
      </c>
      <c r="G79" s="44">
        <v>0.9</v>
      </c>
      <c r="H79" s="44">
        <v>175.91</v>
      </c>
      <c r="I79" s="44">
        <v>31.45</v>
      </c>
      <c r="J79" s="14"/>
    </row>
    <row r="80" spans="1:10">
      <c r="A80" s="20">
        <v>76</v>
      </c>
      <c r="B80" s="38" t="s">
        <v>214</v>
      </c>
      <c r="C80" s="44">
        <v>27.46</v>
      </c>
      <c r="D80" s="44">
        <v>3.0000000000000001E-3</v>
      </c>
      <c r="E80" s="44">
        <v>2E-3</v>
      </c>
      <c r="F80" s="44">
        <v>1.72</v>
      </c>
      <c r="G80" s="44">
        <v>3.0000000000000001E-3</v>
      </c>
      <c r="H80" s="44">
        <v>164.41</v>
      </c>
      <c r="I80" s="44">
        <v>29.19</v>
      </c>
      <c r="J80" s="14"/>
    </row>
    <row r="81" spans="1:10">
      <c r="A81" s="20">
        <v>77</v>
      </c>
      <c r="B81" s="38" t="s">
        <v>215</v>
      </c>
      <c r="C81" s="44">
        <v>9.08</v>
      </c>
      <c r="D81" s="44">
        <v>2.02</v>
      </c>
      <c r="E81" s="44">
        <v>0.1</v>
      </c>
      <c r="F81" s="44">
        <v>7.45</v>
      </c>
      <c r="G81" s="44">
        <v>10.37</v>
      </c>
      <c r="H81" s="44">
        <v>212.54</v>
      </c>
      <c r="I81" s="44">
        <v>29.02</v>
      </c>
      <c r="J81" s="14"/>
    </row>
    <row r="82" spans="1:10">
      <c r="A82" s="20">
        <v>78</v>
      </c>
      <c r="B82" s="38" t="s">
        <v>216</v>
      </c>
      <c r="C82" s="44">
        <v>27.12</v>
      </c>
      <c r="D82" s="44">
        <v>0.03</v>
      </c>
      <c r="E82" s="44">
        <v>0.12</v>
      </c>
      <c r="F82" s="44">
        <v>0.01</v>
      </c>
      <c r="G82" s="44">
        <v>0.02</v>
      </c>
      <c r="H82" s="44">
        <v>142.68</v>
      </c>
      <c r="I82" s="44">
        <v>27.3</v>
      </c>
      <c r="J82" s="14"/>
    </row>
    <row r="83" spans="1:10">
      <c r="A83" s="20">
        <v>79</v>
      </c>
      <c r="B83" s="38" t="s">
        <v>217</v>
      </c>
      <c r="C83" s="44">
        <v>18.3</v>
      </c>
      <c r="D83" s="44">
        <v>0.59</v>
      </c>
      <c r="E83" s="44">
        <v>3.0000000000000001E-3</v>
      </c>
      <c r="F83" s="44">
        <v>5.27</v>
      </c>
      <c r="G83" s="44">
        <v>0.04</v>
      </c>
      <c r="H83" s="44">
        <v>157.81</v>
      </c>
      <c r="I83" s="44">
        <v>24.2</v>
      </c>
      <c r="J83" s="14"/>
    </row>
    <row r="84" spans="1:10">
      <c r="A84" s="20">
        <v>80</v>
      </c>
      <c r="B84" s="38" t="s">
        <v>218</v>
      </c>
      <c r="C84" s="44">
        <v>21.86</v>
      </c>
      <c r="D84" s="44">
        <v>0.3</v>
      </c>
      <c r="E84" s="44">
        <v>0.05</v>
      </c>
      <c r="F84" s="44">
        <v>0.2</v>
      </c>
      <c r="G84" s="27" t="s">
        <v>149</v>
      </c>
      <c r="H84" s="44">
        <v>103.84</v>
      </c>
      <c r="I84" s="44">
        <v>22.41</v>
      </c>
      <c r="J84" s="14"/>
    </row>
    <row r="85" spans="1:10">
      <c r="A85" s="20">
        <v>81</v>
      </c>
      <c r="B85" s="38" t="s">
        <v>219</v>
      </c>
      <c r="C85" s="44">
        <v>15.5</v>
      </c>
      <c r="D85" s="44">
        <v>0.21</v>
      </c>
      <c r="E85" s="44">
        <v>0.32</v>
      </c>
      <c r="F85" s="44">
        <v>0.6</v>
      </c>
      <c r="G85" s="44">
        <v>1.1399999999999999</v>
      </c>
      <c r="H85" s="44">
        <v>101.36</v>
      </c>
      <c r="I85" s="44">
        <v>17.77</v>
      </c>
      <c r="J85" s="14"/>
    </row>
    <row r="86" spans="1:10">
      <c r="A86" s="20">
        <v>82</v>
      </c>
      <c r="B86" s="38" t="s">
        <v>220</v>
      </c>
      <c r="C86" s="44">
        <v>15.66</v>
      </c>
      <c r="D86" s="44">
        <v>0.01</v>
      </c>
      <c r="E86" s="27" t="s">
        <v>149</v>
      </c>
      <c r="F86" s="27" t="s">
        <v>149</v>
      </c>
      <c r="G86" s="27" t="s">
        <v>149</v>
      </c>
      <c r="H86" s="44">
        <v>112.67</v>
      </c>
      <c r="I86" s="44">
        <v>15.67</v>
      </c>
      <c r="J86" s="14"/>
    </row>
    <row r="87" spans="1:10">
      <c r="A87" s="20">
        <v>83</v>
      </c>
      <c r="B87" s="38" t="s">
        <v>221</v>
      </c>
      <c r="C87" s="44">
        <v>5.64</v>
      </c>
      <c r="D87" s="44">
        <v>0.81</v>
      </c>
      <c r="E87" s="44">
        <v>7.98</v>
      </c>
      <c r="F87" s="44">
        <v>0.7</v>
      </c>
      <c r="G87" s="44">
        <v>0.13</v>
      </c>
      <c r="H87" s="44">
        <v>116.08</v>
      </c>
      <c r="I87" s="44">
        <v>15.26</v>
      </c>
      <c r="J87" s="14"/>
    </row>
    <row r="88" spans="1:10">
      <c r="A88" s="20">
        <v>84</v>
      </c>
      <c r="B88" s="38" t="s">
        <v>222</v>
      </c>
      <c r="C88" s="44">
        <v>14.7</v>
      </c>
      <c r="D88" s="27" t="s">
        <v>149</v>
      </c>
      <c r="E88" s="27" t="s">
        <v>149</v>
      </c>
      <c r="F88" s="44">
        <v>0.13</v>
      </c>
      <c r="G88" s="27" t="s">
        <v>149</v>
      </c>
      <c r="H88" s="44">
        <v>66.61</v>
      </c>
      <c r="I88" s="44">
        <v>14.84</v>
      </c>
      <c r="J88" s="14"/>
    </row>
    <row r="89" spans="1:10">
      <c r="A89" s="20">
        <v>85</v>
      </c>
      <c r="B89" s="38" t="s">
        <v>223</v>
      </c>
      <c r="C89" s="44">
        <v>12.94</v>
      </c>
      <c r="D89" s="44">
        <v>0.11</v>
      </c>
      <c r="E89" s="44">
        <v>0.09</v>
      </c>
      <c r="F89" s="44">
        <v>0.04</v>
      </c>
      <c r="G89" s="44">
        <v>0.05</v>
      </c>
      <c r="H89" s="44">
        <v>79.78</v>
      </c>
      <c r="I89" s="44">
        <v>13.23</v>
      </c>
      <c r="J89" s="14"/>
    </row>
    <row r="90" spans="1:10">
      <c r="A90" s="20">
        <v>86</v>
      </c>
      <c r="B90" s="38" t="s">
        <v>224</v>
      </c>
      <c r="C90" s="44">
        <v>10.17</v>
      </c>
      <c r="D90" s="44">
        <v>4.0000000000000001E-3</v>
      </c>
      <c r="E90" s="44">
        <v>0.3</v>
      </c>
      <c r="F90" s="44">
        <v>2.2599999999999998</v>
      </c>
      <c r="G90" s="44">
        <v>0.04</v>
      </c>
      <c r="H90" s="44">
        <v>88.93</v>
      </c>
      <c r="I90" s="44">
        <v>12.78</v>
      </c>
      <c r="J90" s="14"/>
    </row>
    <row r="91" spans="1:10">
      <c r="A91" s="20">
        <v>87</v>
      </c>
      <c r="B91" s="38" t="s">
        <v>225</v>
      </c>
      <c r="C91" s="44">
        <v>12.01</v>
      </c>
      <c r="D91" s="44">
        <v>0.26</v>
      </c>
      <c r="E91" s="44">
        <v>0.03</v>
      </c>
      <c r="F91" s="27" t="s">
        <v>149</v>
      </c>
      <c r="G91" s="44">
        <v>0.33</v>
      </c>
      <c r="H91" s="44">
        <v>73.8</v>
      </c>
      <c r="I91" s="44">
        <v>12.64</v>
      </c>
      <c r="J91" s="14"/>
    </row>
    <row r="92" spans="1:10">
      <c r="A92" s="20">
        <v>88</v>
      </c>
      <c r="B92" s="38" t="s">
        <v>226</v>
      </c>
      <c r="C92" s="44">
        <v>9.7799999999999994</v>
      </c>
      <c r="D92" s="44">
        <v>0.09</v>
      </c>
      <c r="E92" s="44">
        <v>0.1</v>
      </c>
      <c r="F92" s="44">
        <v>1.1100000000000001</v>
      </c>
      <c r="G92" s="44">
        <v>0.82</v>
      </c>
      <c r="H92" s="44">
        <v>81.03</v>
      </c>
      <c r="I92" s="44">
        <v>11.9</v>
      </c>
      <c r="J92" s="14"/>
    </row>
    <row r="93" spans="1:10">
      <c r="A93" s="20">
        <v>89</v>
      </c>
      <c r="B93" s="38" t="s">
        <v>227</v>
      </c>
      <c r="C93" s="44">
        <v>10.27</v>
      </c>
      <c r="D93" s="44">
        <v>0.18</v>
      </c>
      <c r="E93" s="44">
        <v>0.61</v>
      </c>
      <c r="F93" s="44">
        <v>0.25</v>
      </c>
      <c r="G93" s="44">
        <v>0.18</v>
      </c>
      <c r="H93" s="44">
        <v>75.41</v>
      </c>
      <c r="I93" s="44">
        <v>11.5</v>
      </c>
      <c r="J93" s="14"/>
    </row>
    <row r="94" spans="1:10">
      <c r="A94" s="20">
        <v>90</v>
      </c>
      <c r="B94" s="38" t="s">
        <v>228</v>
      </c>
      <c r="C94" s="44">
        <v>11.08</v>
      </c>
      <c r="D94" s="44">
        <v>0.05</v>
      </c>
      <c r="E94" s="44">
        <v>0.06</v>
      </c>
      <c r="F94" s="44">
        <v>0.06</v>
      </c>
      <c r="G94" s="44">
        <v>2E-3</v>
      </c>
      <c r="H94" s="44">
        <v>75.23</v>
      </c>
      <c r="I94" s="44">
        <v>11.25</v>
      </c>
      <c r="J94" s="14"/>
    </row>
    <row r="95" spans="1:10">
      <c r="A95" s="20">
        <v>91</v>
      </c>
      <c r="B95" s="38" t="s">
        <v>229</v>
      </c>
      <c r="C95" s="44">
        <v>10.65</v>
      </c>
      <c r="D95" s="44">
        <v>0.43</v>
      </c>
      <c r="E95" s="27" t="s">
        <v>149</v>
      </c>
      <c r="F95" s="27" t="s">
        <v>149</v>
      </c>
      <c r="G95" s="27" t="s">
        <v>149</v>
      </c>
      <c r="H95" s="44">
        <v>82.4</v>
      </c>
      <c r="I95" s="44">
        <v>11.08</v>
      </c>
      <c r="J95" s="14"/>
    </row>
    <row r="96" spans="1:10">
      <c r="A96" s="20">
        <v>92</v>
      </c>
      <c r="B96" s="38" t="s">
        <v>230</v>
      </c>
      <c r="C96" s="44">
        <v>2.38</v>
      </c>
      <c r="D96" s="27" t="s">
        <v>149</v>
      </c>
      <c r="E96" s="44">
        <v>0.93</v>
      </c>
      <c r="F96" s="44">
        <v>5.91</v>
      </c>
      <c r="G96" s="44">
        <v>1.79</v>
      </c>
      <c r="H96" s="44">
        <v>88.02</v>
      </c>
      <c r="I96" s="44">
        <v>11.01</v>
      </c>
      <c r="J96" s="14"/>
    </row>
    <row r="97" spans="1:10">
      <c r="A97" s="20">
        <v>93</v>
      </c>
      <c r="B97" s="38" t="s">
        <v>231</v>
      </c>
      <c r="C97" s="44">
        <v>10.35</v>
      </c>
      <c r="D97" s="44">
        <v>6.0000000000000001E-3</v>
      </c>
      <c r="E97" s="27" t="s">
        <v>149</v>
      </c>
      <c r="F97" s="27" t="s">
        <v>149</v>
      </c>
      <c r="G97" s="44">
        <v>0.01</v>
      </c>
      <c r="H97" s="44">
        <v>47.76</v>
      </c>
      <c r="I97" s="44">
        <v>10.37</v>
      </c>
      <c r="J97" s="14"/>
    </row>
    <row r="98" spans="1:10">
      <c r="A98" s="20">
        <v>94</v>
      </c>
      <c r="B98" s="38" t="s">
        <v>235</v>
      </c>
      <c r="C98" s="44">
        <v>3.0000000000000001E-3</v>
      </c>
      <c r="D98" s="27" t="s">
        <v>149</v>
      </c>
      <c r="E98" s="44">
        <v>4.0000000000000003E-5</v>
      </c>
      <c r="F98" s="27" t="s">
        <v>149</v>
      </c>
      <c r="G98" s="44">
        <v>9.65</v>
      </c>
      <c r="H98" s="44">
        <v>86.93</v>
      </c>
      <c r="I98" s="44">
        <v>9.65</v>
      </c>
      <c r="J98" s="14"/>
    </row>
    <row r="99" spans="1:10">
      <c r="A99" s="20">
        <v>95</v>
      </c>
      <c r="B99" s="38" t="s">
        <v>262</v>
      </c>
      <c r="C99" s="44">
        <v>1.64</v>
      </c>
      <c r="D99" s="44">
        <v>0.77</v>
      </c>
      <c r="E99" s="44">
        <v>1.19</v>
      </c>
      <c r="F99" s="44">
        <v>5.44</v>
      </c>
      <c r="G99" s="44">
        <v>0.52</v>
      </c>
      <c r="H99" s="44">
        <v>77.61</v>
      </c>
      <c r="I99" s="44">
        <v>9.56</v>
      </c>
      <c r="J99" s="14"/>
    </row>
    <row r="100" spans="1:10">
      <c r="A100" s="20">
        <v>96</v>
      </c>
      <c r="B100" s="38" t="s">
        <v>267</v>
      </c>
      <c r="C100" s="44">
        <v>9.01</v>
      </c>
      <c r="D100" s="44">
        <v>3.0000000000000001E-3</v>
      </c>
      <c r="E100" s="27" t="s">
        <v>149</v>
      </c>
      <c r="F100" s="27" t="s">
        <v>149</v>
      </c>
      <c r="G100" s="27" t="s">
        <v>149</v>
      </c>
      <c r="H100" s="44">
        <v>36.159999999999997</v>
      </c>
      <c r="I100" s="44">
        <v>9.02</v>
      </c>
      <c r="J100" s="14"/>
    </row>
    <row r="101" spans="1:10">
      <c r="A101" s="20">
        <v>97</v>
      </c>
      <c r="B101" s="38" t="s">
        <v>268</v>
      </c>
      <c r="C101" s="44">
        <v>3.29</v>
      </c>
      <c r="D101" s="44">
        <v>0.02</v>
      </c>
      <c r="E101" s="44">
        <v>1.21</v>
      </c>
      <c r="F101" s="44">
        <v>2.41</v>
      </c>
      <c r="G101" s="44">
        <v>1.69</v>
      </c>
      <c r="H101" s="44">
        <v>63.65</v>
      </c>
      <c r="I101" s="44">
        <v>8.6300000000000008</v>
      </c>
      <c r="J101" s="14"/>
    </row>
    <row r="102" spans="1:10">
      <c r="A102" s="20">
        <v>98</v>
      </c>
      <c r="B102" s="38" t="s">
        <v>270</v>
      </c>
      <c r="C102" s="44">
        <v>7.75</v>
      </c>
      <c r="D102" s="44">
        <v>0.12</v>
      </c>
      <c r="E102" s="44">
        <v>1E-3</v>
      </c>
      <c r="F102" s="44">
        <v>7.0000000000000007E-2</v>
      </c>
      <c r="G102" s="44">
        <v>7.0000000000000007E-2</v>
      </c>
      <c r="H102" s="44">
        <v>43.24</v>
      </c>
      <c r="I102" s="44">
        <v>8.02</v>
      </c>
      <c r="J102" s="14"/>
    </row>
    <row r="103" spans="1:10">
      <c r="A103" s="20">
        <v>99</v>
      </c>
      <c r="B103" s="38" t="s">
        <v>272</v>
      </c>
      <c r="C103" s="44">
        <v>7.16</v>
      </c>
      <c r="D103" s="27" t="s">
        <v>149</v>
      </c>
      <c r="E103" s="27" t="s">
        <v>149</v>
      </c>
      <c r="F103" s="44">
        <v>0.38</v>
      </c>
      <c r="G103" s="27" t="s">
        <v>149</v>
      </c>
      <c r="H103" s="44">
        <v>39.35</v>
      </c>
      <c r="I103" s="44">
        <v>7.54</v>
      </c>
      <c r="J103" s="14"/>
    </row>
    <row r="104" spans="1:10">
      <c r="A104" s="20">
        <v>100</v>
      </c>
      <c r="B104" s="38" t="s">
        <v>275</v>
      </c>
      <c r="C104" s="44">
        <v>2.91</v>
      </c>
      <c r="D104" s="27" t="s">
        <v>149</v>
      </c>
      <c r="E104" s="27" t="s">
        <v>149</v>
      </c>
      <c r="F104" s="44">
        <v>2E-3</v>
      </c>
      <c r="G104" s="44">
        <v>3.04</v>
      </c>
      <c r="H104" s="44">
        <v>47.1</v>
      </c>
      <c r="I104" s="44">
        <v>5.95</v>
      </c>
      <c r="J104" s="14"/>
    </row>
    <row r="105" spans="1:10">
      <c r="A105" s="20">
        <v>101</v>
      </c>
      <c r="B105" s="38" t="s">
        <v>277</v>
      </c>
      <c r="C105" s="44">
        <v>5.61</v>
      </c>
      <c r="D105" s="27" t="s">
        <v>149</v>
      </c>
      <c r="E105" s="27" t="s">
        <v>149</v>
      </c>
      <c r="F105" s="27" t="s">
        <v>149</v>
      </c>
      <c r="G105" s="27" t="s">
        <v>149</v>
      </c>
      <c r="H105" s="44">
        <v>36.22</v>
      </c>
      <c r="I105" s="44">
        <v>5.61</v>
      </c>
      <c r="J105" s="14"/>
    </row>
    <row r="106" spans="1:10">
      <c r="A106" s="20">
        <v>102</v>
      </c>
      <c r="B106" s="38" t="s">
        <v>280</v>
      </c>
      <c r="C106" s="44">
        <v>5.33</v>
      </c>
      <c r="D106" s="44">
        <v>0.16</v>
      </c>
      <c r="E106" s="44">
        <v>1E-3</v>
      </c>
      <c r="F106" s="27" t="s">
        <v>149</v>
      </c>
      <c r="G106" s="27" t="s">
        <v>149</v>
      </c>
      <c r="H106" s="44">
        <v>28.28</v>
      </c>
      <c r="I106" s="44">
        <v>5.49</v>
      </c>
      <c r="J106" s="14"/>
    </row>
    <row r="107" spans="1:10">
      <c r="A107" s="20">
        <v>103</v>
      </c>
      <c r="B107" s="38" t="s">
        <v>283</v>
      </c>
      <c r="C107" s="44">
        <v>4.0999999999999996</v>
      </c>
      <c r="D107" s="44">
        <v>0.9</v>
      </c>
      <c r="E107" s="27" t="s">
        <v>149</v>
      </c>
      <c r="F107" s="44">
        <v>0.01</v>
      </c>
      <c r="G107" s="44">
        <v>0.24</v>
      </c>
      <c r="H107" s="44">
        <v>34.770000000000003</v>
      </c>
      <c r="I107" s="44">
        <v>5.25</v>
      </c>
      <c r="J107" s="14"/>
    </row>
    <row r="108" spans="1:10">
      <c r="A108" s="20">
        <v>104</v>
      </c>
      <c r="B108" s="38" t="s">
        <v>288</v>
      </c>
      <c r="C108" s="44">
        <v>5.1100000000000003</v>
      </c>
      <c r="D108" s="27" t="s">
        <v>149</v>
      </c>
      <c r="E108" s="27" t="s">
        <v>149</v>
      </c>
      <c r="F108" s="27" t="s">
        <v>149</v>
      </c>
      <c r="G108" s="27" t="s">
        <v>149</v>
      </c>
      <c r="H108" s="44">
        <v>22.59</v>
      </c>
      <c r="I108" s="44">
        <v>5.1100000000000003</v>
      </c>
      <c r="J108" s="14"/>
    </row>
    <row r="109" spans="1:10">
      <c r="A109" s="20">
        <v>105</v>
      </c>
      <c r="B109" s="38" t="s">
        <v>292</v>
      </c>
      <c r="C109" s="44">
        <v>4.96</v>
      </c>
      <c r="D109" s="27" t="s">
        <v>149</v>
      </c>
      <c r="E109" s="27" t="s">
        <v>149</v>
      </c>
      <c r="F109" s="27" t="s">
        <v>149</v>
      </c>
      <c r="G109" s="27" t="s">
        <v>149</v>
      </c>
      <c r="H109" s="44">
        <v>23.99</v>
      </c>
      <c r="I109" s="44">
        <v>4.96</v>
      </c>
      <c r="J109" s="14"/>
    </row>
    <row r="110" spans="1:10">
      <c r="A110" s="20">
        <v>106</v>
      </c>
      <c r="B110" s="38" t="s">
        <v>294</v>
      </c>
      <c r="C110" s="44">
        <v>2.99</v>
      </c>
      <c r="D110" s="27" t="s">
        <v>149</v>
      </c>
      <c r="E110" s="44">
        <v>0.47</v>
      </c>
      <c r="F110" s="44">
        <v>0.2</v>
      </c>
      <c r="G110" s="44">
        <v>0.64</v>
      </c>
      <c r="H110" s="44">
        <v>28.16</v>
      </c>
      <c r="I110" s="44">
        <v>4.28</v>
      </c>
      <c r="J110" s="14"/>
    </row>
    <row r="111" spans="1:10">
      <c r="A111" s="20">
        <v>107</v>
      </c>
      <c r="B111" s="38" t="s">
        <v>296</v>
      </c>
      <c r="C111" s="44">
        <v>3.52</v>
      </c>
      <c r="D111" s="44">
        <v>0.09</v>
      </c>
      <c r="E111" s="44">
        <v>0.28000000000000003</v>
      </c>
      <c r="F111" s="44">
        <v>0.17</v>
      </c>
      <c r="G111" s="44">
        <v>0.13</v>
      </c>
      <c r="H111" s="44">
        <v>28.62</v>
      </c>
      <c r="I111" s="44">
        <v>4.18</v>
      </c>
      <c r="J111" s="14"/>
    </row>
    <row r="112" spans="1:10">
      <c r="A112" s="20">
        <v>108</v>
      </c>
      <c r="B112" s="38" t="s">
        <v>298</v>
      </c>
      <c r="C112" s="44">
        <v>3.58</v>
      </c>
      <c r="D112" s="44">
        <v>7.0000000000000007E-2</v>
      </c>
      <c r="E112" s="44">
        <v>0.02</v>
      </c>
      <c r="F112" s="44">
        <v>7.0000000000000007E-2</v>
      </c>
      <c r="G112" s="44">
        <v>0.27</v>
      </c>
      <c r="H112" s="44">
        <v>24.65</v>
      </c>
      <c r="I112" s="44">
        <v>4.01</v>
      </c>
      <c r="J112" s="14"/>
    </row>
    <row r="113" spans="1:10">
      <c r="A113" s="20">
        <v>109</v>
      </c>
      <c r="B113" s="38" t="s">
        <v>300</v>
      </c>
      <c r="C113" s="44">
        <v>1.46</v>
      </c>
      <c r="D113" s="44">
        <v>0.89</v>
      </c>
      <c r="E113" s="44">
        <v>0.28999999999999998</v>
      </c>
      <c r="F113" s="44">
        <v>0.39</v>
      </c>
      <c r="G113" s="44">
        <v>0.89</v>
      </c>
      <c r="H113" s="44">
        <v>30.58</v>
      </c>
      <c r="I113" s="44">
        <v>3.92</v>
      </c>
      <c r="J113" s="14"/>
    </row>
    <row r="114" spans="1:10">
      <c r="A114" s="20">
        <v>110</v>
      </c>
      <c r="B114" s="38" t="s">
        <v>303</v>
      </c>
      <c r="C114" s="44">
        <v>3.08</v>
      </c>
      <c r="D114" s="27" t="s">
        <v>149</v>
      </c>
      <c r="E114" s="44">
        <v>0.66</v>
      </c>
      <c r="F114" s="44">
        <v>0.02</v>
      </c>
      <c r="G114" s="44">
        <v>8.9999999999999998E-4</v>
      </c>
      <c r="H114" s="44">
        <v>27.17</v>
      </c>
      <c r="I114" s="44">
        <v>3.77</v>
      </c>
      <c r="J114" s="14"/>
    </row>
    <row r="115" spans="1:10">
      <c r="A115" s="20">
        <v>111</v>
      </c>
      <c r="B115" s="38" t="s">
        <v>305</v>
      </c>
      <c r="C115" s="44">
        <v>3.14</v>
      </c>
      <c r="D115" s="44">
        <v>0.1</v>
      </c>
      <c r="E115" s="44">
        <v>0.04</v>
      </c>
      <c r="F115" s="44">
        <v>7.0000000000000001E-3</v>
      </c>
      <c r="G115" s="44">
        <v>0.18</v>
      </c>
      <c r="H115" s="44">
        <v>22.12</v>
      </c>
      <c r="I115" s="44">
        <v>3.46</v>
      </c>
      <c r="J115" s="14"/>
    </row>
    <row r="116" spans="1:10">
      <c r="A116" s="20">
        <v>112</v>
      </c>
      <c r="B116" s="38" t="s">
        <v>307</v>
      </c>
      <c r="C116" s="44">
        <v>3.2</v>
      </c>
      <c r="D116" s="27" t="s">
        <v>149</v>
      </c>
      <c r="E116" s="27" t="s">
        <v>149</v>
      </c>
      <c r="F116" s="27" t="s">
        <v>149</v>
      </c>
      <c r="G116" s="27" t="s">
        <v>149</v>
      </c>
      <c r="H116" s="44">
        <v>18.940000000000001</v>
      </c>
      <c r="I116" s="44">
        <v>3.2</v>
      </c>
      <c r="J116" s="14"/>
    </row>
    <row r="117" spans="1:10">
      <c r="A117" s="20">
        <v>113</v>
      </c>
      <c r="B117" s="38" t="s">
        <v>309</v>
      </c>
      <c r="C117" s="44">
        <v>3.16</v>
      </c>
      <c r="D117" s="27" t="s">
        <v>149</v>
      </c>
      <c r="E117" s="27" t="s">
        <v>149</v>
      </c>
      <c r="F117" s="27" t="s">
        <v>149</v>
      </c>
      <c r="G117" s="27" t="s">
        <v>149</v>
      </c>
      <c r="H117" s="44">
        <v>21.85</v>
      </c>
      <c r="I117" s="44">
        <v>3.16</v>
      </c>
      <c r="J117" s="14"/>
    </row>
    <row r="118" spans="1:10">
      <c r="A118" s="20">
        <v>114</v>
      </c>
      <c r="B118" s="38" t="s">
        <v>311</v>
      </c>
      <c r="C118" s="44">
        <v>3.03</v>
      </c>
      <c r="D118" s="27" t="s">
        <v>149</v>
      </c>
      <c r="E118" s="27" t="s">
        <v>149</v>
      </c>
      <c r="F118" s="27" t="s">
        <v>149</v>
      </c>
      <c r="G118" s="27" t="s">
        <v>149</v>
      </c>
      <c r="H118" s="44">
        <v>15.89</v>
      </c>
      <c r="I118" s="44">
        <v>3.03</v>
      </c>
      <c r="J118" s="14"/>
    </row>
    <row r="119" spans="1:10">
      <c r="A119" s="20">
        <v>115</v>
      </c>
      <c r="B119" s="38" t="s">
        <v>312</v>
      </c>
      <c r="C119" s="44">
        <v>0.43</v>
      </c>
      <c r="D119" s="44">
        <v>0.88</v>
      </c>
      <c r="E119" s="44">
        <v>0.44</v>
      </c>
      <c r="F119" s="44">
        <v>0.75</v>
      </c>
      <c r="G119" s="44">
        <v>0.48</v>
      </c>
      <c r="H119" s="44">
        <v>24.03</v>
      </c>
      <c r="I119" s="44">
        <v>2.97</v>
      </c>
      <c r="J119" s="14"/>
    </row>
    <row r="120" spans="1:10">
      <c r="A120" s="20">
        <v>116</v>
      </c>
      <c r="B120" s="38" t="s">
        <v>315</v>
      </c>
      <c r="C120" s="44">
        <v>0.5</v>
      </c>
      <c r="D120" s="44">
        <v>0.01</v>
      </c>
      <c r="E120" s="44">
        <v>0.28000000000000003</v>
      </c>
      <c r="F120" s="44">
        <v>0.02</v>
      </c>
      <c r="G120" s="44">
        <v>2.09</v>
      </c>
      <c r="H120" s="44">
        <v>24.04</v>
      </c>
      <c r="I120" s="44">
        <v>2.9</v>
      </c>
      <c r="J120" s="14"/>
    </row>
    <row r="121" spans="1:10">
      <c r="A121" s="20">
        <v>117</v>
      </c>
      <c r="B121" s="38" t="s">
        <v>316</v>
      </c>
      <c r="C121" s="44">
        <v>0.06</v>
      </c>
      <c r="D121" s="27" t="s">
        <v>149</v>
      </c>
      <c r="E121" s="27" t="s">
        <v>149</v>
      </c>
      <c r="F121" s="27" t="s">
        <v>149</v>
      </c>
      <c r="G121" s="44">
        <v>2.69</v>
      </c>
      <c r="H121" s="44">
        <v>23.52</v>
      </c>
      <c r="I121" s="44">
        <v>2.75</v>
      </c>
      <c r="J121" s="14"/>
    </row>
    <row r="122" spans="1:10">
      <c r="A122" s="20">
        <v>118</v>
      </c>
      <c r="B122" s="38" t="s">
        <v>319</v>
      </c>
      <c r="C122" s="44">
        <v>2.57</v>
      </c>
      <c r="D122" s="27" t="s">
        <v>149</v>
      </c>
      <c r="E122" s="27" t="s">
        <v>149</v>
      </c>
      <c r="F122" s="27" t="s">
        <v>149</v>
      </c>
      <c r="G122" s="27" t="s">
        <v>149</v>
      </c>
      <c r="H122" s="44">
        <v>17.41</v>
      </c>
      <c r="I122" s="44">
        <v>2.57</v>
      </c>
      <c r="J122" s="14"/>
    </row>
    <row r="123" spans="1:10">
      <c r="A123" s="20">
        <v>119</v>
      </c>
      <c r="B123" s="38" t="s">
        <v>320</v>
      </c>
      <c r="C123" s="44">
        <v>0.79</v>
      </c>
      <c r="D123" s="44">
        <v>0.2</v>
      </c>
      <c r="E123" s="44">
        <v>0.26</v>
      </c>
      <c r="F123" s="44">
        <v>0.09</v>
      </c>
      <c r="G123" s="44">
        <v>0.91</v>
      </c>
      <c r="H123" s="44">
        <v>17.98</v>
      </c>
      <c r="I123" s="44">
        <v>2.25</v>
      </c>
      <c r="J123" s="14"/>
    </row>
    <row r="124" spans="1:10">
      <c r="A124" s="20">
        <v>120</v>
      </c>
      <c r="B124" s="38" t="s">
        <v>321</v>
      </c>
      <c r="C124" s="44">
        <v>1.95</v>
      </c>
      <c r="D124" s="27" t="s">
        <v>149</v>
      </c>
      <c r="E124" s="27" t="s">
        <v>149</v>
      </c>
      <c r="F124" s="44">
        <v>2E-3</v>
      </c>
      <c r="G124" s="44">
        <v>1E-3</v>
      </c>
      <c r="H124" s="44">
        <v>8.23</v>
      </c>
      <c r="I124" s="44">
        <v>1.95</v>
      </c>
      <c r="J124" s="14"/>
    </row>
    <row r="125" spans="1:10">
      <c r="A125" s="20">
        <v>121</v>
      </c>
      <c r="B125" s="38" t="s">
        <v>322</v>
      </c>
      <c r="C125" s="44">
        <v>1.52</v>
      </c>
      <c r="D125" s="27" t="s">
        <v>149</v>
      </c>
      <c r="E125" s="27" t="s">
        <v>149</v>
      </c>
      <c r="F125" s="27" t="s">
        <v>149</v>
      </c>
      <c r="G125" s="27" t="s">
        <v>149</v>
      </c>
      <c r="H125" s="44">
        <v>9.43</v>
      </c>
      <c r="I125" s="44">
        <v>1.52</v>
      </c>
      <c r="J125" s="14"/>
    </row>
    <row r="126" spans="1:10">
      <c r="A126" s="20">
        <v>122</v>
      </c>
      <c r="B126" s="38" t="s">
        <v>323</v>
      </c>
      <c r="C126" s="44">
        <v>1.37</v>
      </c>
      <c r="D126" s="27" t="s">
        <v>149</v>
      </c>
      <c r="E126" s="27" t="s">
        <v>149</v>
      </c>
      <c r="F126" s="27" t="s">
        <v>149</v>
      </c>
      <c r="G126" s="27" t="s">
        <v>149</v>
      </c>
      <c r="H126" s="44">
        <v>8.98</v>
      </c>
      <c r="I126" s="44">
        <v>1.37</v>
      </c>
      <c r="J126" s="14"/>
    </row>
    <row r="127" spans="1:10">
      <c r="A127" s="20">
        <v>123</v>
      </c>
      <c r="B127" s="38" t="s">
        <v>324</v>
      </c>
      <c r="C127" s="44">
        <v>0.56999999999999995</v>
      </c>
      <c r="D127" s="44">
        <v>1E-3</v>
      </c>
      <c r="E127" s="27" t="s">
        <v>149</v>
      </c>
      <c r="F127" s="44">
        <v>0.06</v>
      </c>
      <c r="G127" s="44">
        <v>0.62</v>
      </c>
      <c r="H127" s="44">
        <v>8.6999999999999993</v>
      </c>
      <c r="I127" s="44">
        <v>1.25</v>
      </c>
      <c r="J127" s="14"/>
    </row>
    <row r="128" spans="1:10">
      <c r="A128" s="20">
        <v>124</v>
      </c>
      <c r="B128" s="38" t="s">
        <v>325</v>
      </c>
      <c r="C128" s="44">
        <v>2E-3</v>
      </c>
      <c r="D128" s="27" t="s">
        <v>149</v>
      </c>
      <c r="E128" s="44">
        <v>1E-3</v>
      </c>
      <c r="F128" s="44">
        <v>0.02</v>
      </c>
      <c r="G128" s="44">
        <v>1.17</v>
      </c>
      <c r="H128" s="44">
        <v>10.32</v>
      </c>
      <c r="I128" s="44">
        <v>1.19</v>
      </c>
      <c r="J128" s="14"/>
    </row>
    <row r="129" spans="1:10">
      <c r="A129" s="20">
        <v>125</v>
      </c>
      <c r="B129" s="38" t="s">
        <v>327</v>
      </c>
      <c r="C129" s="44">
        <v>1.17</v>
      </c>
      <c r="D129" s="27" t="s">
        <v>149</v>
      </c>
      <c r="E129" s="27" t="s">
        <v>149</v>
      </c>
      <c r="F129" s="27" t="s">
        <v>149</v>
      </c>
      <c r="G129" s="27" t="s">
        <v>149</v>
      </c>
      <c r="H129" s="44">
        <v>8.4</v>
      </c>
      <c r="I129" s="44">
        <v>1.17</v>
      </c>
      <c r="J129" s="14"/>
    </row>
    <row r="130" spans="1:10">
      <c r="A130" s="20">
        <v>126</v>
      </c>
      <c r="B130" s="38" t="s">
        <v>329</v>
      </c>
      <c r="C130" s="44">
        <v>1.04</v>
      </c>
      <c r="D130" s="27" t="s">
        <v>149</v>
      </c>
      <c r="E130" s="27" t="s">
        <v>149</v>
      </c>
      <c r="F130" s="27" t="s">
        <v>149</v>
      </c>
      <c r="G130" s="27" t="s">
        <v>149</v>
      </c>
      <c r="H130" s="44">
        <v>4.7300000000000004</v>
      </c>
      <c r="I130" s="44">
        <v>1.04</v>
      </c>
      <c r="J130" s="14"/>
    </row>
    <row r="131" spans="1:10">
      <c r="A131" s="20">
        <v>127</v>
      </c>
      <c r="B131" s="38" t="s">
        <v>331</v>
      </c>
      <c r="C131" s="44">
        <v>1</v>
      </c>
      <c r="D131" s="27" t="s">
        <v>149</v>
      </c>
      <c r="E131" s="27" t="s">
        <v>149</v>
      </c>
      <c r="F131" s="27" t="s">
        <v>149</v>
      </c>
      <c r="G131" s="44">
        <v>5.9999999999999995E-4</v>
      </c>
      <c r="H131" s="44">
        <v>6.18</v>
      </c>
      <c r="I131" s="44">
        <v>1</v>
      </c>
      <c r="J131" s="14"/>
    </row>
    <row r="132" spans="1:10">
      <c r="A132" s="20">
        <v>128</v>
      </c>
      <c r="B132" s="38" t="s">
        <v>332</v>
      </c>
      <c r="C132" s="44">
        <v>1</v>
      </c>
      <c r="D132" s="27" t="s">
        <v>149</v>
      </c>
      <c r="E132" s="27" t="s">
        <v>149</v>
      </c>
      <c r="F132" s="27" t="s">
        <v>149</v>
      </c>
      <c r="G132" s="27" t="s">
        <v>149</v>
      </c>
      <c r="H132" s="44">
        <v>4.5999999999999996</v>
      </c>
      <c r="I132" s="44">
        <v>1</v>
      </c>
      <c r="J132" s="14"/>
    </row>
    <row r="133" spans="1:10">
      <c r="A133" s="20">
        <v>129</v>
      </c>
      <c r="B133" s="38" t="s">
        <v>333</v>
      </c>
      <c r="C133" s="44">
        <v>0.51</v>
      </c>
      <c r="D133" s="44">
        <v>2E-3</v>
      </c>
      <c r="E133" s="44">
        <v>2E-3</v>
      </c>
      <c r="F133" s="44">
        <v>0.27</v>
      </c>
      <c r="G133" s="44">
        <v>0.16</v>
      </c>
      <c r="H133" s="44">
        <v>6.53</v>
      </c>
      <c r="I133" s="44">
        <v>0.95</v>
      </c>
      <c r="J133" s="14"/>
    </row>
    <row r="134" spans="1:10">
      <c r="A134" s="20">
        <v>130</v>
      </c>
      <c r="B134" s="38" t="s">
        <v>334</v>
      </c>
      <c r="C134" s="44">
        <v>0.92</v>
      </c>
      <c r="D134" s="27" t="s">
        <v>149</v>
      </c>
      <c r="E134" s="27" t="s">
        <v>149</v>
      </c>
      <c r="F134" s="27" t="s">
        <v>149</v>
      </c>
      <c r="G134" s="27" t="s">
        <v>149</v>
      </c>
      <c r="H134" s="44">
        <v>5.07</v>
      </c>
      <c r="I134" s="44">
        <v>0.92</v>
      </c>
      <c r="J134" s="14"/>
    </row>
    <row r="135" spans="1:10">
      <c r="A135" s="20">
        <v>131</v>
      </c>
      <c r="B135" s="38" t="s">
        <v>335</v>
      </c>
      <c r="C135" s="44">
        <v>0.79</v>
      </c>
      <c r="D135" s="27" t="s">
        <v>149</v>
      </c>
      <c r="E135" s="27" t="s">
        <v>149</v>
      </c>
      <c r="F135" s="27" t="s">
        <v>149</v>
      </c>
      <c r="G135" s="27" t="s">
        <v>149</v>
      </c>
      <c r="H135" s="44">
        <v>5.5</v>
      </c>
      <c r="I135" s="44">
        <v>0.79</v>
      </c>
      <c r="J135" s="14"/>
    </row>
    <row r="136" spans="1:10">
      <c r="A136" s="20">
        <v>132</v>
      </c>
      <c r="B136" s="38" t="s">
        <v>336</v>
      </c>
      <c r="C136" s="44">
        <v>0.71</v>
      </c>
      <c r="D136" s="27" t="s">
        <v>149</v>
      </c>
      <c r="E136" s="44">
        <v>0.05</v>
      </c>
      <c r="F136" s="44">
        <v>8.0000000000000002E-3</v>
      </c>
      <c r="G136" s="44">
        <v>6.0000000000000001E-3</v>
      </c>
      <c r="H136" s="44">
        <v>4.22</v>
      </c>
      <c r="I136" s="44">
        <v>0.77</v>
      </c>
      <c r="J136" s="14"/>
    </row>
    <row r="137" spans="1:10">
      <c r="A137" s="20">
        <v>133</v>
      </c>
      <c r="B137" s="38" t="s">
        <v>337</v>
      </c>
      <c r="C137" s="44">
        <v>7.0000000000000007E-2</v>
      </c>
      <c r="D137" s="27" t="s">
        <v>149</v>
      </c>
      <c r="E137" s="44">
        <v>0.67</v>
      </c>
      <c r="F137" s="44">
        <v>6.0000000000000002E-5</v>
      </c>
      <c r="G137" s="44">
        <v>2E-3</v>
      </c>
      <c r="H137" s="44">
        <v>6.09</v>
      </c>
      <c r="I137" s="44">
        <v>0.74</v>
      </c>
      <c r="J137" s="14"/>
    </row>
    <row r="138" spans="1:10">
      <c r="A138" s="20">
        <v>134</v>
      </c>
      <c r="B138" s="38" t="s">
        <v>338</v>
      </c>
      <c r="C138" s="44">
        <v>0.28999999999999998</v>
      </c>
      <c r="D138" s="27" t="s">
        <v>149</v>
      </c>
      <c r="E138" s="27" t="s">
        <v>149</v>
      </c>
      <c r="F138" s="44">
        <v>0.16</v>
      </c>
      <c r="G138" s="44">
        <v>0.15</v>
      </c>
      <c r="H138" s="44">
        <v>4.0999999999999996</v>
      </c>
      <c r="I138" s="44">
        <v>0.6</v>
      </c>
      <c r="J138" s="14"/>
    </row>
    <row r="139" spans="1:10">
      <c r="A139" s="20">
        <v>135</v>
      </c>
      <c r="B139" s="38" t="s">
        <v>339</v>
      </c>
      <c r="C139" s="27" t="s">
        <v>149</v>
      </c>
      <c r="D139" s="44">
        <v>0.26</v>
      </c>
      <c r="E139" s="44">
        <v>0.28999999999999998</v>
      </c>
      <c r="F139" s="27" t="s">
        <v>149</v>
      </c>
      <c r="G139" s="27" t="s">
        <v>149</v>
      </c>
      <c r="H139" s="44">
        <v>4.3899999999999997</v>
      </c>
      <c r="I139" s="44">
        <v>0.55000000000000004</v>
      </c>
      <c r="J139" s="14"/>
    </row>
    <row r="140" spans="1:10">
      <c r="A140" s="20">
        <v>136</v>
      </c>
      <c r="B140" s="38" t="s">
        <v>340</v>
      </c>
      <c r="C140" s="44">
        <v>0.14000000000000001</v>
      </c>
      <c r="D140" s="44">
        <v>0.34</v>
      </c>
      <c r="E140" s="44">
        <v>0.06</v>
      </c>
      <c r="F140" s="44">
        <v>2E-3</v>
      </c>
      <c r="G140" s="44">
        <v>1E-3</v>
      </c>
      <c r="H140" s="44">
        <v>4.26</v>
      </c>
      <c r="I140" s="44">
        <v>0.54</v>
      </c>
      <c r="J140" s="14"/>
    </row>
    <row r="141" spans="1:10">
      <c r="A141" s="20">
        <v>137</v>
      </c>
      <c r="B141" s="38" t="s">
        <v>341</v>
      </c>
      <c r="C141" s="27" t="s">
        <v>149</v>
      </c>
      <c r="D141" s="27" t="s">
        <v>149</v>
      </c>
      <c r="E141" s="27" t="s">
        <v>149</v>
      </c>
      <c r="F141" s="44">
        <v>0.01</v>
      </c>
      <c r="G141" s="44">
        <v>0.45</v>
      </c>
      <c r="H141" s="44">
        <v>3.94</v>
      </c>
      <c r="I141" s="44">
        <v>0.46</v>
      </c>
      <c r="J141" s="14"/>
    </row>
    <row r="142" spans="1:10">
      <c r="A142" s="20">
        <v>138</v>
      </c>
      <c r="B142" s="38" t="s">
        <v>342</v>
      </c>
      <c r="C142" s="44">
        <v>0.16</v>
      </c>
      <c r="D142" s="27" t="s">
        <v>149</v>
      </c>
      <c r="E142" s="27" t="s">
        <v>149</v>
      </c>
      <c r="F142" s="27" t="s">
        <v>149</v>
      </c>
      <c r="G142" s="44">
        <v>0.27</v>
      </c>
      <c r="H142" s="44">
        <v>3.53</v>
      </c>
      <c r="I142" s="44">
        <v>0.44</v>
      </c>
      <c r="J142" s="14"/>
    </row>
    <row r="143" spans="1:10">
      <c r="A143" s="20">
        <v>139</v>
      </c>
      <c r="B143" s="38" t="s">
        <v>343</v>
      </c>
      <c r="C143" s="44">
        <v>0.43</v>
      </c>
      <c r="D143" s="27" t="s">
        <v>149</v>
      </c>
      <c r="E143" s="27" t="s">
        <v>149</v>
      </c>
      <c r="F143" s="27" t="s">
        <v>149</v>
      </c>
      <c r="G143" s="27" t="s">
        <v>149</v>
      </c>
      <c r="H143" s="44">
        <v>1.96</v>
      </c>
      <c r="I143" s="44">
        <v>0.43</v>
      </c>
      <c r="J143" s="14"/>
    </row>
    <row r="144" spans="1:10">
      <c r="A144" s="20">
        <v>140</v>
      </c>
      <c r="B144" s="38" t="s">
        <v>344</v>
      </c>
      <c r="C144" s="44">
        <v>0.35</v>
      </c>
      <c r="D144" s="27" t="s">
        <v>149</v>
      </c>
      <c r="E144" s="27" t="s">
        <v>149</v>
      </c>
      <c r="F144" s="27" t="s">
        <v>149</v>
      </c>
      <c r="G144" s="44">
        <v>0.02</v>
      </c>
      <c r="H144" s="44">
        <v>2.19</v>
      </c>
      <c r="I144" s="44">
        <v>0.36</v>
      </c>
      <c r="J144" s="14"/>
    </row>
    <row r="145" spans="1:10">
      <c r="A145" s="20">
        <v>141</v>
      </c>
      <c r="B145" s="38" t="s">
        <v>345</v>
      </c>
      <c r="C145" s="44">
        <v>0.26</v>
      </c>
      <c r="D145" s="27" t="s">
        <v>149</v>
      </c>
      <c r="E145" s="27" t="s">
        <v>149</v>
      </c>
      <c r="F145" s="44">
        <v>0.04</v>
      </c>
      <c r="G145" s="27" t="s">
        <v>149</v>
      </c>
      <c r="H145" s="44">
        <v>1.59</v>
      </c>
      <c r="I145" s="44">
        <v>0.3</v>
      </c>
      <c r="J145" s="14"/>
    </row>
    <row r="146" spans="1:10">
      <c r="A146" s="20">
        <v>142</v>
      </c>
      <c r="B146" s="38" t="s">
        <v>346</v>
      </c>
      <c r="C146" s="44">
        <v>0.27</v>
      </c>
      <c r="D146" s="27" t="s">
        <v>149</v>
      </c>
      <c r="E146" s="27" t="s">
        <v>149</v>
      </c>
      <c r="F146" s="27" t="s">
        <v>149</v>
      </c>
      <c r="G146" s="27" t="s">
        <v>149</v>
      </c>
      <c r="H146" s="44">
        <v>1.84</v>
      </c>
      <c r="I146" s="44">
        <v>0.27</v>
      </c>
      <c r="J146" s="14"/>
    </row>
    <row r="147" spans="1:10">
      <c r="A147" s="20">
        <v>143</v>
      </c>
      <c r="B147" s="38" t="s">
        <v>347</v>
      </c>
      <c r="C147" s="44">
        <v>0.26</v>
      </c>
      <c r="D147" s="27" t="s">
        <v>149</v>
      </c>
      <c r="E147" s="27" t="s">
        <v>149</v>
      </c>
      <c r="F147" s="27" t="s">
        <v>149</v>
      </c>
      <c r="G147" s="27" t="s">
        <v>149</v>
      </c>
      <c r="H147" s="44">
        <v>1.99</v>
      </c>
      <c r="I147" s="44">
        <v>0.26</v>
      </c>
      <c r="J147" s="14"/>
    </row>
    <row r="148" spans="1:10">
      <c r="A148" s="20">
        <v>144</v>
      </c>
      <c r="B148" s="38" t="s">
        <v>348</v>
      </c>
      <c r="C148" s="44">
        <v>0.25</v>
      </c>
      <c r="D148" s="27" t="s">
        <v>149</v>
      </c>
      <c r="E148" s="27" t="s">
        <v>149</v>
      </c>
      <c r="F148" s="27" t="s">
        <v>149</v>
      </c>
      <c r="G148" s="27" t="s">
        <v>149</v>
      </c>
      <c r="H148" s="44">
        <v>1.77</v>
      </c>
      <c r="I148" s="44">
        <v>0.25</v>
      </c>
      <c r="J148" s="14"/>
    </row>
    <row r="149" spans="1:10">
      <c r="A149" s="20">
        <v>145</v>
      </c>
      <c r="B149" s="38" t="s">
        <v>349</v>
      </c>
      <c r="C149" s="44">
        <v>0.24</v>
      </c>
      <c r="D149" s="27" t="s">
        <v>149</v>
      </c>
      <c r="E149" s="27" t="s">
        <v>149</v>
      </c>
      <c r="F149" s="27" t="s">
        <v>149</v>
      </c>
      <c r="G149" s="27" t="s">
        <v>149</v>
      </c>
      <c r="H149" s="44">
        <v>1.1299999999999999</v>
      </c>
      <c r="I149" s="44">
        <v>0.24</v>
      </c>
      <c r="J149" s="14"/>
    </row>
    <row r="150" spans="1:10">
      <c r="A150" s="20">
        <v>146</v>
      </c>
      <c r="B150" s="38" t="s">
        <v>350</v>
      </c>
      <c r="C150" s="44">
        <v>0.21</v>
      </c>
      <c r="D150" s="27" t="s">
        <v>149</v>
      </c>
      <c r="E150" s="27" t="s">
        <v>149</v>
      </c>
      <c r="F150" s="27" t="s">
        <v>149</v>
      </c>
      <c r="G150" s="27" t="s">
        <v>149</v>
      </c>
      <c r="H150" s="44">
        <v>1.3</v>
      </c>
      <c r="I150" s="44">
        <v>0.21</v>
      </c>
      <c r="J150" s="14"/>
    </row>
    <row r="151" spans="1:10">
      <c r="A151" s="20">
        <v>147</v>
      </c>
      <c r="B151" s="38" t="s">
        <v>357</v>
      </c>
      <c r="C151" s="44">
        <v>0.05</v>
      </c>
      <c r="D151" s="44">
        <v>0.09</v>
      </c>
      <c r="E151" s="27" t="s">
        <v>149</v>
      </c>
      <c r="F151" s="27" t="s">
        <v>149</v>
      </c>
      <c r="G151" s="27" t="s">
        <v>149</v>
      </c>
      <c r="H151" s="44">
        <v>1.04</v>
      </c>
      <c r="I151" s="44">
        <v>0.14000000000000001</v>
      </c>
      <c r="J151" s="14"/>
    </row>
    <row r="152" spans="1:10">
      <c r="A152" s="20">
        <v>148</v>
      </c>
      <c r="B152" s="38" t="s">
        <v>358</v>
      </c>
      <c r="C152" s="44">
        <v>0.04</v>
      </c>
      <c r="D152" s="44">
        <v>0.04</v>
      </c>
      <c r="E152" s="44">
        <v>0.03</v>
      </c>
      <c r="F152" s="27" t="s">
        <v>149</v>
      </c>
      <c r="G152" s="27" t="s">
        <v>149</v>
      </c>
      <c r="H152" s="44">
        <v>0.84</v>
      </c>
      <c r="I152" s="44">
        <v>0.11</v>
      </c>
      <c r="J152" s="14"/>
    </row>
    <row r="153" spans="1:10">
      <c r="A153" s="20">
        <v>149</v>
      </c>
      <c r="B153" s="38" t="s">
        <v>359</v>
      </c>
      <c r="C153" s="44">
        <v>0.08</v>
      </c>
      <c r="D153" s="27" t="s">
        <v>149</v>
      </c>
      <c r="E153" s="44">
        <v>3.0000000000000001E-3</v>
      </c>
      <c r="F153" s="44">
        <v>2E-3</v>
      </c>
      <c r="G153" s="44">
        <v>0.02</v>
      </c>
      <c r="H153" s="44">
        <v>0.67</v>
      </c>
      <c r="I153" s="44">
        <v>0.1</v>
      </c>
      <c r="J153" s="14"/>
    </row>
    <row r="154" spans="1:10">
      <c r="A154" s="20">
        <v>150</v>
      </c>
      <c r="B154" s="38" t="s">
        <v>360</v>
      </c>
      <c r="C154" s="44">
        <v>7.0000000000000007E-2</v>
      </c>
      <c r="D154" s="27" t="s">
        <v>149</v>
      </c>
      <c r="E154" s="27" t="s">
        <v>149</v>
      </c>
      <c r="F154" s="27" t="s">
        <v>149</v>
      </c>
      <c r="G154" s="44">
        <v>0.02</v>
      </c>
      <c r="H154" s="44">
        <v>0.7</v>
      </c>
      <c r="I154" s="44">
        <v>0.09</v>
      </c>
      <c r="J154" s="14"/>
    </row>
    <row r="155" spans="1:10">
      <c r="A155" s="20">
        <v>151</v>
      </c>
      <c r="B155" s="38" t="s">
        <v>361</v>
      </c>
      <c r="C155" s="44">
        <v>0.04</v>
      </c>
      <c r="D155" s="44">
        <v>5.0000000000000001E-3</v>
      </c>
      <c r="E155" s="44">
        <v>0.04</v>
      </c>
      <c r="F155" s="27" t="s">
        <v>149</v>
      </c>
      <c r="G155" s="27" t="s">
        <v>149</v>
      </c>
      <c r="H155" s="44">
        <v>0.66</v>
      </c>
      <c r="I155" s="44">
        <v>0.09</v>
      </c>
      <c r="J155" s="14"/>
    </row>
    <row r="156" spans="1:10">
      <c r="A156" s="20">
        <v>152</v>
      </c>
      <c r="B156" s="38" t="s">
        <v>362</v>
      </c>
      <c r="C156" s="44">
        <v>8.0000000000000002E-3</v>
      </c>
      <c r="D156" s="27" t="s">
        <v>149</v>
      </c>
      <c r="E156" s="44">
        <v>0.06</v>
      </c>
      <c r="F156" s="27" t="s">
        <v>149</v>
      </c>
      <c r="G156" s="44">
        <v>8.9999999999999993E-3</v>
      </c>
      <c r="H156" s="44">
        <v>0.65</v>
      </c>
      <c r="I156" s="44">
        <v>0.08</v>
      </c>
      <c r="J156" s="14"/>
    </row>
    <row r="157" spans="1:10">
      <c r="A157" s="20">
        <v>153</v>
      </c>
      <c r="B157" s="38" t="s">
        <v>363</v>
      </c>
      <c r="C157" s="44">
        <v>7.0000000000000007E-2</v>
      </c>
      <c r="D157" s="44">
        <v>4.0000000000000002E-4</v>
      </c>
      <c r="E157" s="27" t="s">
        <v>149</v>
      </c>
      <c r="F157" s="27" t="s">
        <v>149</v>
      </c>
      <c r="G157" s="27" t="s">
        <v>149</v>
      </c>
      <c r="H157" s="44">
        <v>0.55000000000000004</v>
      </c>
      <c r="I157" s="44">
        <v>0.08</v>
      </c>
      <c r="J157" s="14"/>
    </row>
    <row r="158" spans="1:10">
      <c r="A158" s="20">
        <v>154</v>
      </c>
      <c r="B158" s="38" t="s">
        <v>364</v>
      </c>
      <c r="C158" s="44">
        <v>7.0000000000000007E-2</v>
      </c>
      <c r="D158" s="27" t="s">
        <v>149</v>
      </c>
      <c r="E158" s="27" t="s">
        <v>149</v>
      </c>
      <c r="F158" s="27" t="s">
        <v>149</v>
      </c>
      <c r="G158" s="27" t="s">
        <v>149</v>
      </c>
      <c r="H158" s="44">
        <v>0.28000000000000003</v>
      </c>
      <c r="I158" s="44">
        <v>7.0000000000000007E-2</v>
      </c>
      <c r="J158" s="14"/>
    </row>
    <row r="159" spans="1:10">
      <c r="A159" s="20">
        <v>155</v>
      </c>
      <c r="B159" s="38" t="s">
        <v>365</v>
      </c>
      <c r="C159" s="44">
        <v>4.0000000000000001E-3</v>
      </c>
      <c r="D159" s="44">
        <v>0.05</v>
      </c>
      <c r="E159" s="27" t="s">
        <v>149</v>
      </c>
      <c r="F159" s="27" t="s">
        <v>149</v>
      </c>
      <c r="G159" s="27" t="s">
        <v>149</v>
      </c>
      <c r="H159" s="44">
        <v>0.4</v>
      </c>
      <c r="I159" s="44">
        <v>0.05</v>
      </c>
      <c r="J159" s="14"/>
    </row>
    <row r="160" spans="1:10">
      <c r="A160" s="20">
        <v>156</v>
      </c>
      <c r="B160" s="38" t="s">
        <v>366</v>
      </c>
      <c r="C160" s="44">
        <v>0.05</v>
      </c>
      <c r="D160" s="44">
        <v>1E-3</v>
      </c>
      <c r="E160" s="27" t="s">
        <v>149</v>
      </c>
      <c r="F160" s="27" t="s">
        <v>149</v>
      </c>
      <c r="G160" s="27" t="s">
        <v>149</v>
      </c>
      <c r="H160" s="44">
        <v>0.25</v>
      </c>
      <c r="I160" s="44">
        <v>0.05</v>
      </c>
      <c r="J160" s="14"/>
    </row>
    <row r="161" spans="1:10">
      <c r="A161" s="20">
        <v>157</v>
      </c>
      <c r="B161" s="38" t="s">
        <v>367</v>
      </c>
      <c r="C161" s="44">
        <v>0.05</v>
      </c>
      <c r="D161" s="27" t="s">
        <v>149</v>
      </c>
      <c r="E161" s="27" t="s">
        <v>149</v>
      </c>
      <c r="F161" s="27" t="s">
        <v>149</v>
      </c>
      <c r="G161" s="27" t="s">
        <v>149</v>
      </c>
      <c r="H161" s="44">
        <v>0.3</v>
      </c>
      <c r="I161" s="44">
        <v>0.05</v>
      </c>
      <c r="J161" s="14"/>
    </row>
    <row r="162" spans="1:10">
      <c r="A162" s="20">
        <v>158</v>
      </c>
      <c r="B162" s="38" t="s">
        <v>368</v>
      </c>
      <c r="C162" s="44">
        <v>0.03</v>
      </c>
      <c r="D162" s="27" t="s">
        <v>149</v>
      </c>
      <c r="E162" s="44">
        <v>8.9999999999999998E-4</v>
      </c>
      <c r="F162" s="27" t="s">
        <v>149</v>
      </c>
      <c r="G162" s="27" t="s">
        <v>149</v>
      </c>
      <c r="H162" s="44">
        <v>0.25</v>
      </c>
      <c r="I162" s="44">
        <v>0.03</v>
      </c>
      <c r="J162" s="14"/>
    </row>
    <row r="163" spans="1:10">
      <c r="A163" s="20">
        <v>159</v>
      </c>
      <c r="B163" s="38" t="s">
        <v>370</v>
      </c>
      <c r="C163" s="44">
        <v>0.01</v>
      </c>
      <c r="D163" s="27" t="s">
        <v>149</v>
      </c>
      <c r="E163" s="27" t="s">
        <v>149</v>
      </c>
      <c r="F163" s="27" t="s">
        <v>149</v>
      </c>
      <c r="G163" s="27" t="s">
        <v>149</v>
      </c>
      <c r="H163" s="44">
        <v>0.1</v>
      </c>
      <c r="I163" s="44">
        <v>0.01</v>
      </c>
      <c r="J163" s="14"/>
    </row>
    <row r="164" spans="1:10">
      <c r="A164" s="20">
        <v>160</v>
      </c>
      <c r="B164" s="38" t="s">
        <v>373</v>
      </c>
      <c r="C164" s="44">
        <v>0.01</v>
      </c>
      <c r="D164" s="27" t="s">
        <v>149</v>
      </c>
      <c r="E164" s="27" t="s">
        <v>149</v>
      </c>
      <c r="F164" s="27" t="s">
        <v>149</v>
      </c>
      <c r="G164" s="27" t="s">
        <v>149</v>
      </c>
      <c r="H164" s="44">
        <v>0.08</v>
      </c>
      <c r="I164" s="44">
        <v>0.01</v>
      </c>
      <c r="J164" s="14"/>
    </row>
    <row r="165" spans="1:10">
      <c r="A165" s="20">
        <v>161</v>
      </c>
      <c r="B165" s="38" t="s">
        <v>376</v>
      </c>
      <c r="C165" s="27" t="s">
        <v>149</v>
      </c>
      <c r="D165" s="27" t="s">
        <v>149</v>
      </c>
      <c r="E165" s="27" t="s">
        <v>149</v>
      </c>
      <c r="F165" s="27" t="s">
        <v>149</v>
      </c>
      <c r="G165" s="44">
        <v>6.0000000000000001E-3</v>
      </c>
      <c r="H165" s="44">
        <v>0.05</v>
      </c>
      <c r="I165" s="44">
        <v>6.0000000000000001E-3</v>
      </c>
      <c r="J165" s="14"/>
    </row>
    <row r="166" spans="1:10">
      <c r="A166" s="20">
        <v>162</v>
      </c>
      <c r="B166" s="38" t="s">
        <v>379</v>
      </c>
      <c r="C166" s="27" t="s">
        <v>149</v>
      </c>
      <c r="D166" s="27" t="s">
        <v>149</v>
      </c>
      <c r="E166" s="27" t="s">
        <v>149</v>
      </c>
      <c r="F166" s="27" t="s">
        <v>149</v>
      </c>
      <c r="G166" s="44">
        <v>6.0000000000000001E-3</v>
      </c>
      <c r="H166" s="44">
        <v>0.05</v>
      </c>
      <c r="I166" s="44">
        <v>6.0000000000000001E-3</v>
      </c>
      <c r="J166" s="14"/>
    </row>
    <row r="167" spans="1:10">
      <c r="A167" s="20">
        <v>163</v>
      </c>
      <c r="B167" s="38" t="s">
        <v>385</v>
      </c>
      <c r="C167" s="44">
        <v>5.0000000000000001E-3</v>
      </c>
      <c r="D167" s="27" t="s">
        <v>149</v>
      </c>
      <c r="E167" s="27" t="s">
        <v>149</v>
      </c>
      <c r="F167" s="27" t="s">
        <v>149</v>
      </c>
      <c r="G167" s="27" t="s">
        <v>149</v>
      </c>
      <c r="H167" s="44">
        <v>0.03</v>
      </c>
      <c r="I167" s="44">
        <v>5.0000000000000001E-3</v>
      </c>
      <c r="J167" s="14"/>
    </row>
    <row r="168" spans="1:10">
      <c r="A168" s="20">
        <v>164</v>
      </c>
      <c r="B168" s="38" t="s">
        <v>389</v>
      </c>
      <c r="C168" s="44">
        <v>0</v>
      </c>
      <c r="D168" s="27" t="s">
        <v>149</v>
      </c>
      <c r="E168" s="44">
        <v>5.0000000000000001E-3</v>
      </c>
      <c r="F168" s="27" t="s">
        <v>149</v>
      </c>
      <c r="G168" s="27" t="s">
        <v>149</v>
      </c>
      <c r="H168" s="44">
        <v>0.04</v>
      </c>
      <c r="I168" s="44">
        <v>5.0000000000000001E-3</v>
      </c>
      <c r="J168" s="14"/>
    </row>
    <row r="169" spans="1:10">
      <c r="A169" s="20">
        <v>165</v>
      </c>
      <c r="B169" s="38" t="s">
        <v>398</v>
      </c>
      <c r="C169" s="27" t="s">
        <v>149</v>
      </c>
      <c r="D169" s="27" t="s">
        <v>149</v>
      </c>
      <c r="E169" s="27" t="s">
        <v>149</v>
      </c>
      <c r="F169" s="27" t="s">
        <v>149</v>
      </c>
      <c r="G169" s="44">
        <v>3.0000000000000001E-3</v>
      </c>
      <c r="H169" s="44">
        <v>0.03</v>
      </c>
      <c r="I169" s="44">
        <v>3.0000000000000001E-3</v>
      </c>
      <c r="J169" s="14"/>
    </row>
    <row r="170" spans="1:10">
      <c r="A170" s="20">
        <v>166</v>
      </c>
      <c r="B170" s="38" t="s">
        <v>400</v>
      </c>
      <c r="C170" s="27" t="s">
        <v>149</v>
      </c>
      <c r="D170" s="27" t="s">
        <v>149</v>
      </c>
      <c r="E170" s="27" t="s">
        <v>149</v>
      </c>
      <c r="F170" s="44">
        <v>3.0000000000000001E-3</v>
      </c>
      <c r="G170" s="27" t="s">
        <v>149</v>
      </c>
      <c r="H170" s="44">
        <v>0.02</v>
      </c>
      <c r="I170" s="44">
        <v>3.0000000000000001E-3</v>
      </c>
      <c r="J170" s="14"/>
    </row>
    <row r="171" spans="1:10">
      <c r="A171" s="20">
        <v>167</v>
      </c>
      <c r="B171" s="38" t="s">
        <v>401</v>
      </c>
      <c r="C171" s="44">
        <v>3.0000000000000001E-3</v>
      </c>
      <c r="D171" s="27" t="s">
        <v>149</v>
      </c>
      <c r="E171" s="27" t="s">
        <v>149</v>
      </c>
      <c r="F171" s="27" t="s">
        <v>149</v>
      </c>
      <c r="G171" s="27" t="s">
        <v>149</v>
      </c>
      <c r="H171" s="44">
        <v>0.01</v>
      </c>
      <c r="I171" s="44">
        <v>3.0000000000000001E-3</v>
      </c>
      <c r="J171" s="14"/>
    </row>
    <row r="172" spans="1:10">
      <c r="A172" s="20">
        <v>168</v>
      </c>
      <c r="B172" s="38" t="s">
        <v>402</v>
      </c>
      <c r="C172" s="44">
        <v>2E-3</v>
      </c>
      <c r="D172" s="27" t="s">
        <v>149</v>
      </c>
      <c r="E172" s="27" t="s">
        <v>149</v>
      </c>
      <c r="F172" s="27" t="s">
        <v>149</v>
      </c>
      <c r="G172" s="27" t="s">
        <v>149</v>
      </c>
      <c r="H172" s="44">
        <v>0.02</v>
      </c>
      <c r="I172" s="44">
        <v>2E-3</v>
      </c>
      <c r="J172" s="14"/>
    </row>
    <row r="173" spans="1:10">
      <c r="A173" s="20">
        <v>169</v>
      </c>
      <c r="B173" s="38" t="s">
        <v>403</v>
      </c>
      <c r="C173" s="44">
        <v>2E-3</v>
      </c>
      <c r="D173" s="27" t="s">
        <v>149</v>
      </c>
      <c r="E173" s="27" t="s">
        <v>149</v>
      </c>
      <c r="F173" s="27" t="s">
        <v>149</v>
      </c>
      <c r="G173" s="27" t="s">
        <v>149</v>
      </c>
      <c r="H173" s="44">
        <v>0.01</v>
      </c>
      <c r="I173" s="44">
        <v>2E-3</v>
      </c>
      <c r="J173" s="14"/>
    </row>
    <row r="174" spans="1:10">
      <c r="A174" s="20">
        <v>170</v>
      </c>
      <c r="B174" s="38" t="s">
        <v>404</v>
      </c>
      <c r="C174" s="44">
        <v>2E-3</v>
      </c>
      <c r="D174" s="27" t="s">
        <v>149</v>
      </c>
      <c r="E174" s="27" t="s">
        <v>149</v>
      </c>
      <c r="F174" s="27" t="s">
        <v>149</v>
      </c>
      <c r="G174" s="27" t="s">
        <v>149</v>
      </c>
      <c r="H174" s="44">
        <v>0.01</v>
      </c>
      <c r="I174" s="44">
        <v>2E-3</v>
      </c>
      <c r="J174" s="14"/>
    </row>
    <row r="175" spans="1:10">
      <c r="A175" s="20">
        <v>171</v>
      </c>
      <c r="B175" s="38" t="s">
        <v>405</v>
      </c>
      <c r="C175" s="27" t="s">
        <v>149</v>
      </c>
      <c r="D175" s="27" t="s">
        <v>149</v>
      </c>
      <c r="E175" s="44">
        <v>1E-3</v>
      </c>
      <c r="F175" s="27" t="s">
        <v>149</v>
      </c>
      <c r="G175" s="27" t="s">
        <v>149</v>
      </c>
      <c r="H175" s="44">
        <v>0.01</v>
      </c>
      <c r="I175" s="44">
        <v>1E-3</v>
      </c>
      <c r="J175" s="14"/>
    </row>
    <row r="176" spans="1:10">
      <c r="A176" s="20">
        <v>172</v>
      </c>
      <c r="B176" s="38" t="s">
        <v>406</v>
      </c>
      <c r="C176" s="44">
        <v>1E-3</v>
      </c>
      <c r="D176" s="27" t="s">
        <v>149</v>
      </c>
      <c r="E176" s="44">
        <v>9.0000000000000006E-5</v>
      </c>
      <c r="F176" s="27" t="s">
        <v>149</v>
      </c>
      <c r="G176" s="27" t="s">
        <v>149</v>
      </c>
      <c r="H176" s="44">
        <v>8.9999999999999993E-3</v>
      </c>
      <c r="I176" s="44">
        <v>1E-3</v>
      </c>
      <c r="J176" s="14"/>
    </row>
    <row r="177" spans="1:10">
      <c r="A177" s="20">
        <v>173</v>
      </c>
      <c r="B177" s="38" t="s">
        <v>407</v>
      </c>
      <c r="C177" s="44">
        <v>8.0000000000000004E-4</v>
      </c>
      <c r="D177" s="27" t="s">
        <v>149</v>
      </c>
      <c r="E177" s="27" t="s">
        <v>149</v>
      </c>
      <c r="F177" s="27" t="s">
        <v>149</v>
      </c>
      <c r="G177" s="27" t="s">
        <v>149</v>
      </c>
      <c r="H177" s="44">
        <v>5.0000000000000001E-3</v>
      </c>
      <c r="I177" s="44">
        <v>8.0000000000000004E-4</v>
      </c>
      <c r="J177" s="14"/>
    </row>
    <row r="178" spans="1:10">
      <c r="A178" s="20">
        <v>174</v>
      </c>
      <c r="B178" s="38" t="s">
        <v>408</v>
      </c>
      <c r="C178" s="44">
        <v>4.0000000000000002E-4</v>
      </c>
      <c r="D178" s="27" t="s">
        <v>149</v>
      </c>
      <c r="E178" s="27" t="s">
        <v>149</v>
      </c>
      <c r="F178" s="44">
        <v>1E-4</v>
      </c>
      <c r="G178" s="27" t="s">
        <v>149</v>
      </c>
      <c r="H178" s="44">
        <v>4.0000000000000001E-3</v>
      </c>
      <c r="I178" s="44">
        <v>5.9999999999999995E-4</v>
      </c>
      <c r="J178" s="14"/>
    </row>
    <row r="179" spans="1:10">
      <c r="A179" s="20">
        <v>175</v>
      </c>
      <c r="B179" s="38" t="s">
        <v>409</v>
      </c>
      <c r="C179" s="27" t="s">
        <v>149</v>
      </c>
      <c r="D179" s="27" t="s">
        <v>149</v>
      </c>
      <c r="E179" s="27" t="s">
        <v>149</v>
      </c>
      <c r="F179" s="27" t="s">
        <v>149</v>
      </c>
      <c r="G179" s="44">
        <v>5.9999999999999995E-4</v>
      </c>
      <c r="H179" s="44">
        <v>5.0000000000000001E-3</v>
      </c>
      <c r="I179" s="44">
        <v>5.9999999999999995E-4</v>
      </c>
      <c r="J179" s="14"/>
    </row>
    <row r="180" spans="1:10">
      <c r="A180" s="20">
        <v>176</v>
      </c>
      <c r="B180" s="38" t="s">
        <v>410</v>
      </c>
      <c r="C180" s="27" t="s">
        <v>149</v>
      </c>
      <c r="D180" s="27" t="s">
        <v>149</v>
      </c>
      <c r="E180" s="44">
        <v>5.0000000000000001E-4</v>
      </c>
      <c r="F180" s="27" t="s">
        <v>149</v>
      </c>
      <c r="G180" s="27" t="s">
        <v>149</v>
      </c>
      <c r="H180" s="44">
        <v>4.0000000000000001E-3</v>
      </c>
      <c r="I180" s="44">
        <v>5.0000000000000001E-4</v>
      </c>
      <c r="J180" s="14"/>
    </row>
    <row r="181" spans="1:10">
      <c r="A181" s="20">
        <v>177</v>
      </c>
      <c r="B181" s="38" t="s">
        <v>411</v>
      </c>
      <c r="C181" s="44">
        <v>4.0000000000000002E-4</v>
      </c>
      <c r="D181" s="27" t="s">
        <v>149</v>
      </c>
      <c r="E181" s="27" t="s">
        <v>149</v>
      </c>
      <c r="F181" s="27" t="s">
        <v>149</v>
      </c>
      <c r="G181" s="27" t="s">
        <v>149</v>
      </c>
      <c r="H181" s="44">
        <v>3.0000000000000001E-3</v>
      </c>
      <c r="I181" s="44">
        <v>4.0000000000000002E-4</v>
      </c>
      <c r="J181" s="14"/>
    </row>
    <row r="182" spans="1:10">
      <c r="A182" s="20">
        <v>178</v>
      </c>
      <c r="B182" s="38" t="s">
        <v>412</v>
      </c>
      <c r="C182" s="44">
        <v>1.0000000000000001E-5</v>
      </c>
      <c r="D182" s="27" t="s">
        <v>149</v>
      </c>
      <c r="E182" s="27" t="s">
        <v>149</v>
      </c>
      <c r="F182" s="27" t="s">
        <v>149</v>
      </c>
      <c r="G182" s="27" t="s">
        <v>149</v>
      </c>
      <c r="H182" s="44">
        <v>1E-4</v>
      </c>
      <c r="I182" s="44">
        <v>1.0000000000000001E-5</v>
      </c>
      <c r="J182" s="14"/>
    </row>
    <row r="183" spans="1:10">
      <c r="A183" s="20">
        <v>179</v>
      </c>
      <c r="B183" s="38" t="s">
        <v>413</v>
      </c>
      <c r="C183" s="23">
        <v>6982.31</v>
      </c>
      <c r="D183" s="27" t="s">
        <v>149</v>
      </c>
      <c r="E183" s="27" t="s">
        <v>149</v>
      </c>
      <c r="F183" s="27" t="s">
        <v>149</v>
      </c>
      <c r="G183" s="27" t="s">
        <v>149</v>
      </c>
      <c r="H183" s="23">
        <v>30991.9</v>
      </c>
      <c r="I183" s="23">
        <v>6982.31</v>
      </c>
      <c r="J183" s="14"/>
    </row>
    <row r="184" spans="1:10">
      <c r="A184" s="20">
        <v>180</v>
      </c>
      <c r="B184" s="38" t="s">
        <v>414</v>
      </c>
      <c r="C184" s="23">
        <v>4684.25</v>
      </c>
      <c r="D184" s="27" t="s">
        <v>149</v>
      </c>
      <c r="E184" s="27" t="s">
        <v>149</v>
      </c>
      <c r="F184" s="27" t="s">
        <v>149</v>
      </c>
      <c r="G184" s="27" t="s">
        <v>149</v>
      </c>
      <c r="H184" s="23">
        <v>20383.66</v>
      </c>
      <c r="I184" s="23">
        <v>4684.25</v>
      </c>
      <c r="J184" s="14"/>
    </row>
    <row r="185" spans="1:10">
      <c r="A185" s="20">
        <v>181</v>
      </c>
      <c r="B185" s="38" t="s">
        <v>415</v>
      </c>
      <c r="C185" s="44">
        <v>0.06</v>
      </c>
      <c r="D185" s="27" t="s">
        <v>149</v>
      </c>
      <c r="E185" s="27" t="s">
        <v>149</v>
      </c>
      <c r="F185" s="27" t="s">
        <v>149</v>
      </c>
      <c r="G185" s="27" t="s">
        <v>149</v>
      </c>
      <c r="H185" s="44">
        <v>0.25</v>
      </c>
      <c r="I185" s="44">
        <v>0.06</v>
      </c>
      <c r="J185" s="14"/>
    </row>
    <row r="186" spans="1:10">
      <c r="A186" s="15"/>
      <c r="B186" s="38" t="s">
        <v>416</v>
      </c>
      <c r="C186" s="23">
        <v>573473.81000000006</v>
      </c>
      <c r="D186" s="23">
        <v>52345.55</v>
      </c>
      <c r="E186" s="23">
        <v>41324.78</v>
      </c>
      <c r="F186" s="23">
        <v>53058.03</v>
      </c>
      <c r="G186" s="23">
        <v>57220.72</v>
      </c>
      <c r="H186" s="27" t="s">
        <v>417</v>
      </c>
      <c r="I186" s="23">
        <v>777422.9</v>
      </c>
      <c r="J186" s="14"/>
    </row>
    <row r="187" spans="1:10">
      <c r="A187" s="20">
        <v>182</v>
      </c>
      <c r="B187" s="38" t="s">
        <v>418</v>
      </c>
      <c r="C187" s="44">
        <v>134.37</v>
      </c>
      <c r="D187" s="44">
        <v>0</v>
      </c>
      <c r="E187" s="44">
        <v>0</v>
      </c>
      <c r="F187" s="44">
        <v>0</v>
      </c>
      <c r="G187" s="44">
        <v>0</v>
      </c>
      <c r="H187" s="44">
        <v>589.15</v>
      </c>
      <c r="I187" s="44">
        <v>134.37</v>
      </c>
      <c r="J187" s="14"/>
    </row>
    <row r="188" spans="1:10">
      <c r="A188" s="15"/>
      <c r="B188" s="16" t="s">
        <v>419</v>
      </c>
      <c r="C188" s="54">
        <v>573608.18000000005</v>
      </c>
      <c r="D188" s="54">
        <v>52345.55</v>
      </c>
      <c r="E188" s="54">
        <v>41324.78</v>
      </c>
      <c r="F188" s="54">
        <v>53058.03</v>
      </c>
      <c r="G188" s="54">
        <v>57220.72</v>
      </c>
      <c r="H188" s="18" t="s">
        <v>420</v>
      </c>
      <c r="I188" s="54">
        <v>777557.27</v>
      </c>
      <c r="J188" s="14"/>
    </row>
    <row r="189" spans="1:10">
      <c r="A189" s="78" t="s">
        <v>421</v>
      </c>
      <c r="B189" s="74"/>
      <c r="C189" s="74"/>
      <c r="D189" s="74"/>
      <c r="E189" s="74"/>
      <c r="F189" s="74"/>
      <c r="G189" s="74"/>
      <c r="H189" s="74"/>
      <c r="I189" s="74"/>
      <c r="J189" s="74"/>
    </row>
    <row r="193" spans="1:1">
      <c r="A193" s="69" t="s">
        <v>422</v>
      </c>
    </row>
    <row r="194" spans="1:1">
      <c r="A194" s="69" t="s">
        <v>423</v>
      </c>
    </row>
    <row r="195" spans="1:1">
      <c r="A195" s="69" t="s">
        <v>424</v>
      </c>
    </row>
    <row r="196" spans="1:1">
      <c r="A196" s="69" t="s">
        <v>425</v>
      </c>
    </row>
    <row r="197" spans="1:1">
      <c r="A197" s="69" t="s">
        <v>426</v>
      </c>
    </row>
    <row r="198" spans="1:1">
      <c r="A198" s="69" t="s">
        <v>427</v>
      </c>
    </row>
    <row r="199" spans="1:1">
      <c r="A199" s="69" t="s">
        <v>428</v>
      </c>
    </row>
    <row r="200" spans="1:1">
      <c r="A200" s="69" t="s">
        <v>429</v>
      </c>
    </row>
    <row r="201" spans="1:1">
      <c r="A201" s="69" t="s">
        <v>430</v>
      </c>
    </row>
  </sheetData>
  <mergeCells count="4">
    <mergeCell ref="A1:J1"/>
    <mergeCell ref="A2:J2"/>
    <mergeCell ref="H3:I3"/>
    <mergeCell ref="A189:J189"/>
  </mergeCell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G34"/>
  <sheetViews>
    <sheetView workbookViewId="0"/>
  </sheetViews>
  <sheetFormatPr defaultColWidth="12.5703125" defaultRowHeight="15" customHeight="1"/>
  <cols>
    <col min="1" max="1" width="32.42578125" customWidth="1"/>
    <col min="2" max="2" width="13.28515625" customWidth="1"/>
    <col min="3" max="3" width="16.28515625" customWidth="1"/>
    <col min="5" max="5" width="17.42578125" customWidth="1"/>
    <col min="7" max="7" width="15" customWidth="1"/>
  </cols>
  <sheetData>
    <row r="1" spans="1:7">
      <c r="A1" s="79" t="s">
        <v>279</v>
      </c>
      <c r="B1" s="80"/>
      <c r="C1" s="80"/>
      <c r="D1" s="80"/>
      <c r="E1" s="80"/>
      <c r="F1" s="80"/>
      <c r="G1" s="80"/>
    </row>
    <row r="2" spans="1:7">
      <c r="A2" s="81" t="s">
        <v>282</v>
      </c>
      <c r="B2" s="83" t="s">
        <v>284</v>
      </c>
      <c r="C2" s="77"/>
      <c r="D2" s="83" t="s">
        <v>285</v>
      </c>
      <c r="E2" s="77"/>
      <c r="F2" s="83" t="s">
        <v>287</v>
      </c>
      <c r="G2" s="77"/>
    </row>
    <row r="3" spans="1:7">
      <c r="A3" s="82"/>
      <c r="B3" s="18" t="s">
        <v>289</v>
      </c>
      <c r="C3" s="18" t="s">
        <v>290</v>
      </c>
      <c r="D3" s="18" t="s">
        <v>289</v>
      </c>
      <c r="E3" s="18" t="s">
        <v>290</v>
      </c>
      <c r="F3" s="18" t="s">
        <v>289</v>
      </c>
      <c r="G3" s="18" t="s">
        <v>290</v>
      </c>
    </row>
    <row r="4" spans="1:7">
      <c r="A4" s="20">
        <v>2000</v>
      </c>
      <c r="B4" s="50">
        <v>501.52</v>
      </c>
      <c r="C4" s="50">
        <v>116.63</v>
      </c>
      <c r="D4" s="23">
        <v>3568.64</v>
      </c>
      <c r="E4" s="44">
        <v>829.92</v>
      </c>
      <c r="F4" s="51">
        <v>1799.31</v>
      </c>
      <c r="G4" s="50">
        <v>418.44</v>
      </c>
    </row>
    <row r="5" spans="1:7">
      <c r="A5" s="20">
        <v>2001</v>
      </c>
      <c r="B5" s="50">
        <v>160.66</v>
      </c>
      <c r="C5" s="50">
        <v>35.700000000000003</v>
      </c>
      <c r="D5" s="23">
        <v>7503.61</v>
      </c>
      <c r="E5" s="23">
        <v>1667.47</v>
      </c>
      <c r="F5" s="51">
        <v>1654.13</v>
      </c>
      <c r="G5" s="50">
        <v>367.59</v>
      </c>
    </row>
    <row r="6" spans="1:7">
      <c r="A6" s="20">
        <v>2002</v>
      </c>
      <c r="B6" s="50">
        <v>226.23</v>
      </c>
      <c r="C6" s="50">
        <v>47.13</v>
      </c>
      <c r="D6" s="23">
        <v>7284.46</v>
      </c>
      <c r="E6" s="23">
        <v>1517.6</v>
      </c>
      <c r="F6" s="51">
        <v>1357.2</v>
      </c>
      <c r="G6" s="50">
        <v>282.75</v>
      </c>
    </row>
    <row r="7" spans="1:7">
      <c r="A7" s="20">
        <v>2003</v>
      </c>
      <c r="B7" s="50">
        <v>168.05</v>
      </c>
      <c r="C7" s="50">
        <v>36.53</v>
      </c>
      <c r="D7" s="23">
        <v>2585.9299999999998</v>
      </c>
      <c r="E7" s="44">
        <v>562.16</v>
      </c>
      <c r="F7" s="51">
        <v>1904.09</v>
      </c>
      <c r="G7" s="50">
        <v>413.93</v>
      </c>
    </row>
    <row r="8" spans="1:7">
      <c r="A8" s="20">
        <v>2004</v>
      </c>
      <c r="B8" s="50">
        <v>285.5</v>
      </c>
      <c r="C8" s="50">
        <v>62.07</v>
      </c>
      <c r="D8" s="23">
        <v>4616.21</v>
      </c>
      <c r="E8" s="23">
        <v>1003.52</v>
      </c>
      <c r="F8" s="51">
        <v>2979.17</v>
      </c>
      <c r="G8" s="50">
        <v>647.65</v>
      </c>
    </row>
    <row r="9" spans="1:7">
      <c r="A9" s="20">
        <v>2005</v>
      </c>
      <c r="B9" s="51">
        <v>1416.9</v>
      </c>
      <c r="C9" s="50">
        <v>321.48</v>
      </c>
      <c r="D9" s="23">
        <v>9407.83</v>
      </c>
      <c r="E9" s="23">
        <v>2115.19</v>
      </c>
      <c r="F9" s="51">
        <v>2070.0500000000002</v>
      </c>
      <c r="G9" s="50">
        <v>472.15</v>
      </c>
    </row>
    <row r="10" spans="1:7">
      <c r="A10" s="20">
        <v>2006</v>
      </c>
      <c r="B10" s="51">
        <v>2853.2</v>
      </c>
      <c r="C10" s="50">
        <v>620.66</v>
      </c>
      <c r="D10" s="23">
        <v>22220.75</v>
      </c>
      <c r="E10" s="23">
        <v>4883.54</v>
      </c>
      <c r="F10" s="51">
        <v>3320.38</v>
      </c>
      <c r="G10" s="50">
        <v>732.34</v>
      </c>
    </row>
    <row r="11" spans="1:7">
      <c r="A11" s="20">
        <v>2007</v>
      </c>
      <c r="B11" s="51">
        <v>5830.61</v>
      </c>
      <c r="C11" s="51">
        <v>1455.72</v>
      </c>
      <c r="D11" s="23">
        <v>31943.7</v>
      </c>
      <c r="E11" s="23">
        <v>7711.66</v>
      </c>
      <c r="F11" s="51">
        <v>3638.37</v>
      </c>
      <c r="G11" s="50">
        <v>875.5</v>
      </c>
    </row>
    <row r="12" spans="1:7">
      <c r="A12" s="20">
        <v>2008</v>
      </c>
      <c r="B12" s="51">
        <v>15775.86</v>
      </c>
      <c r="C12" s="51">
        <v>3763.49</v>
      </c>
      <c r="D12" s="23">
        <v>59858.65</v>
      </c>
      <c r="E12" s="23">
        <v>14138.01</v>
      </c>
      <c r="F12" s="51">
        <v>7541.98</v>
      </c>
      <c r="G12" s="51">
        <v>1797.18</v>
      </c>
    </row>
    <row r="13" spans="1:7">
      <c r="A13" s="20">
        <v>2009</v>
      </c>
      <c r="B13" s="51">
        <v>14826.24</v>
      </c>
      <c r="C13" s="51">
        <v>3059.54</v>
      </c>
      <c r="D13" s="23">
        <v>56012.89</v>
      </c>
      <c r="E13" s="23">
        <v>11536.23</v>
      </c>
      <c r="F13" s="51">
        <v>9873.06</v>
      </c>
      <c r="G13" s="51">
        <v>2051.0100000000002</v>
      </c>
    </row>
    <row r="14" spans="1:7">
      <c r="A14" s="20">
        <v>2010</v>
      </c>
      <c r="B14" s="51">
        <v>9675.7800000000007</v>
      </c>
      <c r="C14" s="51">
        <v>2121.3200000000002</v>
      </c>
      <c r="D14" s="23">
        <v>32940</v>
      </c>
      <c r="E14" s="23">
        <v>7207.85</v>
      </c>
      <c r="F14" s="51">
        <v>6482.4</v>
      </c>
      <c r="G14" s="51">
        <v>1414.19</v>
      </c>
    </row>
    <row r="15" spans="1:7">
      <c r="A15" s="20">
        <v>2011</v>
      </c>
      <c r="B15" s="51">
        <v>19596.97</v>
      </c>
      <c r="C15" s="51">
        <v>4255.09</v>
      </c>
      <c r="D15" s="23">
        <v>43779.17</v>
      </c>
      <c r="E15" s="23">
        <v>9485.16</v>
      </c>
      <c r="F15" s="51">
        <v>4712.78</v>
      </c>
      <c r="G15" s="51">
        <v>1000.08</v>
      </c>
    </row>
    <row r="16" spans="1:7">
      <c r="A16" s="20">
        <v>2012</v>
      </c>
      <c r="B16" s="51">
        <v>15242.18</v>
      </c>
      <c r="C16" s="51">
        <v>2897.2</v>
      </c>
      <c r="D16" s="23">
        <v>49141.88</v>
      </c>
      <c r="E16" s="23">
        <v>9150.64</v>
      </c>
      <c r="F16" s="51">
        <v>3383.29</v>
      </c>
      <c r="G16" s="50">
        <v>639.09</v>
      </c>
    </row>
    <row r="17" spans="1:7">
      <c r="A17" s="20">
        <v>2013</v>
      </c>
      <c r="B17" s="51">
        <v>22211.63</v>
      </c>
      <c r="C17" s="51">
        <v>3874.14</v>
      </c>
      <c r="D17" s="23">
        <v>33129.050000000003</v>
      </c>
      <c r="E17" s="23">
        <v>5722.39</v>
      </c>
      <c r="F17" s="51">
        <v>4478.18</v>
      </c>
      <c r="G17" s="50">
        <v>771.9</v>
      </c>
    </row>
    <row r="18" spans="1:7">
      <c r="A18" s="20">
        <v>2014</v>
      </c>
      <c r="B18" s="51">
        <v>43286.11</v>
      </c>
      <c r="C18" s="51">
        <v>7092.38</v>
      </c>
      <c r="D18" s="23">
        <v>42945.67</v>
      </c>
      <c r="E18" s="23">
        <v>7073.12</v>
      </c>
      <c r="F18" s="51">
        <v>10147.61</v>
      </c>
      <c r="G18" s="51">
        <v>1663.45</v>
      </c>
    </row>
    <row r="19" spans="1:7">
      <c r="A19" s="20">
        <v>2015</v>
      </c>
      <c r="B19" s="51">
        <v>86299.09</v>
      </c>
      <c r="C19" s="51">
        <v>13414.32</v>
      </c>
      <c r="D19" s="23">
        <v>51605.87</v>
      </c>
      <c r="E19" s="23">
        <v>8049.56</v>
      </c>
      <c r="F19" s="51">
        <v>25242</v>
      </c>
      <c r="G19" s="51">
        <v>3855.07</v>
      </c>
    </row>
    <row r="20" spans="1:7">
      <c r="A20" s="20">
        <v>2016</v>
      </c>
      <c r="B20" s="51">
        <v>65973.58</v>
      </c>
      <c r="C20" s="51">
        <v>9822.18</v>
      </c>
      <c r="D20" s="27" t="s">
        <v>317</v>
      </c>
      <c r="E20" s="23">
        <v>15069.46</v>
      </c>
      <c r="F20" s="51">
        <v>17602.75</v>
      </c>
      <c r="G20" s="51">
        <v>2621.2199999999998</v>
      </c>
    </row>
    <row r="21" spans="1:7">
      <c r="A21" s="20">
        <v>2017</v>
      </c>
      <c r="B21" s="51">
        <v>70109.009999999995</v>
      </c>
      <c r="C21" s="51">
        <v>10808.82</v>
      </c>
      <c r="D21" s="27" t="s">
        <v>318</v>
      </c>
      <c r="E21" s="23">
        <v>16256.73</v>
      </c>
      <c r="F21" s="51">
        <v>14188.61</v>
      </c>
      <c r="G21" s="51">
        <v>2183.16</v>
      </c>
    </row>
    <row r="22" spans="1:7">
      <c r="A22" s="20">
        <v>2018</v>
      </c>
      <c r="B22" s="51">
        <v>108627.3</v>
      </c>
      <c r="C22" s="51">
        <v>15943.36</v>
      </c>
      <c r="D22" s="23">
        <v>59346.16</v>
      </c>
      <c r="E22" s="23">
        <v>8615.61</v>
      </c>
      <c r="F22" s="51">
        <v>18991.099999999999</v>
      </c>
      <c r="G22" s="51">
        <v>2692.58</v>
      </c>
    </row>
    <row r="23" spans="1:7">
      <c r="A23" s="20">
        <v>2019</v>
      </c>
      <c r="B23" s="51">
        <v>104758.49</v>
      </c>
      <c r="C23" s="51">
        <v>14904.18</v>
      </c>
      <c r="D23" s="23">
        <v>66626.02</v>
      </c>
      <c r="E23" s="23">
        <v>9516.61</v>
      </c>
      <c r="F23" s="51">
        <v>25202.15</v>
      </c>
      <c r="G23" s="51">
        <v>3589.88</v>
      </c>
    </row>
    <row r="24" spans="1:7">
      <c r="A24" s="20">
        <v>2020</v>
      </c>
      <c r="B24" s="51">
        <v>138553.14000000001</v>
      </c>
      <c r="C24" s="51">
        <v>18735.439999999999</v>
      </c>
      <c r="D24" s="23">
        <v>31563.1</v>
      </c>
      <c r="E24" s="23">
        <v>4260.71</v>
      </c>
      <c r="F24" s="51">
        <v>105501.14</v>
      </c>
      <c r="G24" s="51">
        <v>14257.8</v>
      </c>
    </row>
    <row r="25" spans="1:7">
      <c r="A25" s="20">
        <v>2021</v>
      </c>
      <c r="B25" s="51">
        <v>99195.87</v>
      </c>
      <c r="C25" s="51">
        <v>13392</v>
      </c>
      <c r="D25" s="23">
        <v>64572.28</v>
      </c>
      <c r="E25" s="23">
        <v>8744.23</v>
      </c>
      <c r="F25" s="51">
        <v>63063.62</v>
      </c>
      <c r="G25" s="51">
        <v>8517.81</v>
      </c>
    </row>
    <row r="26" spans="1:7">
      <c r="A26" s="20">
        <v>2022</v>
      </c>
      <c r="B26" s="51">
        <v>134913.85999999999</v>
      </c>
      <c r="C26" s="51">
        <v>17265.57</v>
      </c>
      <c r="D26" s="23">
        <v>58498.559999999998</v>
      </c>
      <c r="E26" s="23">
        <v>7543.24</v>
      </c>
      <c r="F26" s="51">
        <v>62431.85</v>
      </c>
      <c r="G26" s="51">
        <v>7983.22</v>
      </c>
    </row>
    <row r="27" spans="1:7">
      <c r="A27" s="20">
        <v>2023</v>
      </c>
      <c r="B27" s="51">
        <v>95419.27</v>
      </c>
      <c r="C27" s="51">
        <v>11568.46</v>
      </c>
      <c r="D27" s="23">
        <v>69960.61</v>
      </c>
      <c r="E27" s="23">
        <v>8444.6200000000008</v>
      </c>
      <c r="F27" s="51">
        <v>32381.9</v>
      </c>
      <c r="G27" s="51">
        <v>3922.92</v>
      </c>
    </row>
    <row r="28" spans="1:7">
      <c r="A28" s="20">
        <v>2024</v>
      </c>
      <c r="B28" s="51">
        <v>136547.29999999999</v>
      </c>
      <c r="C28" s="51">
        <v>16310.16</v>
      </c>
      <c r="D28" s="23">
        <v>66077.210000000006</v>
      </c>
      <c r="E28" s="23">
        <v>7892.58</v>
      </c>
      <c r="F28" s="51">
        <v>49301.27</v>
      </c>
      <c r="G28" s="51">
        <v>5900.74</v>
      </c>
    </row>
    <row r="29" spans="1:7">
      <c r="A29" s="20">
        <v>2025</v>
      </c>
      <c r="B29" s="51">
        <v>179870.39</v>
      </c>
      <c r="C29" s="51">
        <v>20615.52</v>
      </c>
      <c r="D29" s="23">
        <v>53931.24</v>
      </c>
      <c r="E29" s="23">
        <v>6210.3</v>
      </c>
      <c r="F29" s="51">
        <v>82342.850000000006</v>
      </c>
      <c r="G29" s="51">
        <v>9527.2900000000009</v>
      </c>
    </row>
    <row r="30" spans="1:7">
      <c r="A30" s="53" t="s">
        <v>326</v>
      </c>
      <c r="B30" s="54">
        <v>772330.74</v>
      </c>
      <c r="C30" s="54">
        <v>192539.09</v>
      </c>
      <c r="D30" s="18" t="s">
        <v>83</v>
      </c>
      <c r="E30" s="54">
        <v>185208.11</v>
      </c>
      <c r="F30" s="54">
        <v>561591.24</v>
      </c>
      <c r="G30" s="54">
        <v>78598.94</v>
      </c>
    </row>
    <row r="33" spans="1:1" ht="15" customHeight="1">
      <c r="A33" s="55" t="s">
        <v>328</v>
      </c>
    </row>
    <row r="34" spans="1:1" ht="15" customHeight="1">
      <c r="A34" s="56" t="s">
        <v>330</v>
      </c>
    </row>
  </sheetData>
  <mergeCells count="5">
    <mergeCell ref="A1:G1"/>
    <mergeCell ref="A2:A3"/>
    <mergeCell ref="B2:C2"/>
    <mergeCell ref="D2:E2"/>
    <mergeCell ref="F2:G2"/>
  </mergeCells>
  <pageMargins left="0.7" right="0.7" top="0.75" bottom="0.75" header="0" footer="0"/>
  <pageSetup orientation="landscape"/>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C1000"/>
  <sheetViews>
    <sheetView workbookViewId="0"/>
  </sheetViews>
  <sheetFormatPr defaultColWidth="12.5703125" defaultRowHeight="15" customHeight="1"/>
  <cols>
    <col min="1" max="1" width="13.42578125" customWidth="1"/>
    <col min="2" max="2" width="12.28515625" customWidth="1"/>
    <col min="3" max="3" width="9.85546875" customWidth="1"/>
    <col min="4" max="4" width="17.7109375" customWidth="1"/>
    <col min="5" max="5" width="19.5703125" customWidth="1"/>
    <col min="6" max="29" width="11.42578125" customWidth="1"/>
  </cols>
  <sheetData>
    <row r="1" spans="1:29">
      <c r="A1" s="49" t="s">
        <v>232</v>
      </c>
      <c r="B1" s="49" t="s">
        <v>233</v>
      </c>
      <c r="C1" s="49" t="s">
        <v>234</v>
      </c>
      <c r="D1" s="49" t="s">
        <v>236</v>
      </c>
      <c r="E1" s="49" t="s">
        <v>237</v>
      </c>
      <c r="F1" s="49" t="s">
        <v>238</v>
      </c>
      <c r="G1" s="49" t="s">
        <v>239</v>
      </c>
      <c r="H1" s="49" t="s">
        <v>240</v>
      </c>
      <c r="I1" s="49" t="s">
        <v>241</v>
      </c>
      <c r="J1" s="49" t="s">
        <v>242</v>
      </c>
      <c r="K1" s="49" t="s">
        <v>243</v>
      </c>
      <c r="L1" s="49" t="s">
        <v>244</v>
      </c>
      <c r="M1" s="49" t="s">
        <v>245</v>
      </c>
      <c r="N1" s="49" t="s">
        <v>246</v>
      </c>
      <c r="O1" s="49" t="s">
        <v>247</v>
      </c>
      <c r="P1" s="49" t="s">
        <v>248</v>
      </c>
      <c r="Q1" s="49" t="s">
        <v>249</v>
      </c>
      <c r="R1" s="49" t="s">
        <v>250</v>
      </c>
      <c r="S1" s="49" t="s">
        <v>251</v>
      </c>
      <c r="T1" s="49" t="s">
        <v>252</v>
      </c>
      <c r="U1" s="49" t="s">
        <v>253</v>
      </c>
      <c r="V1" s="49" t="s">
        <v>254</v>
      </c>
      <c r="W1" s="49" t="s">
        <v>255</v>
      </c>
      <c r="X1" s="49" t="s">
        <v>256</v>
      </c>
      <c r="Y1" s="49" t="s">
        <v>257</v>
      </c>
      <c r="Z1" s="49" t="s">
        <v>258</v>
      </c>
      <c r="AA1" s="49" t="s">
        <v>259</v>
      </c>
      <c r="AB1" s="49" t="s">
        <v>260</v>
      </c>
      <c r="AC1" s="49" t="s">
        <v>261</v>
      </c>
    </row>
    <row r="2" spans="1:29">
      <c r="A2" s="49" t="s">
        <v>35</v>
      </c>
      <c r="B2" s="49" t="s">
        <v>68</v>
      </c>
      <c r="C2" s="49" t="s">
        <v>263</v>
      </c>
      <c r="D2" s="49" t="s">
        <v>264</v>
      </c>
      <c r="E2" s="49" t="s">
        <v>265</v>
      </c>
      <c r="F2" s="49">
        <v>4477.2400000000007</v>
      </c>
      <c r="G2" s="49">
        <v>5120.7890000000007</v>
      </c>
      <c r="H2" s="49">
        <v>3598.674</v>
      </c>
      <c r="I2" s="49">
        <v>6146.8040000000001</v>
      </c>
      <c r="J2" s="49">
        <v>6635.4800000000005</v>
      </c>
      <c r="K2" s="49">
        <v>7837.6080000000002</v>
      </c>
      <c r="L2" s="49">
        <v>8024.9299999999994</v>
      </c>
      <c r="M2" s="49">
        <v>12819.191000000001</v>
      </c>
      <c r="N2" s="49">
        <v>16627.195999999996</v>
      </c>
      <c r="O2" s="49">
        <v>23692.527999999995</v>
      </c>
      <c r="P2" s="49">
        <v>36284.146000000001</v>
      </c>
      <c r="Q2" s="49">
        <v>47822.427000000011</v>
      </c>
      <c r="R2" s="49">
        <v>52397.148999999998</v>
      </c>
      <c r="S2" s="49">
        <v>58301.392</v>
      </c>
      <c r="T2" s="49">
        <v>61584.799000000006</v>
      </c>
      <c r="U2" s="49">
        <v>59018.726999999999</v>
      </c>
      <c r="V2" s="49">
        <v>55971.554999999993</v>
      </c>
      <c r="W2" s="49">
        <v>67572.002845324692</v>
      </c>
      <c r="X2" s="49">
        <v>165869.81956100001</v>
      </c>
      <c r="Y2" s="49">
        <v>179103.45966537332</v>
      </c>
      <c r="Z2" s="49">
        <v>95031.517679459212</v>
      </c>
      <c r="AA2" s="49">
        <v>134887.8820441782</v>
      </c>
      <c r="AB2" s="49">
        <v>161537.49947200002</v>
      </c>
      <c r="AC2" s="49">
        <v>71379.334107000002</v>
      </c>
    </row>
    <row r="3" spans="1:29">
      <c r="A3" s="49" t="s">
        <v>35</v>
      </c>
      <c r="B3" s="49" t="s">
        <v>68</v>
      </c>
      <c r="C3" s="49" t="s">
        <v>263</v>
      </c>
      <c r="D3" s="49" t="s">
        <v>266</v>
      </c>
      <c r="E3" s="49" t="s">
        <v>265</v>
      </c>
      <c r="F3" s="49">
        <v>292394.86699999962</v>
      </c>
      <c r="G3" s="49">
        <v>329847.54100000049</v>
      </c>
      <c r="H3" s="49">
        <v>320038.15599999984</v>
      </c>
      <c r="I3" s="49">
        <v>416739.77700000012</v>
      </c>
      <c r="J3" s="49">
        <v>587495.07799999975</v>
      </c>
      <c r="K3" s="49">
        <v>833078.71600000153</v>
      </c>
      <c r="L3" s="49">
        <v>1008043.0269999994</v>
      </c>
      <c r="M3" s="49">
        <v>1196980.1090000011</v>
      </c>
      <c r="N3" s="49">
        <v>1348513.6280000012</v>
      </c>
      <c r="O3" s="49">
        <v>1234523.5950000018</v>
      </c>
      <c r="P3" s="49">
        <v>1697534.9530000009</v>
      </c>
      <c r="Q3" s="49">
        <v>2082710.1829999976</v>
      </c>
      <c r="R3" s="49">
        <v>2603297.5960000013</v>
      </c>
      <c r="S3" s="49">
        <v>2775387.2599999993</v>
      </c>
      <c r="T3" s="49">
        <v>3265732.5510000009</v>
      </c>
      <c r="U3" s="49">
        <v>2915630.8270000005</v>
      </c>
      <c r="V3" s="49">
        <v>2356943.0289999992</v>
      </c>
      <c r="W3" s="49">
        <v>2998813.7185613136</v>
      </c>
      <c r="X3" s="49">
        <v>4699730.5123979961</v>
      </c>
      <c r="Y3" s="49">
        <v>4271723.9782091482</v>
      </c>
      <c r="Z3" s="49">
        <v>3462174.0046182107</v>
      </c>
      <c r="AA3" s="49">
        <v>6280381.9128582301</v>
      </c>
      <c r="AB3" s="49">
        <v>6040855.345477012</v>
      </c>
      <c r="AC3" s="49">
        <v>2951493.7368690036</v>
      </c>
    </row>
    <row r="4" spans="1:29">
      <c r="A4" s="49" t="s">
        <v>35</v>
      </c>
      <c r="B4" s="49" t="s">
        <v>68</v>
      </c>
      <c r="C4" s="49" t="s">
        <v>263</v>
      </c>
      <c r="D4" s="49" t="s">
        <v>269</v>
      </c>
      <c r="E4" s="49" t="s">
        <v>265</v>
      </c>
      <c r="F4" s="49">
        <v>61970.61299999999</v>
      </c>
      <c r="G4" s="49">
        <v>56558.399999999987</v>
      </c>
      <c r="H4" s="49">
        <v>66109.118000000002</v>
      </c>
      <c r="I4" s="49">
        <v>83665.39999999998</v>
      </c>
      <c r="J4" s="49">
        <v>104885.41499999999</v>
      </c>
      <c r="K4" s="49">
        <v>153567.00400000002</v>
      </c>
      <c r="L4" s="49">
        <v>203785.82</v>
      </c>
      <c r="M4" s="49">
        <v>257972.22900000002</v>
      </c>
      <c r="N4" s="49">
        <v>314177.48199999996</v>
      </c>
      <c r="O4" s="49">
        <v>360382.359</v>
      </c>
      <c r="P4" s="49">
        <v>392121.79100000003</v>
      </c>
      <c r="Q4" s="49">
        <v>396307.83100000001</v>
      </c>
      <c r="R4" s="49">
        <v>416036.36900000001</v>
      </c>
      <c r="S4" s="49">
        <v>348669.42199999996</v>
      </c>
      <c r="T4" s="49">
        <v>373866.641</v>
      </c>
      <c r="U4" s="49">
        <v>368723.87299999996</v>
      </c>
      <c r="V4" s="49">
        <v>392771.69900000002</v>
      </c>
      <c r="W4" s="49">
        <v>464635.00544225675</v>
      </c>
      <c r="X4" s="49">
        <v>808621.87204499997</v>
      </c>
      <c r="Y4" s="49">
        <v>981110.17646449036</v>
      </c>
      <c r="Z4" s="49">
        <v>790600.04527480796</v>
      </c>
      <c r="AA4" s="49">
        <v>1044521.4009558761</v>
      </c>
      <c r="AB4" s="49">
        <v>1228261.556898</v>
      </c>
      <c r="AC4" s="49">
        <v>550272.42346299998</v>
      </c>
    </row>
    <row r="5" spans="1:29">
      <c r="A5" s="49" t="s">
        <v>35</v>
      </c>
      <c r="B5" s="49" t="s">
        <v>68</v>
      </c>
      <c r="C5" s="49" t="s">
        <v>263</v>
      </c>
      <c r="D5" s="49" t="s">
        <v>271</v>
      </c>
      <c r="E5" s="49" t="s">
        <v>265</v>
      </c>
      <c r="F5" s="49">
        <v>2452.0450000000001</v>
      </c>
      <c r="G5" s="49">
        <v>1142.6590000000001</v>
      </c>
      <c r="H5" s="49">
        <v>1336.0849999999998</v>
      </c>
      <c r="I5" s="49">
        <v>498.65100000000001</v>
      </c>
      <c r="J5" s="49">
        <v>1936.913</v>
      </c>
      <c r="K5" s="49">
        <v>722.90200000000004</v>
      </c>
      <c r="L5" s="49">
        <v>1113.752</v>
      </c>
      <c r="M5" s="49">
        <v>1914.617</v>
      </c>
      <c r="N5" s="49">
        <v>2444.8980000000001</v>
      </c>
      <c r="O5" s="49">
        <v>1512.0149999999999</v>
      </c>
      <c r="P5" s="49">
        <v>2226.7200000000003</v>
      </c>
      <c r="Q5" s="49">
        <v>6486.0480000000007</v>
      </c>
      <c r="R5" s="49">
        <v>3889.5619999999999</v>
      </c>
      <c r="S5" s="49">
        <v>1518.8510000000001</v>
      </c>
      <c r="T5" s="49">
        <v>2589.37</v>
      </c>
      <c r="U5" s="49">
        <v>4592.0519999999997</v>
      </c>
      <c r="V5" s="49">
        <v>5775.5789999999997</v>
      </c>
      <c r="W5" s="49">
        <v>5579.7220317812398</v>
      </c>
      <c r="X5" s="49">
        <v>11801.776903000002</v>
      </c>
      <c r="Y5" s="49">
        <v>17052.6318628523</v>
      </c>
      <c r="Z5" s="49">
        <v>11254.384797304499</v>
      </c>
      <c r="AA5" s="49">
        <v>21682.618653178852</v>
      </c>
      <c r="AB5" s="49">
        <v>24731.373750000002</v>
      </c>
      <c r="AC5" s="49">
        <v>807.91678899999999</v>
      </c>
    </row>
    <row r="6" spans="1:29">
      <c r="A6" s="49" t="s">
        <v>35</v>
      </c>
      <c r="B6" s="49" t="s">
        <v>68</v>
      </c>
      <c r="C6" s="49" t="s">
        <v>263</v>
      </c>
      <c r="D6" s="49" t="s">
        <v>273</v>
      </c>
      <c r="E6" s="49" t="s">
        <v>265</v>
      </c>
      <c r="F6" s="49">
        <v>37869.640000000007</v>
      </c>
      <c r="G6" s="49">
        <v>25415.98</v>
      </c>
      <c r="H6" s="49">
        <v>16933.518</v>
      </c>
      <c r="I6" s="49">
        <v>25976.192000000003</v>
      </c>
      <c r="J6" s="49">
        <v>46831.637000000002</v>
      </c>
      <c r="K6" s="49">
        <v>16503.155999999999</v>
      </c>
      <c r="L6" s="49">
        <v>23298.39</v>
      </c>
      <c r="M6" s="49">
        <v>31606.263999999999</v>
      </c>
      <c r="N6" s="49">
        <v>60482.104999999996</v>
      </c>
      <c r="O6" s="49">
        <v>167221.18800000002</v>
      </c>
      <c r="P6" s="49">
        <v>95684.285999999993</v>
      </c>
      <c r="Q6" s="49">
        <v>287573.64199999993</v>
      </c>
      <c r="R6" s="49">
        <v>745468.90699999989</v>
      </c>
      <c r="S6" s="49">
        <v>230157.76599999997</v>
      </c>
      <c r="T6" s="49">
        <v>356226.96100000001</v>
      </c>
      <c r="U6" s="49">
        <v>168382.353</v>
      </c>
      <c r="V6" s="49">
        <v>344230.72800000006</v>
      </c>
      <c r="W6" s="49">
        <v>511229.86856202327</v>
      </c>
      <c r="X6" s="49">
        <v>547671.47706599999</v>
      </c>
      <c r="Y6" s="49">
        <v>449250.85022374027</v>
      </c>
      <c r="Z6" s="49">
        <v>540876.96043487894</v>
      </c>
      <c r="AA6" s="49">
        <v>1859599.3375377371</v>
      </c>
      <c r="AB6" s="49">
        <v>1209298.1600269999</v>
      </c>
      <c r="AC6" s="49">
        <v>484254.44667200005</v>
      </c>
    </row>
    <row r="7" spans="1:29">
      <c r="A7" s="49" t="s">
        <v>35</v>
      </c>
      <c r="B7" s="49" t="s">
        <v>68</v>
      </c>
      <c r="C7" s="49" t="s">
        <v>263</v>
      </c>
      <c r="D7" s="49" t="s">
        <v>274</v>
      </c>
      <c r="E7" s="49" t="s">
        <v>265</v>
      </c>
      <c r="F7" s="49">
        <v>2192.154</v>
      </c>
      <c r="G7" s="49">
        <v>22450.187000000002</v>
      </c>
      <c r="H7" s="49">
        <v>7243.9</v>
      </c>
      <c r="I7" s="49">
        <v>2014.1589999999999</v>
      </c>
      <c r="J7" s="49">
        <v>5182.99</v>
      </c>
      <c r="K7" s="49">
        <v>3657.6219999999998</v>
      </c>
      <c r="L7" s="49">
        <v>2843.174</v>
      </c>
      <c r="M7" s="49">
        <v>8964.58</v>
      </c>
      <c r="N7" s="49">
        <v>6201.6309999999994</v>
      </c>
      <c r="O7" s="49">
        <v>7082.4619999999995</v>
      </c>
      <c r="P7" s="49">
        <v>6153.402</v>
      </c>
      <c r="Q7" s="49">
        <v>7639.4350000000004</v>
      </c>
      <c r="R7" s="49">
        <v>5222.7369999999992</v>
      </c>
      <c r="S7" s="49">
        <v>6057.152</v>
      </c>
      <c r="T7" s="49">
        <v>6225.415</v>
      </c>
      <c r="U7" s="49">
        <v>5342.2420000000002</v>
      </c>
      <c r="V7" s="49">
        <v>4650.5460000000003</v>
      </c>
      <c r="W7" s="49">
        <v>5616.9006528907803</v>
      </c>
      <c r="X7" s="49">
        <v>43465.015503000002</v>
      </c>
      <c r="Y7" s="49">
        <v>56706.3213600292</v>
      </c>
      <c r="Z7" s="49">
        <v>42477.638639752506</v>
      </c>
      <c r="AA7" s="49">
        <v>95366.904208252614</v>
      </c>
      <c r="AB7" s="49">
        <v>117969.92749799999</v>
      </c>
      <c r="AC7" s="49">
        <v>2304.86247</v>
      </c>
    </row>
    <row r="8" spans="1:29">
      <c r="A8" s="49" t="s">
        <v>35</v>
      </c>
      <c r="B8" s="49" t="s">
        <v>68</v>
      </c>
      <c r="C8" s="49" t="s">
        <v>263</v>
      </c>
      <c r="D8" s="49" t="s">
        <v>276</v>
      </c>
      <c r="E8" s="49" t="s">
        <v>265</v>
      </c>
      <c r="F8" s="49">
        <v>328.08499999999998</v>
      </c>
      <c r="G8" s="49">
        <v>278.50900000000001</v>
      </c>
      <c r="H8" s="49">
        <v>36.975000000000001</v>
      </c>
      <c r="I8" s="49">
        <v>125.23400000000001</v>
      </c>
      <c r="J8" s="49">
        <v>192.93800000000002</v>
      </c>
      <c r="K8" s="49">
        <v>186.55600000000001</v>
      </c>
      <c r="L8" s="49">
        <v>473.72199999999998</v>
      </c>
      <c r="M8" s="49">
        <v>2297.8270000000002</v>
      </c>
      <c r="N8" s="49">
        <v>823.87599999999998</v>
      </c>
      <c r="O8" s="49">
        <v>570.75200000000007</v>
      </c>
      <c r="P8" s="49">
        <v>1245.8239999999998</v>
      </c>
      <c r="Q8" s="49">
        <v>4649.38</v>
      </c>
      <c r="R8" s="49">
        <v>1931.8859999999997</v>
      </c>
      <c r="S8" s="49">
        <v>1787.471</v>
      </c>
      <c r="T8" s="49">
        <v>1562.65</v>
      </c>
      <c r="U8" s="49">
        <v>1914.7110000000002</v>
      </c>
      <c r="V8" s="49">
        <v>3810.009</v>
      </c>
      <c r="W8" s="49">
        <v>4058.66042071317</v>
      </c>
      <c r="X8" s="49">
        <v>3072.5557979999999</v>
      </c>
      <c r="Y8" s="49">
        <v>1588.0123410900001</v>
      </c>
      <c r="Z8" s="49">
        <v>270.51367695010003</v>
      </c>
      <c r="AA8" s="49">
        <v>361.46848872030006</v>
      </c>
      <c r="AB8" s="49">
        <v>879.81487100000004</v>
      </c>
      <c r="AC8" s="49">
        <v>549.98084099999994</v>
      </c>
    </row>
    <row r="9" spans="1:29">
      <c r="A9" s="49" t="s">
        <v>35</v>
      </c>
      <c r="B9" s="49" t="s">
        <v>68</v>
      </c>
      <c r="C9" s="49" t="s">
        <v>263</v>
      </c>
      <c r="D9" s="49" t="s">
        <v>278</v>
      </c>
      <c r="E9" s="49" t="s">
        <v>265</v>
      </c>
      <c r="F9" s="49">
        <v>37301.423999999999</v>
      </c>
      <c r="G9" s="49">
        <v>39625.911</v>
      </c>
      <c r="H9" s="49">
        <v>99697.675000000003</v>
      </c>
      <c r="I9" s="49">
        <v>269270.73</v>
      </c>
      <c r="J9" s="49">
        <v>316569.63899999997</v>
      </c>
      <c r="K9" s="49">
        <v>260949.05200000003</v>
      </c>
      <c r="L9" s="49">
        <v>388968.30700000003</v>
      </c>
      <c r="M9" s="49">
        <v>612305.10800000001</v>
      </c>
      <c r="N9" s="49">
        <v>1087106.064</v>
      </c>
      <c r="O9" s="49">
        <v>506035.32799999998</v>
      </c>
      <c r="P9" s="49">
        <v>458624.62599999999</v>
      </c>
      <c r="Q9" s="49">
        <v>403347.56499999994</v>
      </c>
      <c r="R9" s="49">
        <v>983934.65600000008</v>
      </c>
      <c r="S9" s="49">
        <v>934058.46799999999</v>
      </c>
      <c r="T9" s="49">
        <v>264212.76699999999</v>
      </c>
      <c r="U9" s="49">
        <v>583832.78399999999</v>
      </c>
      <c r="V9" s="49">
        <v>588813.64999999991</v>
      </c>
      <c r="W9" s="49">
        <v>382826.14237310999</v>
      </c>
      <c r="X9" s="49">
        <v>1000166.925881</v>
      </c>
      <c r="Y9" s="49">
        <v>992431.36755106831</v>
      </c>
      <c r="Z9" s="49">
        <v>1306100.1479364769</v>
      </c>
      <c r="AA9" s="49">
        <v>1312826.8036012675</v>
      </c>
      <c r="AB9" s="49">
        <v>3236709.2409679997</v>
      </c>
      <c r="AC9" s="49">
        <v>188595.49989499999</v>
      </c>
    </row>
    <row r="10" spans="1:29">
      <c r="A10" s="49" t="s">
        <v>35</v>
      </c>
      <c r="B10" s="49" t="s">
        <v>68</v>
      </c>
      <c r="C10" s="49" t="s">
        <v>263</v>
      </c>
      <c r="D10" s="49" t="s">
        <v>281</v>
      </c>
      <c r="E10" s="49" t="s">
        <v>265</v>
      </c>
      <c r="F10" s="49">
        <v>89026.826000000001</v>
      </c>
      <c r="G10" s="49">
        <v>87456.27900000001</v>
      </c>
      <c r="H10" s="49">
        <v>81229.2</v>
      </c>
      <c r="I10" s="49">
        <v>94857.925999999992</v>
      </c>
      <c r="J10" s="49">
        <v>129593.20899999997</v>
      </c>
      <c r="K10" s="49">
        <v>188681.33</v>
      </c>
      <c r="L10" s="49">
        <v>200740.07400000002</v>
      </c>
      <c r="M10" s="49">
        <v>262486.18900000001</v>
      </c>
      <c r="N10" s="49">
        <v>263549.87099999998</v>
      </c>
      <c r="O10" s="49">
        <v>202479.94</v>
      </c>
      <c r="P10" s="49">
        <v>268943.71499999997</v>
      </c>
      <c r="Q10" s="49">
        <v>317192.03199999995</v>
      </c>
      <c r="R10" s="49">
        <v>305155.79099999997</v>
      </c>
      <c r="S10" s="49">
        <v>275720.73000000004</v>
      </c>
      <c r="T10" s="49">
        <v>579244.12</v>
      </c>
      <c r="U10" s="49">
        <v>697062.36600000015</v>
      </c>
      <c r="V10" s="49">
        <v>293540.59700000007</v>
      </c>
      <c r="W10" s="49">
        <v>286102.16627520369</v>
      </c>
      <c r="X10" s="49">
        <v>886261.38237599994</v>
      </c>
      <c r="Y10" s="49">
        <v>886819.10344047262</v>
      </c>
      <c r="Z10" s="49">
        <v>604580.13703408698</v>
      </c>
      <c r="AA10" s="49">
        <v>1028527.9930124987</v>
      </c>
      <c r="AB10" s="49">
        <v>1124255.1658429999</v>
      </c>
      <c r="AC10" s="49">
        <v>305833.63975100004</v>
      </c>
    </row>
    <row r="11" spans="1:29">
      <c r="A11" s="49" t="s">
        <v>35</v>
      </c>
      <c r="B11" s="49" t="s">
        <v>68</v>
      </c>
      <c r="C11" s="49" t="s">
        <v>263</v>
      </c>
      <c r="D11" s="49" t="s">
        <v>286</v>
      </c>
      <c r="E11" s="49" t="s">
        <v>265</v>
      </c>
      <c r="F11" s="49">
        <v>50030.589000000007</v>
      </c>
      <c r="G11" s="49">
        <v>58736.343000000001</v>
      </c>
      <c r="H11" s="49">
        <v>65946.665000000008</v>
      </c>
      <c r="I11" s="49">
        <v>74130.26400000001</v>
      </c>
      <c r="J11" s="49">
        <v>119490.211</v>
      </c>
      <c r="K11" s="49">
        <v>142855.54200000002</v>
      </c>
      <c r="L11" s="49">
        <v>152563.45600000001</v>
      </c>
      <c r="M11" s="49">
        <v>204862.18400000001</v>
      </c>
      <c r="N11" s="49">
        <v>232025.23500000002</v>
      </c>
      <c r="O11" s="49">
        <v>258973.97199999998</v>
      </c>
      <c r="P11" s="49">
        <v>351673.15899999999</v>
      </c>
      <c r="Q11" s="49">
        <v>408173.73499999999</v>
      </c>
      <c r="R11" s="49">
        <v>480854.065</v>
      </c>
      <c r="S11" s="49">
        <v>613439.20699999994</v>
      </c>
      <c r="T11" s="49">
        <v>891648.7969999999</v>
      </c>
      <c r="U11" s="49">
        <v>813557.56900000002</v>
      </c>
      <c r="V11" s="49">
        <v>769000.06099999999</v>
      </c>
      <c r="W11" s="49">
        <v>914942.89231808344</v>
      </c>
      <c r="X11" s="49">
        <v>1425376.6445749998</v>
      </c>
      <c r="Y11" s="49">
        <v>1418432.9072707859</v>
      </c>
      <c r="Z11" s="49">
        <v>1018267.0776014121</v>
      </c>
      <c r="AA11" s="49">
        <v>1529734.2359158762</v>
      </c>
      <c r="AB11" s="49">
        <v>1682713.6761989999</v>
      </c>
      <c r="AC11" s="49">
        <v>1098461.635642</v>
      </c>
    </row>
    <row r="12" spans="1:29">
      <c r="A12" s="49" t="s">
        <v>35</v>
      </c>
      <c r="B12" s="49" t="s">
        <v>68</v>
      </c>
      <c r="C12" s="49" t="s">
        <v>263</v>
      </c>
      <c r="D12" s="49" t="s">
        <v>291</v>
      </c>
      <c r="E12" s="49" t="s">
        <v>265</v>
      </c>
      <c r="F12" s="49">
        <v>800009.46200000006</v>
      </c>
      <c r="G12" s="49">
        <v>683153.35199999996</v>
      </c>
      <c r="H12" s="49">
        <v>685980.19099999999</v>
      </c>
      <c r="I12" s="49">
        <v>913713.51300000004</v>
      </c>
      <c r="J12" s="49">
        <v>1209251.3759999999</v>
      </c>
      <c r="K12" s="49">
        <v>1605113.0789999999</v>
      </c>
      <c r="L12" s="49">
        <v>2083473.2120000001</v>
      </c>
      <c r="M12" s="49">
        <v>2546842.0379999997</v>
      </c>
      <c r="N12" s="49">
        <v>1708259.8810000001</v>
      </c>
      <c r="O12" s="49">
        <v>2609719.301</v>
      </c>
      <c r="P12" s="49">
        <v>2122164.7599999998</v>
      </c>
      <c r="Q12" s="49">
        <v>2333391.2539999997</v>
      </c>
      <c r="R12" s="49">
        <v>2110361.753</v>
      </c>
      <c r="S12" s="49">
        <v>2010390.1090000002</v>
      </c>
      <c r="T12" s="49">
        <v>1970920.79</v>
      </c>
      <c r="U12" s="49">
        <v>2281769.9859999996</v>
      </c>
      <c r="V12" s="49">
        <v>2220776.0320000001</v>
      </c>
      <c r="W12" s="49">
        <v>2297644.7516317097</v>
      </c>
      <c r="X12" s="49">
        <v>5008926.7939409995</v>
      </c>
      <c r="Y12" s="49">
        <v>5655924.3955993401</v>
      </c>
      <c r="Z12" s="49">
        <v>4717471.2810456697</v>
      </c>
      <c r="AA12" s="49">
        <v>5919318.2440809095</v>
      </c>
      <c r="AB12" s="49">
        <v>7497597.885299</v>
      </c>
      <c r="AC12" s="49">
        <v>2024639.5567640001</v>
      </c>
    </row>
    <row r="13" spans="1:29">
      <c r="A13" s="49" t="s">
        <v>35</v>
      </c>
      <c r="B13" s="49" t="s">
        <v>68</v>
      </c>
      <c r="C13" s="49" t="s">
        <v>263</v>
      </c>
      <c r="D13" s="49" t="s">
        <v>293</v>
      </c>
      <c r="E13" s="49" t="s">
        <v>265</v>
      </c>
      <c r="F13" s="49">
        <v>784940.28700000083</v>
      </c>
      <c r="G13" s="49">
        <v>674148.03099999949</v>
      </c>
      <c r="H13" s="49">
        <v>728553.36200000101</v>
      </c>
      <c r="I13" s="49">
        <v>1128746.5480000013</v>
      </c>
      <c r="J13" s="49">
        <v>1462569.4789999987</v>
      </c>
      <c r="K13" s="49">
        <v>1748320.9609999999</v>
      </c>
      <c r="L13" s="49">
        <v>2386830.5470000003</v>
      </c>
      <c r="M13" s="49">
        <v>3078562.1870000022</v>
      </c>
      <c r="N13" s="49">
        <v>2881255.6940000006</v>
      </c>
      <c r="O13" s="49">
        <v>2951236.7840000005</v>
      </c>
      <c r="P13" s="49">
        <v>2558540.6500000027</v>
      </c>
      <c r="Q13" s="49">
        <v>2753527.1750000026</v>
      </c>
      <c r="R13" s="49">
        <v>3228982.2150000031</v>
      </c>
      <c r="S13" s="49">
        <v>3051629.1829999997</v>
      </c>
      <c r="T13" s="49">
        <v>2372602.6199999996</v>
      </c>
      <c r="U13" s="49">
        <v>3042789.418999996</v>
      </c>
      <c r="V13" s="49">
        <v>3007251.6260000002</v>
      </c>
      <c r="W13" s="49">
        <v>2851685.7537293578</v>
      </c>
      <c r="X13" s="49">
        <v>6293028.8686759947</v>
      </c>
      <c r="Y13" s="49">
        <v>7044869.9859892428</v>
      </c>
      <c r="Z13" s="49">
        <v>6437597.5260922508</v>
      </c>
      <c r="AA13" s="49">
        <v>7843052.6182288835</v>
      </c>
      <c r="AB13" s="49">
        <v>11232211.614676002</v>
      </c>
      <c r="AC13" s="49">
        <v>2556627.4687089995</v>
      </c>
    </row>
    <row r="14" spans="1:29">
      <c r="A14" s="49" t="s">
        <v>35</v>
      </c>
      <c r="B14" s="49" t="s">
        <v>68</v>
      </c>
      <c r="C14" s="49" t="s">
        <v>263</v>
      </c>
      <c r="D14" s="49" t="s">
        <v>295</v>
      </c>
      <c r="E14" s="49" t="s">
        <v>265</v>
      </c>
      <c r="F14" s="49">
        <v>65067.900999999998</v>
      </c>
      <c r="G14" s="49">
        <v>83001.465000000011</v>
      </c>
      <c r="H14" s="49">
        <v>54390.59</v>
      </c>
      <c r="I14" s="49">
        <v>46728.650999999998</v>
      </c>
      <c r="J14" s="49">
        <v>73817.740999999995</v>
      </c>
      <c r="K14" s="49">
        <v>89529.659000000029</v>
      </c>
      <c r="L14" s="49">
        <v>76327.630000000048</v>
      </c>
      <c r="M14" s="49">
        <v>105927.38200000001</v>
      </c>
      <c r="N14" s="49">
        <v>112529.94799999993</v>
      </c>
      <c r="O14" s="49">
        <v>66600.939999999988</v>
      </c>
      <c r="P14" s="49">
        <v>116050.319</v>
      </c>
      <c r="Q14" s="49">
        <v>144684.69899999994</v>
      </c>
      <c r="R14" s="49">
        <v>194907.08700000009</v>
      </c>
      <c r="S14" s="49">
        <v>185881.02299999996</v>
      </c>
      <c r="T14" s="49">
        <v>399870.73900000006</v>
      </c>
      <c r="U14" s="49">
        <v>297065.58400000003</v>
      </c>
      <c r="V14" s="49">
        <v>407073.67099999997</v>
      </c>
      <c r="W14" s="49">
        <v>430117.27484011452</v>
      </c>
      <c r="X14" s="49">
        <v>1492561.6345080005</v>
      </c>
      <c r="Y14" s="49">
        <v>1500754.1590526532</v>
      </c>
      <c r="Z14" s="49">
        <v>889862.25173967902</v>
      </c>
      <c r="AA14" s="49">
        <v>1777723.3841087734</v>
      </c>
      <c r="AB14" s="49">
        <v>3973486.4463920007</v>
      </c>
      <c r="AC14" s="49">
        <v>242133.35522699996</v>
      </c>
    </row>
    <row r="15" spans="1:29">
      <c r="A15" s="49" t="s">
        <v>35</v>
      </c>
      <c r="B15" s="49" t="s">
        <v>68</v>
      </c>
      <c r="C15" s="49" t="s">
        <v>263</v>
      </c>
      <c r="D15" s="49" t="s">
        <v>297</v>
      </c>
      <c r="E15" s="49" t="s">
        <v>265</v>
      </c>
      <c r="F15" s="49">
        <v>95623.67</v>
      </c>
      <c r="G15" s="49">
        <v>138477.08900000001</v>
      </c>
      <c r="H15" s="49">
        <v>107886.91200000001</v>
      </c>
      <c r="I15" s="49">
        <v>122843.617</v>
      </c>
      <c r="J15" s="49">
        <v>174050.66800000001</v>
      </c>
      <c r="K15" s="49">
        <v>232205.50700000001</v>
      </c>
      <c r="L15" s="49">
        <v>329685.95999999996</v>
      </c>
      <c r="M15" s="49">
        <v>342291.52900000004</v>
      </c>
      <c r="N15" s="49">
        <v>182730.15099999998</v>
      </c>
      <c r="O15" s="49">
        <v>48503.421000000009</v>
      </c>
      <c r="P15" s="49">
        <v>50715.922000000006</v>
      </c>
      <c r="Q15" s="49">
        <v>223651.96600000001</v>
      </c>
      <c r="R15" s="49">
        <v>212764.37300000002</v>
      </c>
      <c r="S15" s="49">
        <v>84034.671000000002</v>
      </c>
      <c r="T15" s="49">
        <v>41576.269999999997</v>
      </c>
      <c r="U15" s="49">
        <v>38987.732000000004</v>
      </c>
      <c r="V15" s="49">
        <v>38897.883999999998</v>
      </c>
      <c r="W15" s="49">
        <v>53326.908430456417</v>
      </c>
      <c r="X15" s="49">
        <v>189552.26259900001</v>
      </c>
      <c r="Y15" s="49">
        <v>260857.66887098271</v>
      </c>
      <c r="Z15" s="49">
        <v>140952.4103149297</v>
      </c>
      <c r="AA15" s="49">
        <v>148946.14246551858</v>
      </c>
      <c r="AB15" s="49">
        <v>210854.77668699998</v>
      </c>
      <c r="AC15" s="49">
        <v>22088.138578999999</v>
      </c>
    </row>
    <row r="16" spans="1:29">
      <c r="A16" s="49" t="s">
        <v>35</v>
      </c>
      <c r="B16" s="49" t="s">
        <v>68</v>
      </c>
      <c r="C16" s="49" t="s">
        <v>263</v>
      </c>
      <c r="D16" s="49" t="s">
        <v>299</v>
      </c>
      <c r="E16" s="49" t="s">
        <v>265</v>
      </c>
      <c r="F16" s="49">
        <v>241260.58600000007</v>
      </c>
      <c r="G16" s="49">
        <v>261293.52599999987</v>
      </c>
      <c r="H16" s="49">
        <v>227892.00100000011</v>
      </c>
      <c r="I16" s="49">
        <v>259271.11500000005</v>
      </c>
      <c r="J16" s="49">
        <v>359960.0749999999</v>
      </c>
      <c r="K16" s="49">
        <v>468602.12000000052</v>
      </c>
      <c r="L16" s="49">
        <v>1490748.1140000019</v>
      </c>
      <c r="M16" s="49">
        <v>2468661.3460000013</v>
      </c>
      <c r="N16" s="49">
        <v>3315570.5329999942</v>
      </c>
      <c r="O16" s="49">
        <v>1821844.2880000004</v>
      </c>
      <c r="P16" s="49">
        <v>2813348.9949999992</v>
      </c>
      <c r="Q16" s="49">
        <v>3129291.7989999955</v>
      </c>
      <c r="R16" s="49">
        <v>1739991.9890000001</v>
      </c>
      <c r="S16" s="49">
        <v>977338.91499999911</v>
      </c>
      <c r="T16" s="49">
        <v>1000964.2179999989</v>
      </c>
      <c r="U16" s="49">
        <v>1128843.7870000007</v>
      </c>
      <c r="V16" s="49">
        <v>923715.28699999989</v>
      </c>
      <c r="W16" s="49">
        <v>922083.17305707629</v>
      </c>
      <c r="X16" s="49">
        <v>1930694.5557879992</v>
      </c>
      <c r="Y16" s="49">
        <v>2053249.9884896092</v>
      </c>
      <c r="Z16" s="49">
        <v>1488438.5191668051</v>
      </c>
      <c r="AA16" s="49">
        <v>2257094.9198990366</v>
      </c>
      <c r="AB16" s="49">
        <v>3011791.7799470001</v>
      </c>
      <c r="AC16" s="49">
        <v>1177229.7361620003</v>
      </c>
    </row>
    <row r="17" spans="1:29">
      <c r="A17" s="49" t="s">
        <v>35</v>
      </c>
      <c r="B17" s="49" t="s">
        <v>68</v>
      </c>
      <c r="C17" s="49" t="s">
        <v>263</v>
      </c>
      <c r="D17" s="49" t="s">
        <v>301</v>
      </c>
      <c r="E17" s="49" t="s">
        <v>265</v>
      </c>
      <c r="F17" s="49">
        <v>161349.69200000001</v>
      </c>
      <c r="G17" s="49">
        <v>197882.67200000002</v>
      </c>
      <c r="H17" s="49">
        <v>168453.55399999997</v>
      </c>
      <c r="I17" s="49">
        <v>233426.36500000002</v>
      </c>
      <c r="J17" s="49">
        <v>342650.81200000003</v>
      </c>
      <c r="K17" s="49">
        <v>501929.91200000001</v>
      </c>
      <c r="L17" s="49">
        <v>655318.62699999998</v>
      </c>
      <c r="M17" s="49">
        <v>754627.62399999995</v>
      </c>
      <c r="N17" s="49">
        <v>889982.21500000008</v>
      </c>
      <c r="O17" s="49">
        <v>685701.97699999984</v>
      </c>
      <c r="P17" s="49">
        <v>1083544.7609999997</v>
      </c>
      <c r="Q17" s="49">
        <v>1162052.5510000002</v>
      </c>
      <c r="R17" s="49">
        <v>1275053.8430000001</v>
      </c>
      <c r="S17" s="49">
        <v>1864894.7800000003</v>
      </c>
      <c r="T17" s="49">
        <v>1836049.574</v>
      </c>
      <c r="U17" s="49">
        <v>1533821.534</v>
      </c>
      <c r="V17" s="49">
        <v>1354260.6140000001</v>
      </c>
      <c r="W17" s="49">
        <v>1715138.0187647862</v>
      </c>
      <c r="X17" s="49">
        <v>2459437.6355619999</v>
      </c>
      <c r="Y17" s="49">
        <v>1947249.5416474657</v>
      </c>
      <c r="Z17" s="49">
        <v>1556773.9601717542</v>
      </c>
      <c r="AA17" s="49">
        <v>2188214.9828962972</v>
      </c>
      <c r="AB17" s="49">
        <v>2375088.1052359999</v>
      </c>
      <c r="AC17" s="49">
        <v>1361516.6633570001</v>
      </c>
    </row>
    <row r="18" spans="1:29">
      <c r="A18" s="49" t="s">
        <v>35</v>
      </c>
      <c r="B18" s="49" t="s">
        <v>68</v>
      </c>
      <c r="C18" s="49" t="s">
        <v>263</v>
      </c>
      <c r="D18" s="49" t="s">
        <v>302</v>
      </c>
      <c r="E18" s="49" t="s">
        <v>265</v>
      </c>
      <c r="F18" s="49">
        <v>11967.548000000001</v>
      </c>
      <c r="G18" s="49">
        <v>11814.475000000002</v>
      </c>
      <c r="H18" s="49">
        <v>10063.368999999999</v>
      </c>
      <c r="I18" s="49">
        <v>11160.076000000001</v>
      </c>
      <c r="J18" s="49">
        <v>11766.384</v>
      </c>
      <c r="K18" s="49">
        <v>11456.933000000003</v>
      </c>
      <c r="L18" s="49">
        <v>13896.629000000001</v>
      </c>
      <c r="M18" s="49">
        <v>14248.331</v>
      </c>
      <c r="N18" s="49">
        <v>15903.116000000002</v>
      </c>
      <c r="O18" s="49">
        <v>16486.3</v>
      </c>
      <c r="P18" s="49">
        <v>22600.887999999999</v>
      </c>
      <c r="Q18" s="49">
        <v>30102.884000000002</v>
      </c>
      <c r="R18" s="49">
        <v>26094.718999999997</v>
      </c>
      <c r="S18" s="49">
        <v>21715.75</v>
      </c>
      <c r="T18" s="49">
        <v>26385.671999999999</v>
      </c>
      <c r="U18" s="49">
        <v>24484.382000000001</v>
      </c>
      <c r="V18" s="49">
        <v>28507.589999999997</v>
      </c>
      <c r="W18" s="49">
        <v>29449.163318281644</v>
      </c>
      <c r="X18" s="49">
        <v>58763.765996999988</v>
      </c>
      <c r="Y18" s="49">
        <v>109626.31036000008</v>
      </c>
      <c r="Z18" s="49">
        <v>71893.815110943193</v>
      </c>
      <c r="AA18" s="49">
        <v>83328.153781753601</v>
      </c>
      <c r="AB18" s="49">
        <v>235721.480988</v>
      </c>
      <c r="AC18" s="49">
        <v>15287.667987999999</v>
      </c>
    </row>
    <row r="19" spans="1:29">
      <c r="A19" s="49" t="s">
        <v>35</v>
      </c>
      <c r="B19" s="49" t="s">
        <v>68</v>
      </c>
      <c r="C19" s="49" t="s">
        <v>263</v>
      </c>
      <c r="D19" s="52" t="s">
        <v>304</v>
      </c>
      <c r="E19" s="49" t="s">
        <v>265</v>
      </c>
      <c r="F19" s="49">
        <v>1401559.7890000001</v>
      </c>
      <c r="G19" s="49">
        <v>1354741.831</v>
      </c>
      <c r="H19" s="49">
        <v>1333690.9539999999</v>
      </c>
      <c r="I19" s="49">
        <v>1867028.6540000001</v>
      </c>
      <c r="J19" s="49">
        <v>2492154.91</v>
      </c>
      <c r="K19" s="49">
        <v>3159415.8629999999</v>
      </c>
      <c r="L19" s="49">
        <v>5184561.8679999998</v>
      </c>
      <c r="M19" s="49">
        <v>6901607.0860000001</v>
      </c>
      <c r="N19" s="49">
        <v>8304750.6890000002</v>
      </c>
      <c r="O19" s="49">
        <v>6141634.2340000002</v>
      </c>
      <c r="P19" s="49">
        <v>7263136.2429999998</v>
      </c>
      <c r="Q19" s="49">
        <v>8155302.0389999999</v>
      </c>
      <c r="R19" s="49">
        <v>7797327.2220000001</v>
      </c>
      <c r="S19" s="49">
        <v>7026636.5140000004</v>
      </c>
      <c r="T19" s="49">
        <v>7069416.6660000002</v>
      </c>
      <c r="U19" s="49">
        <v>7395997.5820000004</v>
      </c>
      <c r="V19" s="49">
        <v>6719479.2450000001</v>
      </c>
      <c r="W19" s="49">
        <v>7235416.2966757901</v>
      </c>
      <c r="X19" s="49">
        <v>14436507.548188999</v>
      </c>
      <c r="Y19" s="49">
        <v>14893891.8553071</v>
      </c>
      <c r="Z19" s="49">
        <v>12306746.9775282</v>
      </c>
      <c r="AA19" s="49">
        <v>18201531.477632802</v>
      </c>
      <c r="AB19" s="49">
        <v>24418725.272813</v>
      </c>
      <c r="AC19" s="49">
        <v>6934788.4869769998</v>
      </c>
    </row>
    <row r="20" spans="1:29">
      <c r="A20" s="49" t="s">
        <v>35</v>
      </c>
      <c r="B20" s="49" t="s">
        <v>68</v>
      </c>
      <c r="C20" s="49" t="s">
        <v>263</v>
      </c>
      <c r="D20" s="49" t="s">
        <v>306</v>
      </c>
      <c r="E20" s="49" t="s">
        <v>265</v>
      </c>
      <c r="F20" s="49">
        <v>13156.638000000001</v>
      </c>
      <c r="G20" s="49">
        <v>7957.9179999999997</v>
      </c>
      <c r="H20" s="49">
        <v>9646.4230000000007</v>
      </c>
      <c r="I20" s="49">
        <v>3992.9690000000001</v>
      </c>
      <c r="J20" s="49">
        <v>10447.481</v>
      </c>
      <c r="K20" s="49">
        <v>9638.2160000000003</v>
      </c>
      <c r="L20" s="49">
        <v>892200.55599999998</v>
      </c>
      <c r="M20" s="49">
        <v>1787979.1029999999</v>
      </c>
      <c r="N20" s="49">
        <v>2869839.1039999998</v>
      </c>
      <c r="O20" s="49">
        <v>1247115.426</v>
      </c>
      <c r="P20" s="49">
        <v>2359504.2599999998</v>
      </c>
      <c r="Q20" s="49">
        <v>2497806.6970000002</v>
      </c>
      <c r="R20" s="49">
        <v>1161827.6580000001</v>
      </c>
      <c r="S20" s="49">
        <v>566930.40800000005</v>
      </c>
      <c r="T20" s="49">
        <v>636313.33499999996</v>
      </c>
      <c r="U20" s="49">
        <v>807020.02</v>
      </c>
      <c r="V20" s="49">
        <v>606421.58600000001</v>
      </c>
      <c r="W20" s="49">
        <v>491475.25201199402</v>
      </c>
      <c r="X20" s="49">
        <v>1472746.192267</v>
      </c>
      <c r="Y20" s="49">
        <v>1562552.8227373599</v>
      </c>
      <c r="Z20" s="49">
        <v>1113640.56380901</v>
      </c>
      <c r="AA20" s="49">
        <v>2304374.4470520099</v>
      </c>
      <c r="AB20" s="49">
        <v>4754248.7296940004</v>
      </c>
      <c r="AC20" s="49">
        <v>801166.50411800004</v>
      </c>
    </row>
    <row r="21" spans="1:29" ht="15.75" customHeight="1">
      <c r="A21" s="49" t="s">
        <v>35</v>
      </c>
      <c r="B21" s="49" t="s">
        <v>68</v>
      </c>
      <c r="C21" s="49" t="s">
        <v>263</v>
      </c>
      <c r="D21" s="49" t="s">
        <v>308</v>
      </c>
      <c r="E21" s="49" t="s">
        <v>265</v>
      </c>
      <c r="F21" s="49">
        <v>15672.419</v>
      </c>
      <c r="G21" s="49">
        <v>11977.299000000001</v>
      </c>
      <c r="H21" s="49">
        <v>6613.9939999999997</v>
      </c>
      <c r="I21" s="49">
        <v>10533.228000000001</v>
      </c>
      <c r="J21" s="49">
        <v>4727.8020000000006</v>
      </c>
      <c r="K21" s="49">
        <v>4436.0809999999992</v>
      </c>
      <c r="L21" s="49">
        <v>6379.7740000000003</v>
      </c>
      <c r="M21" s="49">
        <v>10044.505000000001</v>
      </c>
      <c r="N21" s="49">
        <v>10235.446000000002</v>
      </c>
      <c r="O21" s="49">
        <v>5699.3140000000003</v>
      </c>
      <c r="P21" s="49">
        <v>10665.07</v>
      </c>
      <c r="Q21" s="49">
        <v>26197.292000000005</v>
      </c>
      <c r="R21" s="49">
        <v>13784.588000000002</v>
      </c>
      <c r="S21" s="49">
        <v>7069.8690000000006</v>
      </c>
      <c r="T21" s="49">
        <v>19574.95</v>
      </c>
      <c r="U21" s="49">
        <v>5222.8880000000008</v>
      </c>
      <c r="V21" s="49">
        <v>9404.6569999999992</v>
      </c>
      <c r="W21" s="49">
        <v>3615.8541888967197</v>
      </c>
      <c r="X21" s="49">
        <v>347959.13600100001</v>
      </c>
      <c r="Y21" s="49">
        <v>369606.77619789849</v>
      </c>
      <c r="Z21" s="49">
        <v>292176.2155398819</v>
      </c>
      <c r="AA21" s="49">
        <v>523386.48760073015</v>
      </c>
      <c r="AB21" s="49">
        <v>546005.67084099993</v>
      </c>
      <c r="AC21" s="49">
        <v>4941.9186760000002</v>
      </c>
    </row>
    <row r="22" spans="1:29" ht="15.75" customHeight="1">
      <c r="A22" s="49" t="s">
        <v>35</v>
      </c>
      <c r="B22" s="49" t="s">
        <v>68</v>
      </c>
      <c r="C22" s="49" t="s">
        <v>263</v>
      </c>
      <c r="D22" s="49" t="s">
        <v>310</v>
      </c>
      <c r="E22" s="49" t="s">
        <v>265</v>
      </c>
      <c r="F22" s="49">
        <v>338.37099999999998</v>
      </c>
      <c r="G22" s="49">
        <v>249.53699999999998</v>
      </c>
      <c r="H22" s="49">
        <v>118.946</v>
      </c>
      <c r="I22" s="49">
        <v>112.224</v>
      </c>
      <c r="J22" s="49">
        <v>243.05999999999997</v>
      </c>
      <c r="K22" s="49">
        <v>549.36500000000001</v>
      </c>
      <c r="L22" s="49">
        <v>290.01899999999995</v>
      </c>
      <c r="M22" s="49">
        <v>623.89700000000005</v>
      </c>
      <c r="N22" s="49">
        <v>698.601</v>
      </c>
      <c r="O22" s="49">
        <v>457.95300000000003</v>
      </c>
      <c r="P22" s="49">
        <v>982.91399999999999</v>
      </c>
      <c r="Q22" s="49">
        <v>2907.2979999999998</v>
      </c>
      <c r="R22" s="49">
        <v>2549.1660000000002</v>
      </c>
      <c r="S22" s="49">
        <v>1890.4700000000003</v>
      </c>
      <c r="T22" s="49">
        <v>1434.556</v>
      </c>
      <c r="U22" s="49">
        <v>2264.3649999999998</v>
      </c>
      <c r="V22" s="49">
        <v>2646.4560000000001</v>
      </c>
      <c r="W22" s="49">
        <v>2202.9874082737197</v>
      </c>
      <c r="X22" s="49">
        <v>6814.2921189999997</v>
      </c>
      <c r="Y22" s="49">
        <v>5579.50971411925</v>
      </c>
      <c r="Z22" s="49">
        <v>4380.3084608520003</v>
      </c>
      <c r="AA22" s="49">
        <v>6454.3753379409</v>
      </c>
      <c r="AB22" s="49">
        <v>12852.208545</v>
      </c>
      <c r="AC22" s="49">
        <v>2688.2978699999999</v>
      </c>
    </row>
    <row r="23" spans="1:29" ht="15.75" customHeight="1"/>
    <row r="24" spans="1:29" ht="15.75" customHeight="1"/>
    <row r="25" spans="1:29" ht="15.75" customHeight="1"/>
    <row r="26" spans="1:29" ht="15.75" customHeight="1"/>
    <row r="27" spans="1:29" ht="15.75" customHeight="1">
      <c r="A27" s="49" t="s">
        <v>232</v>
      </c>
      <c r="B27" s="49" t="s">
        <v>233</v>
      </c>
      <c r="C27" s="49" t="s">
        <v>234</v>
      </c>
      <c r="D27" s="49" t="s">
        <v>236</v>
      </c>
      <c r="E27" s="49" t="s">
        <v>237</v>
      </c>
      <c r="F27" s="49" t="s">
        <v>238</v>
      </c>
      <c r="G27" s="49" t="s">
        <v>239</v>
      </c>
      <c r="H27" s="49" t="s">
        <v>240</v>
      </c>
      <c r="I27" s="49" t="s">
        <v>241</v>
      </c>
      <c r="J27" s="49" t="s">
        <v>242</v>
      </c>
      <c r="K27" s="49" t="s">
        <v>243</v>
      </c>
      <c r="L27" s="49" t="s">
        <v>244</v>
      </c>
      <c r="M27" s="49" t="s">
        <v>245</v>
      </c>
      <c r="N27" s="49" t="s">
        <v>246</v>
      </c>
      <c r="O27" s="49" t="s">
        <v>247</v>
      </c>
      <c r="P27" s="49" t="s">
        <v>248</v>
      </c>
      <c r="Q27" s="49" t="s">
        <v>249</v>
      </c>
      <c r="R27" s="49" t="s">
        <v>250</v>
      </c>
      <c r="S27" s="49" t="s">
        <v>251</v>
      </c>
      <c r="T27" s="49" t="s">
        <v>252</v>
      </c>
      <c r="U27" s="49" t="s">
        <v>253</v>
      </c>
      <c r="V27" s="49" t="s">
        <v>254</v>
      </c>
      <c r="W27" s="49" t="s">
        <v>255</v>
      </c>
      <c r="X27" s="49" t="s">
        <v>256</v>
      </c>
      <c r="Y27" s="49" t="s">
        <v>257</v>
      </c>
      <c r="Z27" s="49" t="s">
        <v>258</v>
      </c>
      <c r="AA27" s="49" t="s">
        <v>259</v>
      </c>
      <c r="AB27" s="49" t="s">
        <v>260</v>
      </c>
      <c r="AC27" s="49" t="s">
        <v>261</v>
      </c>
    </row>
    <row r="28" spans="1:29" ht="15.75" customHeight="1">
      <c r="A28" s="49" t="s">
        <v>35</v>
      </c>
      <c r="B28" s="49" t="s">
        <v>68</v>
      </c>
      <c r="C28" s="49" t="s">
        <v>313</v>
      </c>
      <c r="D28" s="49" t="s">
        <v>264</v>
      </c>
      <c r="E28" s="49" t="s">
        <v>314</v>
      </c>
      <c r="F28" s="49">
        <v>80252.379000000015</v>
      </c>
      <c r="G28" s="49">
        <v>83050.497999999992</v>
      </c>
      <c r="H28" s="49">
        <v>70256.308999999994</v>
      </c>
      <c r="I28" s="49">
        <v>55755.378999999994</v>
      </c>
      <c r="J28" s="49">
        <v>67032.293000000005</v>
      </c>
      <c r="K28" s="49">
        <v>79320.232000000004</v>
      </c>
      <c r="L28" s="49">
        <v>87784.422000000006</v>
      </c>
      <c r="M28" s="49">
        <v>59992.045000000006</v>
      </c>
      <c r="N28" s="49">
        <v>109244.00699999998</v>
      </c>
      <c r="O28" s="49">
        <v>72554.322</v>
      </c>
      <c r="P28" s="49">
        <v>75375.31</v>
      </c>
      <c r="Q28" s="49">
        <v>85285.074000000008</v>
      </c>
      <c r="R28" s="49">
        <v>133818.82399999999</v>
      </c>
      <c r="S28" s="49">
        <v>101388.66</v>
      </c>
      <c r="T28" s="49">
        <v>78597.366999999984</v>
      </c>
      <c r="U28" s="49">
        <v>110423.345</v>
      </c>
      <c r="V28" s="49">
        <v>85440.782000000007</v>
      </c>
      <c r="W28" s="49">
        <v>86120.659248664582</v>
      </c>
      <c r="X28" s="49">
        <v>105506.438218</v>
      </c>
      <c r="Y28" s="49">
        <v>102416.95340128937</v>
      </c>
      <c r="Z28" s="49">
        <v>129958.78570547598</v>
      </c>
      <c r="AA28" s="49">
        <v>131641.74738675921</v>
      </c>
      <c r="AB28" s="49">
        <v>146901.43100800001</v>
      </c>
      <c r="AC28" s="49">
        <v>127556.35669300001</v>
      </c>
    </row>
    <row r="29" spans="1:29" ht="15.75" customHeight="1">
      <c r="A29" s="49" t="s">
        <v>35</v>
      </c>
      <c r="B29" s="49" t="s">
        <v>68</v>
      </c>
      <c r="C29" s="49" t="s">
        <v>313</v>
      </c>
      <c r="D29" s="49" t="s">
        <v>266</v>
      </c>
      <c r="E29" s="49" t="s">
        <v>314</v>
      </c>
      <c r="F29" s="49">
        <v>413892.30400000064</v>
      </c>
      <c r="G29" s="49">
        <v>422013.64000000019</v>
      </c>
      <c r="H29" s="49">
        <v>593690.16000000015</v>
      </c>
      <c r="I29" s="49">
        <v>526862.54900000023</v>
      </c>
      <c r="J29" s="49">
        <v>783413.46899999958</v>
      </c>
      <c r="K29" s="49">
        <v>2230762.7189999991</v>
      </c>
      <c r="L29" s="49">
        <v>1005047.3310000001</v>
      </c>
      <c r="M29" s="49">
        <v>1080993.0920000016</v>
      </c>
      <c r="N29" s="49">
        <v>1451540.4619999998</v>
      </c>
      <c r="O29" s="49">
        <v>1469035.607000001</v>
      </c>
      <c r="P29" s="49">
        <v>1132604.023000001</v>
      </c>
      <c r="Q29" s="49">
        <v>1571162.3150000009</v>
      </c>
      <c r="R29" s="49">
        <v>1778107.1890000002</v>
      </c>
      <c r="S29" s="49">
        <v>2012556.7939999988</v>
      </c>
      <c r="T29" s="49">
        <v>1480268.4490000017</v>
      </c>
      <c r="U29" s="49">
        <v>1263762.8979999998</v>
      </c>
      <c r="V29" s="49">
        <v>1371502.8950000023</v>
      </c>
      <c r="W29" s="49">
        <v>1402060.8467914269</v>
      </c>
      <c r="X29" s="49">
        <v>1209461.0209339987</v>
      </c>
      <c r="Y29" s="49">
        <v>1379223.1929348139</v>
      </c>
      <c r="Z29" s="49">
        <v>1376344.4628621484</v>
      </c>
      <c r="AA29" s="49">
        <v>1600892.7860928103</v>
      </c>
      <c r="AB29" s="49">
        <v>1930759.2093149996</v>
      </c>
      <c r="AC29" s="49">
        <v>1841881.1790250023</v>
      </c>
    </row>
    <row r="30" spans="1:29" ht="15.75" customHeight="1">
      <c r="A30" s="49" t="s">
        <v>35</v>
      </c>
      <c r="B30" s="49" t="s">
        <v>68</v>
      </c>
      <c r="C30" s="49" t="s">
        <v>313</v>
      </c>
      <c r="D30" s="49" t="s">
        <v>269</v>
      </c>
      <c r="E30" s="49" t="s">
        <v>314</v>
      </c>
      <c r="F30" s="49">
        <v>14686.345000000001</v>
      </c>
      <c r="G30" s="49">
        <v>19611.151000000002</v>
      </c>
      <c r="H30" s="49">
        <v>21541.993999999999</v>
      </c>
      <c r="I30" s="49">
        <v>29519.427</v>
      </c>
      <c r="J30" s="49">
        <v>52605.002000000008</v>
      </c>
      <c r="K30" s="49">
        <v>65439.098000000005</v>
      </c>
      <c r="L30" s="49">
        <v>78119.717000000004</v>
      </c>
      <c r="M30" s="49">
        <v>199316.27000000002</v>
      </c>
      <c r="N30" s="49">
        <v>134421.092</v>
      </c>
      <c r="O30" s="49">
        <v>825284.76899999985</v>
      </c>
      <c r="P30" s="49">
        <v>876524.60800000001</v>
      </c>
      <c r="Q30" s="49">
        <v>545902.64</v>
      </c>
      <c r="R30" s="49">
        <v>393838.67500000005</v>
      </c>
      <c r="S30" s="49">
        <v>247551.49900000001</v>
      </c>
      <c r="T30" s="49">
        <v>229317.704</v>
      </c>
      <c r="U30" s="49">
        <v>1221489.2479999999</v>
      </c>
      <c r="V30" s="49">
        <v>237292.33799999999</v>
      </c>
      <c r="W30" s="49">
        <v>196459.80502290436</v>
      </c>
      <c r="X30" s="49">
        <v>224842.03194599997</v>
      </c>
      <c r="Y30" s="49">
        <v>265276.18467023224</v>
      </c>
      <c r="Z30" s="49">
        <v>207299.4293295957</v>
      </c>
      <c r="AA30" s="49">
        <v>211245.29246819555</v>
      </c>
      <c r="AB30" s="49">
        <v>250499.31730800003</v>
      </c>
      <c r="AC30" s="49">
        <v>292033.1835269999</v>
      </c>
    </row>
    <row r="31" spans="1:29" ht="15.75" customHeight="1">
      <c r="A31" s="49" t="s">
        <v>35</v>
      </c>
      <c r="B31" s="49" t="s">
        <v>68</v>
      </c>
      <c r="C31" s="49" t="s">
        <v>313</v>
      </c>
      <c r="D31" s="49" t="s">
        <v>271</v>
      </c>
      <c r="E31" s="49" t="s">
        <v>314</v>
      </c>
      <c r="F31" s="49">
        <v>5688.0190000000002</v>
      </c>
      <c r="G31" s="49">
        <v>4600.335</v>
      </c>
      <c r="H31" s="49">
        <v>4733.2039999999997</v>
      </c>
      <c r="I31" s="49">
        <v>2660.971</v>
      </c>
      <c r="J31" s="49">
        <v>7019.5370000000003</v>
      </c>
      <c r="K31" s="49">
        <v>5652.5860000000002</v>
      </c>
      <c r="L31" s="49">
        <v>6647.1350000000002</v>
      </c>
      <c r="M31" s="49">
        <v>7372.1379999999999</v>
      </c>
      <c r="N31" s="49">
        <v>6172.8459999999995</v>
      </c>
      <c r="O31" s="49">
        <v>7639.3680000000004</v>
      </c>
      <c r="P31" s="49">
        <v>5072.8789999999999</v>
      </c>
      <c r="Q31" s="49">
        <v>7551.84</v>
      </c>
      <c r="R31" s="49">
        <v>6870.6949999999997</v>
      </c>
      <c r="S31" s="49">
        <v>9025.4529999999995</v>
      </c>
      <c r="T31" s="49">
        <v>9314.6329999999998</v>
      </c>
      <c r="U31" s="49">
        <v>10956.003999999999</v>
      </c>
      <c r="V31" s="49">
        <v>10125.758</v>
      </c>
      <c r="W31" s="49">
        <v>10455.84409570748</v>
      </c>
      <c r="X31" s="49">
        <v>7717.2159640000009</v>
      </c>
      <c r="Y31" s="49">
        <v>7407.831363804361</v>
      </c>
      <c r="Z31" s="49">
        <v>3888.2871362497599</v>
      </c>
      <c r="AA31" s="49">
        <v>6017.7113455621502</v>
      </c>
      <c r="AB31" s="49">
        <v>8532.7643200000002</v>
      </c>
      <c r="AC31" s="49">
        <v>9673.0079100000003</v>
      </c>
    </row>
    <row r="32" spans="1:29" ht="15.75" customHeight="1">
      <c r="A32" s="49" t="s">
        <v>35</v>
      </c>
      <c r="B32" s="49" t="s">
        <v>68</v>
      </c>
      <c r="C32" s="49" t="s">
        <v>313</v>
      </c>
      <c r="D32" s="49" t="s">
        <v>273</v>
      </c>
      <c r="E32" s="49" t="s">
        <v>314</v>
      </c>
      <c r="F32" s="49">
        <v>130141.579</v>
      </c>
      <c r="G32" s="49">
        <v>122721.44500000001</v>
      </c>
      <c r="H32" s="49">
        <v>259409.42799999999</v>
      </c>
      <c r="I32" s="49">
        <v>200040.73699999999</v>
      </c>
      <c r="J32" s="49">
        <v>331921.17799999996</v>
      </c>
      <c r="K32" s="49">
        <v>1500122.4889999998</v>
      </c>
      <c r="L32" s="49">
        <v>157439.448</v>
      </c>
      <c r="M32" s="49">
        <v>206016.49099999998</v>
      </c>
      <c r="N32" s="49">
        <v>310851.91599999997</v>
      </c>
      <c r="O32" s="49">
        <v>773854.04100000008</v>
      </c>
      <c r="P32" s="49">
        <v>464858.18499999994</v>
      </c>
      <c r="Q32" s="49">
        <v>631974.45400000003</v>
      </c>
      <c r="R32" s="49">
        <v>601981.62399999995</v>
      </c>
      <c r="S32" s="49">
        <v>657091.11399999994</v>
      </c>
      <c r="T32" s="49">
        <v>513059.27699999994</v>
      </c>
      <c r="U32" s="49">
        <v>370734.609</v>
      </c>
      <c r="V32" s="49">
        <v>512647.59700000001</v>
      </c>
      <c r="W32" s="49">
        <v>542075.56912856549</v>
      </c>
      <c r="X32" s="49">
        <v>682929.92273700004</v>
      </c>
      <c r="Y32" s="49">
        <v>652559.57546565344</v>
      </c>
      <c r="Z32" s="49">
        <v>289575.09502229869</v>
      </c>
      <c r="AA32" s="49">
        <v>670139.45319002587</v>
      </c>
      <c r="AB32" s="49">
        <v>1297720.3804579999</v>
      </c>
      <c r="AC32" s="49">
        <v>727864.99241699988</v>
      </c>
    </row>
    <row r="33" spans="1:29" ht="15.75" customHeight="1">
      <c r="A33" s="49" t="s">
        <v>35</v>
      </c>
      <c r="B33" s="49" t="s">
        <v>68</v>
      </c>
      <c r="C33" s="49" t="s">
        <v>313</v>
      </c>
      <c r="D33" s="49" t="s">
        <v>274</v>
      </c>
      <c r="E33" s="49" t="s">
        <v>314</v>
      </c>
      <c r="F33" s="49">
        <v>6801.1860000000006</v>
      </c>
      <c r="G33" s="49">
        <v>8300.5540000000001</v>
      </c>
      <c r="H33" s="49">
        <v>7579.7150000000001</v>
      </c>
      <c r="I33" s="49">
        <v>7252.058</v>
      </c>
      <c r="J33" s="49">
        <v>10584.948</v>
      </c>
      <c r="K33" s="49">
        <v>27111.948</v>
      </c>
      <c r="L33" s="49">
        <v>36989.120999999999</v>
      </c>
      <c r="M33" s="49">
        <v>15012.289999999999</v>
      </c>
      <c r="N33" s="49">
        <v>17560.841</v>
      </c>
      <c r="O33" s="49">
        <v>37885.934999999998</v>
      </c>
      <c r="P33" s="49">
        <v>19510.946</v>
      </c>
      <c r="Q33" s="49">
        <v>10596.844000000001</v>
      </c>
      <c r="R33" s="49">
        <v>10322.695</v>
      </c>
      <c r="S33" s="49">
        <v>21153.252</v>
      </c>
      <c r="T33" s="49">
        <v>8062.43</v>
      </c>
      <c r="U33" s="49">
        <v>5101.433</v>
      </c>
      <c r="V33" s="49">
        <v>5606.0529999999999</v>
      </c>
      <c r="W33" s="49">
        <v>13865.23265539446</v>
      </c>
      <c r="X33" s="49">
        <v>6143.2719240000006</v>
      </c>
      <c r="Y33" s="49">
        <v>4718.2153442199296</v>
      </c>
      <c r="Z33" s="49">
        <v>4364.8063225436808</v>
      </c>
      <c r="AA33" s="49">
        <v>8395.2744050152505</v>
      </c>
      <c r="AB33" s="49">
        <v>6576.9511000000002</v>
      </c>
      <c r="AC33" s="49">
        <v>5591.1253399999996</v>
      </c>
    </row>
    <row r="34" spans="1:29" ht="15.75" customHeight="1">
      <c r="A34" s="49" t="s">
        <v>35</v>
      </c>
      <c r="B34" s="49" t="s">
        <v>68</v>
      </c>
      <c r="C34" s="49" t="s">
        <v>313</v>
      </c>
      <c r="D34" s="49" t="s">
        <v>276</v>
      </c>
      <c r="E34" s="49" t="s">
        <v>314</v>
      </c>
      <c r="F34" s="49">
        <v>22626.170000000002</v>
      </c>
      <c r="G34" s="49">
        <v>18274.288</v>
      </c>
      <c r="H34" s="49">
        <v>22987.108</v>
      </c>
      <c r="I34" s="49">
        <v>19658.874</v>
      </c>
      <c r="J34" s="49">
        <v>23055.537999999997</v>
      </c>
      <c r="K34" s="49">
        <v>25010.397000000001</v>
      </c>
      <c r="L34" s="49">
        <v>25924.147000000001</v>
      </c>
      <c r="M34" s="49">
        <v>32965.873</v>
      </c>
      <c r="N34" s="49">
        <v>36917.913</v>
      </c>
      <c r="O34" s="49">
        <v>38132.75</v>
      </c>
      <c r="P34" s="49">
        <v>36566.241000000002</v>
      </c>
      <c r="Q34" s="49">
        <v>50556.237000000001</v>
      </c>
      <c r="R34" s="49">
        <v>56040.311000000002</v>
      </c>
      <c r="S34" s="49">
        <v>67437.856</v>
      </c>
      <c r="T34" s="49">
        <v>57586.587</v>
      </c>
      <c r="U34" s="49">
        <v>49084.7</v>
      </c>
      <c r="V34" s="49">
        <v>53374.131000000001</v>
      </c>
      <c r="W34" s="49">
        <v>40032.507775869941</v>
      </c>
      <c r="X34" s="49">
        <v>33310.800061999995</v>
      </c>
      <c r="Y34" s="49">
        <v>32801.005893236637</v>
      </c>
      <c r="Z34" s="49">
        <v>32583.826345617665</v>
      </c>
      <c r="AA34" s="49">
        <v>37074.542640913103</v>
      </c>
      <c r="AB34" s="49">
        <v>45477.757799999999</v>
      </c>
      <c r="AC34" s="49">
        <v>51877.836404999995</v>
      </c>
    </row>
    <row r="35" spans="1:29" ht="15.75" customHeight="1">
      <c r="A35" s="49" t="s">
        <v>35</v>
      </c>
      <c r="B35" s="49" t="s">
        <v>68</v>
      </c>
      <c r="C35" s="49" t="s">
        <v>313</v>
      </c>
      <c r="D35" s="49" t="s">
        <v>278</v>
      </c>
      <c r="E35" s="49" t="s">
        <v>314</v>
      </c>
      <c r="F35" s="49">
        <v>10431.824999999997</v>
      </c>
      <c r="G35" s="49">
        <v>18108.385999999999</v>
      </c>
      <c r="H35" s="49">
        <v>10209.419</v>
      </c>
      <c r="I35" s="49">
        <v>6458.3019999999997</v>
      </c>
      <c r="J35" s="49">
        <v>145205.82799999998</v>
      </c>
      <c r="K35" s="49">
        <v>271296.79300000001</v>
      </c>
      <c r="L35" s="49">
        <v>472980.83199999999</v>
      </c>
      <c r="M35" s="49">
        <v>455163.67699999997</v>
      </c>
      <c r="N35" s="49">
        <v>1610526.6610000001</v>
      </c>
      <c r="O35" s="49">
        <v>1116804.7490000001</v>
      </c>
      <c r="P35" s="49">
        <v>1039608.308</v>
      </c>
      <c r="Q35" s="49">
        <v>3634160.8470000001</v>
      </c>
      <c r="R35" s="49">
        <v>1926835.034</v>
      </c>
      <c r="S35" s="49">
        <v>2326545.4790000003</v>
      </c>
      <c r="T35" s="49">
        <v>1462887.1610000001</v>
      </c>
      <c r="U35" s="49">
        <v>1022934.129</v>
      </c>
      <c r="V35" s="49">
        <v>985181.74</v>
      </c>
      <c r="W35" s="49">
        <v>1671403.4095138933</v>
      </c>
      <c r="X35" s="49">
        <v>888071.80752699997</v>
      </c>
      <c r="Y35" s="49">
        <v>2605452.8201190727</v>
      </c>
      <c r="Z35" s="49">
        <v>1279940.4100733574</v>
      </c>
      <c r="AA35" s="49">
        <v>968793.68621066283</v>
      </c>
      <c r="AB35" s="49">
        <v>1207323.0204190002</v>
      </c>
      <c r="AC35" s="49">
        <v>1521495.6746629998</v>
      </c>
    </row>
    <row r="36" spans="1:29" ht="15.75" customHeight="1">
      <c r="A36" s="49" t="s">
        <v>35</v>
      </c>
      <c r="B36" s="49" t="s">
        <v>68</v>
      </c>
      <c r="C36" s="49" t="s">
        <v>313</v>
      </c>
      <c r="D36" s="49" t="s">
        <v>281</v>
      </c>
      <c r="E36" s="49" t="s">
        <v>314</v>
      </c>
      <c r="F36" s="49">
        <v>113073.89200000001</v>
      </c>
      <c r="G36" s="49">
        <v>130180.89700000001</v>
      </c>
      <c r="H36" s="49">
        <v>195562.51300000001</v>
      </c>
      <c r="I36" s="49">
        <v>115338.51799999998</v>
      </c>
      <c r="J36" s="49">
        <v>192720.57299999997</v>
      </c>
      <c r="K36" s="49">
        <v>316314.69299999997</v>
      </c>
      <c r="L36" s="49">
        <v>510356.53700000001</v>
      </c>
      <c r="M36" s="49">
        <v>552229.53499999992</v>
      </c>
      <c r="N36" s="49">
        <v>572644.60700000008</v>
      </c>
      <c r="O36" s="49">
        <v>405470.5</v>
      </c>
      <c r="P36" s="49">
        <v>249505.00199999998</v>
      </c>
      <c r="Q36" s="49">
        <v>379474.96899999998</v>
      </c>
      <c r="R36" s="49">
        <v>321982.50899999996</v>
      </c>
      <c r="S36" s="49">
        <v>611703.44200000004</v>
      </c>
      <c r="T36" s="49">
        <v>707351.9040000001</v>
      </c>
      <c r="U36" s="49">
        <v>568693.81600000011</v>
      </c>
      <c r="V36" s="49">
        <v>472501.14300000004</v>
      </c>
      <c r="W36" s="49">
        <v>476902.19738366274</v>
      </c>
      <c r="X36" s="49">
        <v>211252.82509799994</v>
      </c>
      <c r="Y36" s="49">
        <v>299705.24925011594</v>
      </c>
      <c r="Z36" s="49">
        <v>462574.98364143929</v>
      </c>
      <c r="AA36" s="49">
        <v>735319.04116295849</v>
      </c>
      <c r="AB36" s="49">
        <v>558003.96019600006</v>
      </c>
      <c r="AC36" s="49">
        <v>522724.44514600001</v>
      </c>
    </row>
    <row r="37" spans="1:29" ht="15.75" customHeight="1">
      <c r="A37" s="49" t="s">
        <v>35</v>
      </c>
      <c r="B37" s="49" t="s">
        <v>68</v>
      </c>
      <c r="C37" s="49" t="s">
        <v>313</v>
      </c>
      <c r="D37" s="49" t="s">
        <v>286</v>
      </c>
      <c r="E37" s="49" t="s">
        <v>314</v>
      </c>
      <c r="F37" s="49">
        <v>23138.673999999999</v>
      </c>
      <c r="G37" s="49">
        <v>15798.578</v>
      </c>
      <c r="H37" s="49">
        <v>15442.638000000001</v>
      </c>
      <c r="I37" s="49">
        <v>31945.29</v>
      </c>
      <c r="J37" s="49">
        <v>31772.144</v>
      </c>
      <c r="K37" s="49">
        <v>34254.135999999999</v>
      </c>
      <c r="L37" s="49">
        <v>39423.656999999999</v>
      </c>
      <c r="M37" s="49">
        <v>41005.707000000002</v>
      </c>
      <c r="N37" s="49">
        <v>58623.123000000007</v>
      </c>
      <c r="O37" s="49">
        <v>49630.859000000004</v>
      </c>
      <c r="P37" s="49">
        <v>55966.923000000003</v>
      </c>
      <c r="Q37" s="49">
        <v>145924.54399999999</v>
      </c>
      <c r="R37" s="49">
        <v>136665.35200000001</v>
      </c>
      <c r="S37" s="49">
        <v>73150.733999999997</v>
      </c>
      <c r="T37" s="49">
        <v>53039.823999999993</v>
      </c>
      <c r="U37" s="49">
        <v>48343.122000000003</v>
      </c>
      <c r="V37" s="49">
        <v>45525.046999999999</v>
      </c>
      <c r="W37" s="49">
        <v>51830.513219890898</v>
      </c>
      <c r="X37" s="49">
        <v>53197.322176000001</v>
      </c>
      <c r="Y37" s="49">
        <v>82194.937959141185</v>
      </c>
      <c r="Z37" s="49">
        <v>112381.93451806881</v>
      </c>
      <c r="AA37" s="49">
        <v>86308.585610663285</v>
      </c>
      <c r="AB37" s="49">
        <v>86572.048758999998</v>
      </c>
      <c r="AC37" s="49">
        <v>83962.907964999991</v>
      </c>
    </row>
    <row r="38" spans="1:29" ht="15.75" customHeight="1">
      <c r="A38" s="49" t="s">
        <v>35</v>
      </c>
      <c r="B38" s="49" t="s">
        <v>68</v>
      </c>
      <c r="C38" s="49" t="s">
        <v>313</v>
      </c>
      <c r="D38" s="49" t="s">
        <v>291</v>
      </c>
      <c r="E38" s="49" t="s">
        <v>314</v>
      </c>
      <c r="F38" s="49">
        <v>137814.29500000001</v>
      </c>
      <c r="G38" s="49">
        <v>170295.802</v>
      </c>
      <c r="H38" s="49">
        <v>195939.853</v>
      </c>
      <c r="I38" s="49">
        <v>203510.47</v>
      </c>
      <c r="J38" s="49">
        <v>244196.288</v>
      </c>
      <c r="K38" s="49">
        <v>341206.17599999998</v>
      </c>
      <c r="L38" s="49">
        <v>425251.66600000003</v>
      </c>
      <c r="M38" s="49">
        <v>479286.984</v>
      </c>
      <c r="N38" s="49">
        <v>642983.24099999992</v>
      </c>
      <c r="O38" s="49">
        <v>996859.06700000004</v>
      </c>
      <c r="P38" s="49">
        <v>641710.53599999996</v>
      </c>
      <c r="Q38" s="49">
        <v>847026.20699999994</v>
      </c>
      <c r="R38" s="49">
        <v>590445.49900000007</v>
      </c>
      <c r="S38" s="49">
        <v>716514.38699999999</v>
      </c>
      <c r="T38" s="49">
        <v>661869.59499999997</v>
      </c>
      <c r="U38" s="49">
        <v>581131.22699999996</v>
      </c>
      <c r="V38" s="49">
        <v>616984.83200000005</v>
      </c>
      <c r="W38" s="49">
        <v>724100.45137043903</v>
      </c>
      <c r="X38" s="49">
        <v>951191.41957099992</v>
      </c>
      <c r="Y38" s="49">
        <v>1153704.2607221191</v>
      </c>
      <c r="Z38" s="49">
        <v>963470.58870750293</v>
      </c>
      <c r="AA38" s="49">
        <v>1168381.6818326651</v>
      </c>
      <c r="AB38" s="49">
        <v>1653444.1296069999</v>
      </c>
      <c r="AC38" s="49">
        <v>1806338.65597</v>
      </c>
    </row>
    <row r="39" spans="1:29" ht="15.75" customHeight="1">
      <c r="A39" s="49" t="s">
        <v>35</v>
      </c>
      <c r="B39" s="49" t="s">
        <v>68</v>
      </c>
      <c r="C39" s="49" t="s">
        <v>313</v>
      </c>
      <c r="D39" s="49" t="s">
        <v>293</v>
      </c>
      <c r="E39" s="49" t="s">
        <v>314</v>
      </c>
      <c r="F39" s="49">
        <v>80035.568999999959</v>
      </c>
      <c r="G39" s="49">
        <v>108679.64700000008</v>
      </c>
      <c r="H39" s="49">
        <v>135147.62699999989</v>
      </c>
      <c r="I39" s="49">
        <v>141041.20000000001</v>
      </c>
      <c r="J39" s="49">
        <v>337703.2829999997</v>
      </c>
      <c r="K39" s="49">
        <v>569531.78900000046</v>
      </c>
      <c r="L39" s="49">
        <v>865405.73300000024</v>
      </c>
      <c r="M39" s="49">
        <v>938677.12899999996</v>
      </c>
      <c r="N39" s="49">
        <v>2102374.8760000011</v>
      </c>
      <c r="O39" s="49">
        <v>1932447.3049999997</v>
      </c>
      <c r="P39" s="49">
        <v>1612990.0020000001</v>
      </c>
      <c r="Q39" s="49">
        <v>4348050.1759999925</v>
      </c>
      <c r="R39" s="49">
        <v>2600965.3589999983</v>
      </c>
      <c r="S39" s="49">
        <v>3022835.1650000014</v>
      </c>
      <c r="T39" s="49">
        <v>2165452.2160000019</v>
      </c>
      <c r="U39" s="49">
        <v>1689765.0590000011</v>
      </c>
      <c r="V39" s="49">
        <v>1538590.3449999993</v>
      </c>
      <c r="W39" s="49">
        <v>2250494.1203306941</v>
      </c>
      <c r="X39" s="49">
        <v>1771500.7003289992</v>
      </c>
      <c r="Y39" s="49">
        <v>3788575.928944102</v>
      </c>
      <c r="Z39" s="49">
        <v>2269849.311144711</v>
      </c>
      <c r="AA39" s="49">
        <v>2191425.4041087436</v>
      </c>
      <c r="AB39" s="49">
        <v>2812114.0077599995</v>
      </c>
      <c r="AC39" s="49">
        <v>3432904.785157999</v>
      </c>
    </row>
    <row r="40" spans="1:29" ht="15.75" customHeight="1">
      <c r="A40" s="49" t="s">
        <v>35</v>
      </c>
      <c r="B40" s="49" t="s">
        <v>68</v>
      </c>
      <c r="C40" s="49" t="s">
        <v>313</v>
      </c>
      <c r="D40" s="49" t="s">
        <v>295</v>
      </c>
      <c r="E40" s="49" t="s">
        <v>314</v>
      </c>
      <c r="F40" s="49">
        <v>47657.550999999999</v>
      </c>
      <c r="G40" s="49">
        <v>51034.949000000001</v>
      </c>
      <c r="H40" s="49">
        <v>57866.785000000003</v>
      </c>
      <c r="I40" s="49">
        <v>56069.479999999996</v>
      </c>
      <c r="J40" s="49">
        <v>68271.051999999996</v>
      </c>
      <c r="K40" s="49">
        <v>73311.421000000017</v>
      </c>
      <c r="L40" s="49">
        <v>91302.915000000023</v>
      </c>
      <c r="M40" s="49">
        <v>72525.088000000003</v>
      </c>
      <c r="N40" s="49">
        <v>95756.910999999964</v>
      </c>
      <c r="O40" s="49">
        <v>110239.03699999998</v>
      </c>
      <c r="P40" s="49">
        <v>101947.22399999999</v>
      </c>
      <c r="Q40" s="49">
        <v>124587.70299999994</v>
      </c>
      <c r="R40" s="49">
        <v>112499.27300000003</v>
      </c>
      <c r="S40" s="49">
        <v>165572.03899999996</v>
      </c>
      <c r="T40" s="49">
        <v>117903.33600000002</v>
      </c>
      <c r="U40" s="49">
        <v>142789.18399999992</v>
      </c>
      <c r="V40" s="49">
        <v>275336.15300000005</v>
      </c>
      <c r="W40" s="49">
        <v>322996.81208266766</v>
      </c>
      <c r="X40" s="49">
        <v>302852.55443399993</v>
      </c>
      <c r="Y40" s="49">
        <v>208962.37196339705</v>
      </c>
      <c r="Z40" s="49">
        <v>119997.01085104235</v>
      </c>
      <c r="AA40" s="49">
        <v>169125.69833808829</v>
      </c>
      <c r="AB40" s="49">
        <v>304438.13751000015</v>
      </c>
      <c r="AC40" s="49">
        <v>199724.07566900001</v>
      </c>
    </row>
    <row r="41" spans="1:29" ht="15.75" customHeight="1">
      <c r="A41" s="49" t="s">
        <v>35</v>
      </c>
      <c r="B41" s="49" t="s">
        <v>68</v>
      </c>
      <c r="C41" s="49" t="s">
        <v>313</v>
      </c>
      <c r="D41" s="49" t="s">
        <v>297</v>
      </c>
      <c r="E41" s="49" t="s">
        <v>314</v>
      </c>
      <c r="F41" s="49">
        <v>5687.4699999999993</v>
      </c>
      <c r="G41" s="49">
        <v>5065.3099999999995</v>
      </c>
      <c r="H41" s="49">
        <v>7859.2110000000002</v>
      </c>
      <c r="I41" s="49">
        <v>7143.6140000000005</v>
      </c>
      <c r="J41" s="49">
        <v>7611.61</v>
      </c>
      <c r="K41" s="49">
        <v>7347.7630000000008</v>
      </c>
      <c r="L41" s="49">
        <v>8111.848</v>
      </c>
      <c r="M41" s="49">
        <v>11209.978999999999</v>
      </c>
      <c r="N41" s="49">
        <v>16775.174999999999</v>
      </c>
      <c r="O41" s="49">
        <v>16470.216</v>
      </c>
      <c r="P41" s="49">
        <v>21268.142999999996</v>
      </c>
      <c r="Q41" s="49">
        <v>25789.880999999998</v>
      </c>
      <c r="R41" s="49">
        <v>30376.697000000004</v>
      </c>
      <c r="S41" s="49">
        <v>35890.441999999995</v>
      </c>
      <c r="T41" s="49">
        <v>37622.023999999998</v>
      </c>
      <c r="U41" s="49">
        <v>28880.933000000001</v>
      </c>
      <c r="V41" s="49">
        <v>25799.22</v>
      </c>
      <c r="W41" s="49">
        <v>24256.2290161487</v>
      </c>
      <c r="X41" s="49">
        <v>29039.557419000001</v>
      </c>
      <c r="Y41" s="49">
        <v>27654.00745026521</v>
      </c>
      <c r="Z41" s="49">
        <v>24252.30911218686</v>
      </c>
      <c r="AA41" s="49">
        <v>49366.119164469652</v>
      </c>
      <c r="AB41" s="49">
        <v>30445.351669</v>
      </c>
      <c r="AC41" s="49">
        <v>28454.998497</v>
      </c>
    </row>
    <row r="42" spans="1:29" ht="15.75" customHeight="1">
      <c r="A42" s="49" t="s">
        <v>35</v>
      </c>
      <c r="B42" s="49" t="s">
        <v>68</v>
      </c>
      <c r="C42" s="49" t="s">
        <v>313</v>
      </c>
      <c r="D42" s="49" t="s">
        <v>299</v>
      </c>
      <c r="E42" s="49" t="s">
        <v>314</v>
      </c>
      <c r="F42" s="49">
        <v>229896.06300000017</v>
      </c>
      <c r="G42" s="49">
        <v>249334.81600000017</v>
      </c>
      <c r="H42" s="49">
        <v>535373.24099999899</v>
      </c>
      <c r="I42" s="49">
        <v>899616.46800000069</v>
      </c>
      <c r="J42" s="49">
        <v>1979470.8699999985</v>
      </c>
      <c r="K42" s="49">
        <v>2413287.3700000057</v>
      </c>
      <c r="L42" s="49">
        <v>3746095.8170000012</v>
      </c>
      <c r="M42" s="49">
        <v>3802877.04</v>
      </c>
      <c r="N42" s="49">
        <v>4888987.9900000021</v>
      </c>
      <c r="O42" s="49">
        <v>2610009.0069999951</v>
      </c>
      <c r="P42" s="49">
        <v>5547819.0389999971</v>
      </c>
      <c r="Q42" s="49">
        <v>9314284.9050000031</v>
      </c>
      <c r="R42" s="49">
        <v>8940501.7959999777</v>
      </c>
      <c r="S42" s="49">
        <v>8957240.6280000042</v>
      </c>
      <c r="T42" s="49">
        <v>5868325.2070000032</v>
      </c>
      <c r="U42" s="49">
        <v>3674482.1710000029</v>
      </c>
      <c r="V42" s="49">
        <v>4122852.6090000006</v>
      </c>
      <c r="W42" s="49">
        <v>7555470.9558476713</v>
      </c>
      <c r="X42" s="49">
        <v>7166254.5788189946</v>
      </c>
      <c r="Y42" s="49">
        <v>5360387.3970426088</v>
      </c>
      <c r="Z42" s="49">
        <v>4528508.3758714888</v>
      </c>
      <c r="AA42" s="49">
        <v>6687389.3059984567</v>
      </c>
      <c r="AB42" s="49">
        <v>6742421.070115</v>
      </c>
      <c r="AC42" s="49">
        <v>6559957.5931280069</v>
      </c>
    </row>
    <row r="43" spans="1:29" ht="15.75" customHeight="1">
      <c r="A43" s="49" t="s">
        <v>35</v>
      </c>
      <c r="B43" s="49" t="s">
        <v>68</v>
      </c>
      <c r="C43" s="49" t="s">
        <v>313</v>
      </c>
      <c r="D43" s="49" t="s">
        <v>301</v>
      </c>
      <c r="E43" s="49" t="s">
        <v>314</v>
      </c>
      <c r="F43" s="49">
        <v>91431.000000000015</v>
      </c>
      <c r="G43" s="49">
        <v>96973.510999999984</v>
      </c>
      <c r="H43" s="49">
        <v>101086.883</v>
      </c>
      <c r="I43" s="49">
        <v>111666.503</v>
      </c>
      <c r="J43" s="49">
        <v>175392.53900000002</v>
      </c>
      <c r="K43" s="49">
        <v>315231.00599999999</v>
      </c>
      <c r="L43" s="49">
        <v>310341.21799999999</v>
      </c>
      <c r="M43" s="49">
        <v>309697.34200000006</v>
      </c>
      <c r="N43" s="49">
        <v>309312.75900000002</v>
      </c>
      <c r="O43" s="49">
        <v>308111.46400000004</v>
      </c>
      <c r="P43" s="49">
        <v>423466.28600000008</v>
      </c>
      <c r="Q43" s="49">
        <v>552207.79299999995</v>
      </c>
      <c r="R43" s="49">
        <v>895557.47400000005</v>
      </c>
      <c r="S43" s="49">
        <v>754936.40700000001</v>
      </c>
      <c r="T43" s="49">
        <v>515265.50700000004</v>
      </c>
      <c r="U43" s="49">
        <v>530822.19199999992</v>
      </c>
      <c r="V43" s="49">
        <v>568348.397</v>
      </c>
      <c r="W43" s="49">
        <v>633604.4689551983</v>
      </c>
      <c r="X43" s="49">
        <v>661788.01142400014</v>
      </c>
      <c r="Y43" s="49">
        <v>693417.77578416222</v>
      </c>
      <c r="Z43" s="49">
        <v>595599.71525722044</v>
      </c>
      <c r="AA43" s="49">
        <v>742534.47034936619</v>
      </c>
      <c r="AB43" s="49">
        <v>764530.91332100006</v>
      </c>
      <c r="AC43" s="49">
        <v>1015548.170479</v>
      </c>
    </row>
    <row r="44" spans="1:29" ht="15.75" customHeight="1">
      <c r="A44" s="49" t="s">
        <v>35</v>
      </c>
      <c r="B44" s="49" t="s">
        <v>68</v>
      </c>
      <c r="C44" s="49" t="s">
        <v>313</v>
      </c>
      <c r="D44" s="49" t="s">
        <v>302</v>
      </c>
      <c r="E44" s="49" t="s">
        <v>314</v>
      </c>
      <c r="F44" s="49">
        <v>89828.23</v>
      </c>
      <c r="G44" s="49">
        <v>94370.23</v>
      </c>
      <c r="H44" s="49">
        <v>120757.29299999999</v>
      </c>
      <c r="I44" s="49">
        <v>146833.731</v>
      </c>
      <c r="J44" s="49">
        <v>148791.478</v>
      </c>
      <c r="K44" s="49">
        <v>113123.503</v>
      </c>
      <c r="L44" s="49">
        <v>105849.35800000001</v>
      </c>
      <c r="M44" s="49">
        <v>109169.88699999997</v>
      </c>
      <c r="N44" s="49">
        <v>119259.65700000001</v>
      </c>
      <c r="O44" s="49">
        <v>143409.38600000003</v>
      </c>
      <c r="P44" s="49">
        <v>192035.50200000001</v>
      </c>
      <c r="Q44" s="49">
        <v>189575.166</v>
      </c>
      <c r="R44" s="49">
        <v>127801.04299999999</v>
      </c>
      <c r="S44" s="49">
        <v>169976.573</v>
      </c>
      <c r="T44" s="49">
        <v>125388.651</v>
      </c>
      <c r="U44" s="49">
        <v>110587.61</v>
      </c>
      <c r="V44" s="49">
        <v>92577.366000000009</v>
      </c>
      <c r="W44" s="49">
        <v>98210.605391769874</v>
      </c>
      <c r="X44" s="49">
        <v>67965.649061000004</v>
      </c>
      <c r="Y44" s="49">
        <v>71505.269876427425</v>
      </c>
      <c r="Z44" s="49">
        <v>52802.524214930214</v>
      </c>
      <c r="AA44" s="49">
        <v>56616.20219997895</v>
      </c>
      <c r="AB44" s="49">
        <v>71998.810444000002</v>
      </c>
      <c r="AC44" s="49">
        <v>73815.982185999994</v>
      </c>
    </row>
    <row r="45" spans="1:29" ht="15.75" customHeight="1">
      <c r="A45" s="49" t="s">
        <v>35</v>
      </c>
      <c r="B45" s="49" t="s">
        <v>68</v>
      </c>
      <c r="C45" s="49" t="s">
        <v>313</v>
      </c>
      <c r="D45" s="52" t="s">
        <v>304</v>
      </c>
      <c r="E45" s="49" t="s">
        <v>314</v>
      </c>
      <c r="F45" s="49">
        <v>787048.12</v>
      </c>
      <c r="G45" s="49">
        <v>926001.60199999996</v>
      </c>
      <c r="H45" s="49">
        <v>1380393.7560000001</v>
      </c>
      <c r="I45" s="49">
        <v>1701905.2290000001</v>
      </c>
      <c r="J45" s="49">
        <v>3416459.3990000002</v>
      </c>
      <c r="K45" s="49">
        <v>5427554.7240000004</v>
      </c>
      <c r="L45" s="49">
        <v>6127249.915</v>
      </c>
      <c r="M45" s="49">
        <v>6390067.9649999999</v>
      </c>
      <c r="N45" s="49">
        <v>8853899.6079999991</v>
      </c>
      <c r="O45" s="49">
        <v>6827539.2050000001</v>
      </c>
      <c r="P45" s="49">
        <v>9066230.0800000001</v>
      </c>
      <c r="Q45" s="49">
        <v>15627481.316</v>
      </c>
      <c r="R45" s="49">
        <v>13552710.810000001</v>
      </c>
      <c r="S45" s="49">
        <v>14189021.907</v>
      </c>
      <c r="T45" s="49">
        <v>9676616.0240000002</v>
      </c>
      <c r="U45" s="49">
        <v>7805083.9929999998</v>
      </c>
      <c r="V45" s="49">
        <v>7354855.1459999997</v>
      </c>
      <c r="W45" s="49">
        <v>11559940.6680704</v>
      </c>
      <c r="X45" s="49">
        <v>10450884.382922001</v>
      </c>
      <c r="Y45" s="49">
        <v>10738688.6032972</v>
      </c>
      <c r="Z45" s="49">
        <v>8295020.1661613099</v>
      </c>
      <c r="AA45" s="49">
        <v>10650086.5915734</v>
      </c>
      <c r="AB45" s="49">
        <v>11830795.241580999</v>
      </c>
      <c r="AC45" s="49">
        <v>12035719.27894</v>
      </c>
    </row>
    <row r="46" spans="1:29" ht="15.75" customHeight="1">
      <c r="A46" s="49" t="s">
        <v>35</v>
      </c>
      <c r="B46" s="49" t="s">
        <v>68</v>
      </c>
      <c r="C46" s="49" t="s">
        <v>313</v>
      </c>
      <c r="D46" s="49" t="s">
        <v>306</v>
      </c>
      <c r="E46" s="49" t="s">
        <v>314</v>
      </c>
      <c r="F46" s="49">
        <v>43.981000000000002</v>
      </c>
      <c r="G46" s="49">
        <v>293.096</v>
      </c>
      <c r="H46" s="49">
        <v>234182.663</v>
      </c>
      <c r="I46" s="49">
        <v>644064.446</v>
      </c>
      <c r="J46" s="49">
        <v>1684591.4779999999</v>
      </c>
      <c r="K46" s="49">
        <v>2136461.0809999998</v>
      </c>
      <c r="L46" s="49">
        <v>3391186.0589999999</v>
      </c>
      <c r="M46" s="49">
        <v>3346472.4750000001</v>
      </c>
      <c r="N46" s="49">
        <v>4523879.4519999996</v>
      </c>
      <c r="O46" s="49">
        <v>1965466.8659999999</v>
      </c>
      <c r="P46" s="49">
        <v>4884925.4170000004</v>
      </c>
      <c r="Q46" s="49">
        <v>8373415.2510000002</v>
      </c>
      <c r="R46" s="49">
        <v>8168662.3609999996</v>
      </c>
      <c r="S46" s="49">
        <v>8190634.0980000002</v>
      </c>
      <c r="T46" s="49">
        <v>5009464.6670000004</v>
      </c>
      <c r="U46" s="49">
        <v>2967465.591</v>
      </c>
      <c r="V46" s="49">
        <v>3479064.3</v>
      </c>
      <c r="W46" s="49">
        <v>6845361.1987681901</v>
      </c>
      <c r="X46" s="49">
        <v>6393044.9774750005</v>
      </c>
      <c r="Y46" s="49">
        <v>4600497.13414873</v>
      </c>
      <c r="Z46" s="49">
        <v>3988500.9176293896</v>
      </c>
      <c r="AA46" s="49">
        <v>5608204.0263282806</v>
      </c>
      <c r="AB46" s="49">
        <v>5508569.794973</v>
      </c>
      <c r="AC46" s="49">
        <v>5539527.3417250002</v>
      </c>
    </row>
    <row r="47" spans="1:29" ht="15.75" customHeight="1">
      <c r="A47" s="49" t="s">
        <v>35</v>
      </c>
      <c r="B47" s="49" t="s">
        <v>68</v>
      </c>
      <c r="C47" s="49" t="s">
        <v>313</v>
      </c>
      <c r="D47" s="49" t="s">
        <v>308</v>
      </c>
      <c r="E47" s="49" t="s">
        <v>314</v>
      </c>
      <c r="F47" s="49">
        <v>37166.542999999998</v>
      </c>
      <c r="G47" s="49">
        <v>40080.451000000001</v>
      </c>
      <c r="H47" s="49">
        <v>52532.166000000005</v>
      </c>
      <c r="I47" s="49">
        <v>40267.855999999992</v>
      </c>
      <c r="J47" s="49">
        <v>44781.87</v>
      </c>
      <c r="K47" s="49">
        <v>46959.028999999995</v>
      </c>
      <c r="L47" s="49">
        <v>50381.324000000008</v>
      </c>
      <c r="M47" s="49">
        <v>67496.473000000013</v>
      </c>
      <c r="N47" s="49">
        <v>69478.166000000012</v>
      </c>
      <c r="O47" s="49">
        <v>66887.043000000005</v>
      </c>
      <c r="P47" s="49">
        <v>70462.260000000009</v>
      </c>
      <c r="Q47" s="49">
        <v>139611.02100000001</v>
      </c>
      <c r="R47" s="49">
        <v>141666.14400000003</v>
      </c>
      <c r="S47" s="49">
        <v>192393.698</v>
      </c>
      <c r="T47" s="49">
        <v>190266.087</v>
      </c>
      <c r="U47" s="49">
        <v>164246.80500000002</v>
      </c>
      <c r="V47" s="49">
        <v>135865.992</v>
      </c>
      <c r="W47" s="49">
        <v>135420.30902082022</v>
      </c>
      <c r="X47" s="49">
        <v>129237.59610699999</v>
      </c>
      <c r="Y47" s="49">
        <v>132910.93604265741</v>
      </c>
      <c r="Z47" s="49">
        <v>143868.75405017246</v>
      </c>
      <c r="AA47" s="49">
        <v>162531.46206663901</v>
      </c>
      <c r="AB47" s="49">
        <v>183394.184587</v>
      </c>
      <c r="AC47" s="49">
        <v>216971.912679</v>
      </c>
    </row>
    <row r="48" spans="1:29" ht="15.75" customHeight="1">
      <c r="A48" s="49" t="s">
        <v>35</v>
      </c>
      <c r="B48" s="49" t="s">
        <v>68</v>
      </c>
      <c r="C48" s="49" t="s">
        <v>313</v>
      </c>
      <c r="D48" s="49" t="s">
        <v>310</v>
      </c>
      <c r="E48" s="49" t="s">
        <v>314</v>
      </c>
      <c r="F48" s="49">
        <v>2669.8879999999999</v>
      </c>
      <c r="G48" s="49">
        <v>3338.5169999999998</v>
      </c>
      <c r="H48" s="49">
        <v>1997.3940000000002</v>
      </c>
      <c r="I48" s="49">
        <v>1477.088</v>
      </c>
      <c r="J48" s="49">
        <v>1621.9239999999998</v>
      </c>
      <c r="K48" s="49">
        <v>2232.2809999999999</v>
      </c>
      <c r="L48" s="49">
        <v>1576.075</v>
      </c>
      <c r="M48" s="49">
        <v>3092.1790000000001</v>
      </c>
      <c r="N48" s="49">
        <v>1648.1100000000001</v>
      </c>
      <c r="O48" s="49">
        <v>3077.87</v>
      </c>
      <c r="P48" s="49">
        <v>9373.5370000000003</v>
      </c>
      <c r="Q48" s="49">
        <v>8428.5490000000009</v>
      </c>
      <c r="R48" s="49">
        <v>9845.8760000000002</v>
      </c>
      <c r="S48" s="49">
        <v>13628.812</v>
      </c>
      <c r="T48" s="49">
        <v>17522.603999999999</v>
      </c>
      <c r="U48" s="49">
        <v>14189.226000000001</v>
      </c>
      <c r="V48" s="49">
        <v>28520.452000000001</v>
      </c>
      <c r="W48" s="49">
        <v>9841.6675032809399</v>
      </c>
      <c r="X48" s="49">
        <v>5645.536212</v>
      </c>
      <c r="Y48" s="49">
        <v>6466.44580603338</v>
      </c>
      <c r="Z48" s="49">
        <v>3957.7990952454402</v>
      </c>
      <c r="AA48" s="49">
        <v>7517.2952112534003</v>
      </c>
      <c r="AB48" s="49">
        <v>10804.425610999999</v>
      </c>
      <c r="AC48" s="49">
        <v>12282.687331000001</v>
      </c>
    </row>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1000"/>
  <sheetViews>
    <sheetView workbookViewId="0"/>
  </sheetViews>
  <sheetFormatPr defaultColWidth="12.5703125" defaultRowHeight="15" customHeight="1"/>
  <cols>
    <col min="1" max="1" width="8.5703125" customWidth="1"/>
    <col min="2" max="2" width="16" customWidth="1"/>
    <col min="3" max="3" width="16.28515625" customWidth="1"/>
    <col min="4" max="4" width="14.28515625" customWidth="1"/>
    <col min="5" max="6" width="20.85546875" customWidth="1"/>
    <col min="7" max="8" width="27.42578125" customWidth="1"/>
    <col min="9" max="9" width="35.7109375" customWidth="1"/>
    <col min="10" max="26" width="8.5703125" customWidth="1"/>
  </cols>
  <sheetData>
    <row r="1" spans="1:26" ht="30">
      <c r="A1" s="57" t="s">
        <v>351</v>
      </c>
      <c r="B1" s="57" t="s">
        <v>232</v>
      </c>
      <c r="C1" s="57" t="s">
        <v>233</v>
      </c>
      <c r="D1" s="57" t="s">
        <v>236</v>
      </c>
      <c r="E1" s="58" t="s">
        <v>352</v>
      </c>
      <c r="F1" s="58" t="s">
        <v>353</v>
      </c>
      <c r="G1" s="58" t="s">
        <v>354</v>
      </c>
      <c r="H1" s="58" t="s">
        <v>355</v>
      </c>
      <c r="I1" s="58" t="s">
        <v>356</v>
      </c>
      <c r="J1" s="57"/>
      <c r="K1" s="57"/>
      <c r="L1" s="57"/>
      <c r="M1" s="57"/>
      <c r="N1" s="57"/>
      <c r="O1" s="57"/>
      <c r="P1" s="59"/>
      <c r="Q1" s="59"/>
      <c r="R1" s="59"/>
      <c r="S1" s="59"/>
      <c r="T1" s="59"/>
      <c r="U1" s="59"/>
      <c r="V1" s="59"/>
      <c r="W1" s="59"/>
      <c r="X1" s="59"/>
      <c r="Y1" s="59"/>
      <c r="Z1" s="59"/>
    </row>
    <row r="2" spans="1:26">
      <c r="A2" s="49">
        <v>2000</v>
      </c>
      <c r="B2" s="49" t="s">
        <v>35</v>
      </c>
      <c r="C2" s="49" t="s">
        <v>68</v>
      </c>
      <c r="D2" s="49" t="s">
        <v>304</v>
      </c>
      <c r="E2" s="49">
        <v>787048.12</v>
      </c>
      <c r="F2" s="49">
        <f t="shared" ref="F2:F25" si="0">E2/1000</f>
        <v>787.04812000000004</v>
      </c>
      <c r="G2" s="49">
        <v>1401559.7890000001</v>
      </c>
      <c r="H2" s="49">
        <f t="shared" ref="H2:H25" si="1">G2/1000</f>
        <v>1401.5597890000001</v>
      </c>
      <c r="I2" s="60">
        <v>116.63</v>
      </c>
    </row>
    <row r="3" spans="1:26">
      <c r="A3" s="49">
        <v>2001</v>
      </c>
      <c r="B3" s="49" t="s">
        <v>35</v>
      </c>
      <c r="C3" s="49" t="s">
        <v>68</v>
      </c>
      <c r="D3" s="49" t="s">
        <v>304</v>
      </c>
      <c r="E3" s="49">
        <v>926001.60199999996</v>
      </c>
      <c r="F3" s="49">
        <f t="shared" si="0"/>
        <v>926.00160199999993</v>
      </c>
      <c r="G3" s="49">
        <v>1354741.831</v>
      </c>
      <c r="H3" s="49">
        <f t="shared" si="1"/>
        <v>1354.741831</v>
      </c>
      <c r="I3" s="60">
        <v>35.700000000000003</v>
      </c>
    </row>
    <row r="4" spans="1:26">
      <c r="A4" s="49">
        <v>2002</v>
      </c>
      <c r="B4" s="49" t="s">
        <v>35</v>
      </c>
      <c r="C4" s="49" t="s">
        <v>68</v>
      </c>
      <c r="D4" s="49" t="s">
        <v>304</v>
      </c>
      <c r="E4" s="49">
        <v>1380393.7560000001</v>
      </c>
      <c r="F4" s="49">
        <f t="shared" si="0"/>
        <v>1380.3937559999999</v>
      </c>
      <c r="G4" s="49">
        <v>1333690.9539999999</v>
      </c>
      <c r="H4" s="49">
        <f t="shared" si="1"/>
        <v>1333.6909539999999</v>
      </c>
      <c r="I4" s="60">
        <v>47.13</v>
      </c>
    </row>
    <row r="5" spans="1:26">
      <c r="A5" s="49">
        <v>2003</v>
      </c>
      <c r="B5" s="49" t="s">
        <v>35</v>
      </c>
      <c r="C5" s="49" t="s">
        <v>68</v>
      </c>
      <c r="D5" s="49" t="s">
        <v>304</v>
      </c>
      <c r="E5" s="49">
        <v>1701905.2290000001</v>
      </c>
      <c r="F5" s="49">
        <f t="shared" si="0"/>
        <v>1701.905229</v>
      </c>
      <c r="G5" s="49">
        <v>1867028.6540000001</v>
      </c>
      <c r="H5" s="49">
        <f t="shared" si="1"/>
        <v>1867.0286540000002</v>
      </c>
      <c r="I5" s="60">
        <v>36.53</v>
      </c>
    </row>
    <row r="6" spans="1:26">
      <c r="A6" s="49">
        <v>2004</v>
      </c>
      <c r="B6" s="49" t="s">
        <v>35</v>
      </c>
      <c r="C6" s="49" t="s">
        <v>68</v>
      </c>
      <c r="D6" s="49" t="s">
        <v>304</v>
      </c>
      <c r="E6" s="49">
        <v>3416459.3990000002</v>
      </c>
      <c r="F6" s="49">
        <f t="shared" si="0"/>
        <v>3416.4593990000003</v>
      </c>
      <c r="G6" s="49">
        <v>2492154.91</v>
      </c>
      <c r="H6" s="49">
        <f t="shared" si="1"/>
        <v>2492.1549100000002</v>
      </c>
      <c r="I6" s="60">
        <v>62.07</v>
      </c>
    </row>
    <row r="7" spans="1:26">
      <c r="A7" s="49">
        <v>2005</v>
      </c>
      <c r="B7" s="49" t="s">
        <v>35</v>
      </c>
      <c r="C7" s="49" t="s">
        <v>68</v>
      </c>
      <c r="D7" s="49" t="s">
        <v>304</v>
      </c>
      <c r="E7" s="49">
        <v>5427554.7240000004</v>
      </c>
      <c r="F7" s="49">
        <f t="shared" si="0"/>
        <v>5427.5547240000005</v>
      </c>
      <c r="G7" s="49">
        <v>3159415.8629999999</v>
      </c>
      <c r="H7" s="49">
        <f t="shared" si="1"/>
        <v>3159.4158629999997</v>
      </c>
      <c r="I7" s="60">
        <v>321.48</v>
      </c>
    </row>
    <row r="8" spans="1:26">
      <c r="A8" s="49">
        <v>2006</v>
      </c>
      <c r="B8" s="49" t="s">
        <v>35</v>
      </c>
      <c r="C8" s="49" t="s">
        <v>68</v>
      </c>
      <c r="D8" s="49" t="s">
        <v>304</v>
      </c>
      <c r="E8" s="49">
        <v>6127249.915</v>
      </c>
      <c r="F8" s="49">
        <f t="shared" si="0"/>
        <v>6127.2499150000003</v>
      </c>
      <c r="G8" s="49">
        <v>5184561.8679999998</v>
      </c>
      <c r="H8" s="49">
        <f t="shared" si="1"/>
        <v>5184.5618679999998</v>
      </c>
      <c r="I8" s="60">
        <v>620.66</v>
      </c>
    </row>
    <row r="9" spans="1:26">
      <c r="A9" s="49">
        <v>2007</v>
      </c>
      <c r="B9" s="49" t="s">
        <v>35</v>
      </c>
      <c r="C9" s="49" t="s">
        <v>68</v>
      </c>
      <c r="D9" s="49" t="s">
        <v>304</v>
      </c>
      <c r="E9" s="49">
        <v>6390067.9649999999</v>
      </c>
      <c r="F9" s="49">
        <f t="shared" si="0"/>
        <v>6390.0679650000002</v>
      </c>
      <c r="G9" s="49">
        <v>6901607.0860000001</v>
      </c>
      <c r="H9" s="49">
        <f t="shared" si="1"/>
        <v>6901.607086</v>
      </c>
      <c r="I9" s="61">
        <v>1455.72</v>
      </c>
    </row>
    <row r="10" spans="1:26">
      <c r="A10" s="49">
        <v>2008</v>
      </c>
      <c r="B10" s="49" t="s">
        <v>35</v>
      </c>
      <c r="C10" s="49" t="s">
        <v>68</v>
      </c>
      <c r="D10" s="49" t="s">
        <v>304</v>
      </c>
      <c r="E10" s="49">
        <v>8853899.6079999991</v>
      </c>
      <c r="F10" s="49">
        <f t="shared" si="0"/>
        <v>8853.8996079999997</v>
      </c>
      <c r="G10" s="49">
        <v>8304750.6890000002</v>
      </c>
      <c r="H10" s="49">
        <f t="shared" si="1"/>
        <v>8304.7506890000004</v>
      </c>
      <c r="I10" s="61">
        <v>3763.49</v>
      </c>
    </row>
    <row r="11" spans="1:26">
      <c r="A11" s="49">
        <v>2009</v>
      </c>
      <c r="B11" s="49" t="s">
        <v>35</v>
      </c>
      <c r="C11" s="49" t="s">
        <v>68</v>
      </c>
      <c r="D11" s="49" t="s">
        <v>304</v>
      </c>
      <c r="E11" s="49">
        <v>6827539.2050000001</v>
      </c>
      <c r="F11" s="49">
        <f t="shared" si="0"/>
        <v>6827.539205</v>
      </c>
      <c r="G11" s="49">
        <v>6141634.2340000002</v>
      </c>
      <c r="H11" s="49">
        <f t="shared" si="1"/>
        <v>6141.6342340000001</v>
      </c>
      <c r="I11" s="61">
        <v>3059.54</v>
      </c>
    </row>
    <row r="12" spans="1:26">
      <c r="A12" s="49">
        <v>2010</v>
      </c>
      <c r="B12" s="49" t="s">
        <v>35</v>
      </c>
      <c r="C12" s="49" t="s">
        <v>68</v>
      </c>
      <c r="D12" s="49" t="s">
        <v>304</v>
      </c>
      <c r="E12" s="49">
        <v>9066230.0800000001</v>
      </c>
      <c r="F12" s="49">
        <f t="shared" si="0"/>
        <v>9066.2300799999994</v>
      </c>
      <c r="G12" s="49">
        <v>7263136.2429999998</v>
      </c>
      <c r="H12" s="49">
        <f t="shared" si="1"/>
        <v>7263.1362429999999</v>
      </c>
      <c r="I12" s="61">
        <v>2121.3200000000002</v>
      </c>
    </row>
    <row r="13" spans="1:26">
      <c r="A13" s="49">
        <v>2011</v>
      </c>
      <c r="B13" s="49" t="s">
        <v>35</v>
      </c>
      <c r="C13" s="49" t="s">
        <v>68</v>
      </c>
      <c r="D13" s="49" t="s">
        <v>304</v>
      </c>
      <c r="E13" s="49">
        <v>15627481.316</v>
      </c>
      <c r="F13" s="49">
        <f t="shared" si="0"/>
        <v>15627.481315999999</v>
      </c>
      <c r="G13" s="49">
        <v>8155302.0389999999</v>
      </c>
      <c r="H13" s="49">
        <f t="shared" si="1"/>
        <v>8155.3020390000001</v>
      </c>
      <c r="I13" s="61">
        <v>4255.09</v>
      </c>
    </row>
    <row r="14" spans="1:26">
      <c r="A14" s="49">
        <v>2012</v>
      </c>
      <c r="B14" s="49" t="s">
        <v>35</v>
      </c>
      <c r="C14" s="49" t="s">
        <v>68</v>
      </c>
      <c r="D14" s="49" t="s">
        <v>304</v>
      </c>
      <c r="E14" s="49">
        <v>13552710.810000001</v>
      </c>
      <c r="F14" s="49">
        <f t="shared" si="0"/>
        <v>13552.71081</v>
      </c>
      <c r="G14" s="49">
        <v>7797327.2220000001</v>
      </c>
      <c r="H14" s="49">
        <f t="shared" si="1"/>
        <v>7797.3272219999999</v>
      </c>
      <c r="I14" s="61">
        <v>2897.2</v>
      </c>
    </row>
    <row r="15" spans="1:26">
      <c r="A15" s="49">
        <v>2013</v>
      </c>
      <c r="B15" s="49" t="s">
        <v>35</v>
      </c>
      <c r="C15" s="49" t="s">
        <v>68</v>
      </c>
      <c r="D15" s="49" t="s">
        <v>304</v>
      </c>
      <c r="E15" s="49">
        <v>14189021.907</v>
      </c>
      <c r="F15" s="49">
        <f t="shared" si="0"/>
        <v>14189.021907</v>
      </c>
      <c r="G15" s="49">
        <v>7026636.5140000004</v>
      </c>
      <c r="H15" s="49">
        <f t="shared" si="1"/>
        <v>7026.6365140000007</v>
      </c>
      <c r="I15" s="61">
        <v>3874.14</v>
      </c>
    </row>
    <row r="16" spans="1:26">
      <c r="A16" s="49">
        <v>2014</v>
      </c>
      <c r="B16" s="49" t="s">
        <v>35</v>
      </c>
      <c r="C16" s="49" t="s">
        <v>68</v>
      </c>
      <c r="D16" s="49" t="s">
        <v>304</v>
      </c>
      <c r="E16" s="49">
        <v>9676616.0240000002</v>
      </c>
      <c r="F16" s="49">
        <f t="shared" si="0"/>
        <v>9676.6160240000008</v>
      </c>
      <c r="G16" s="49">
        <v>7069416.6660000002</v>
      </c>
      <c r="H16" s="49">
        <f t="shared" si="1"/>
        <v>7069.4166660000001</v>
      </c>
      <c r="I16" s="61">
        <v>7092.38</v>
      </c>
    </row>
    <row r="17" spans="1:9">
      <c r="A17" s="49">
        <v>2015</v>
      </c>
      <c r="B17" s="49" t="s">
        <v>35</v>
      </c>
      <c r="C17" s="49" t="s">
        <v>68</v>
      </c>
      <c r="D17" s="49" t="s">
        <v>304</v>
      </c>
      <c r="E17" s="49">
        <v>7805083.9929999998</v>
      </c>
      <c r="F17" s="49">
        <f t="shared" si="0"/>
        <v>7805.0839930000002</v>
      </c>
      <c r="G17" s="49">
        <v>7395997.5820000004</v>
      </c>
      <c r="H17" s="49">
        <f t="shared" si="1"/>
        <v>7395.997582</v>
      </c>
      <c r="I17" s="61">
        <v>13414.32</v>
      </c>
    </row>
    <row r="18" spans="1:9">
      <c r="A18" s="49">
        <v>2016</v>
      </c>
      <c r="B18" s="49" t="s">
        <v>35</v>
      </c>
      <c r="C18" s="49" t="s">
        <v>68</v>
      </c>
      <c r="D18" s="49" t="s">
        <v>304</v>
      </c>
      <c r="E18" s="49">
        <v>7354855.1459999997</v>
      </c>
      <c r="F18" s="49">
        <f t="shared" si="0"/>
        <v>7354.8551459999999</v>
      </c>
      <c r="G18" s="49">
        <v>6719479.2450000001</v>
      </c>
      <c r="H18" s="49">
        <f t="shared" si="1"/>
        <v>6719.4792450000004</v>
      </c>
      <c r="I18" s="61">
        <v>9822.18</v>
      </c>
    </row>
    <row r="19" spans="1:9">
      <c r="A19" s="49">
        <v>2017</v>
      </c>
      <c r="B19" s="49" t="s">
        <v>35</v>
      </c>
      <c r="C19" s="49" t="s">
        <v>68</v>
      </c>
      <c r="D19" s="49" t="s">
        <v>304</v>
      </c>
      <c r="E19" s="49">
        <v>11559940.6680704</v>
      </c>
      <c r="F19" s="49">
        <f t="shared" si="0"/>
        <v>11559.9406680704</v>
      </c>
      <c r="G19" s="49">
        <v>7235416.2966757901</v>
      </c>
      <c r="H19" s="49">
        <f t="shared" si="1"/>
        <v>7235.4162966757904</v>
      </c>
      <c r="I19" s="61">
        <v>10808.82</v>
      </c>
    </row>
    <row r="20" spans="1:9">
      <c r="A20" s="49">
        <v>2018</v>
      </c>
      <c r="B20" s="49" t="s">
        <v>35</v>
      </c>
      <c r="C20" s="49" t="s">
        <v>68</v>
      </c>
      <c r="D20" s="49" t="s">
        <v>304</v>
      </c>
      <c r="E20" s="49">
        <v>10450884.382922001</v>
      </c>
      <c r="F20" s="49">
        <f t="shared" si="0"/>
        <v>10450.884382922</v>
      </c>
      <c r="G20" s="49">
        <v>14436507.548188999</v>
      </c>
      <c r="H20" s="49">
        <f t="shared" si="1"/>
        <v>14436.507548189</v>
      </c>
      <c r="I20" s="61">
        <v>15943.36</v>
      </c>
    </row>
    <row r="21" spans="1:9" ht="15.75" customHeight="1">
      <c r="A21" s="49">
        <v>2019</v>
      </c>
      <c r="B21" s="49" t="s">
        <v>35</v>
      </c>
      <c r="C21" s="49" t="s">
        <v>68</v>
      </c>
      <c r="D21" s="49" t="s">
        <v>304</v>
      </c>
      <c r="E21" s="49">
        <v>10738688.6032972</v>
      </c>
      <c r="F21" s="49">
        <f t="shared" si="0"/>
        <v>10738.6886032972</v>
      </c>
      <c r="G21" s="49">
        <v>14893891.8553071</v>
      </c>
      <c r="H21" s="49">
        <f t="shared" si="1"/>
        <v>14893.8918553071</v>
      </c>
      <c r="I21" s="61">
        <v>14904.18</v>
      </c>
    </row>
    <row r="22" spans="1:9" ht="15.75" customHeight="1">
      <c r="A22" s="49">
        <v>2020</v>
      </c>
      <c r="B22" s="49" t="s">
        <v>35</v>
      </c>
      <c r="C22" s="49" t="s">
        <v>68</v>
      </c>
      <c r="D22" s="49" t="s">
        <v>304</v>
      </c>
      <c r="E22" s="49">
        <v>8295020.1661613099</v>
      </c>
      <c r="F22" s="49">
        <f t="shared" si="0"/>
        <v>8295.02016616131</v>
      </c>
      <c r="G22" s="49">
        <v>12306746.9775282</v>
      </c>
      <c r="H22" s="49">
        <f t="shared" si="1"/>
        <v>12306.746977528199</v>
      </c>
      <c r="I22" s="61">
        <v>18735.439999999999</v>
      </c>
    </row>
    <row r="23" spans="1:9" ht="15.75" customHeight="1">
      <c r="A23" s="49">
        <v>2021</v>
      </c>
      <c r="B23" s="49" t="s">
        <v>35</v>
      </c>
      <c r="C23" s="49" t="s">
        <v>68</v>
      </c>
      <c r="D23" s="49" t="s">
        <v>304</v>
      </c>
      <c r="E23" s="49">
        <v>10650086.5915734</v>
      </c>
      <c r="F23" s="49">
        <f t="shared" si="0"/>
        <v>10650.086591573401</v>
      </c>
      <c r="G23" s="49">
        <v>18201531.477632802</v>
      </c>
      <c r="H23" s="49">
        <f t="shared" si="1"/>
        <v>18201.531477632801</v>
      </c>
      <c r="I23" s="61">
        <v>13392</v>
      </c>
    </row>
    <row r="24" spans="1:9" ht="15.75" customHeight="1">
      <c r="A24" s="49">
        <v>2022</v>
      </c>
      <c r="B24" s="49" t="s">
        <v>35</v>
      </c>
      <c r="C24" s="49" t="s">
        <v>68</v>
      </c>
      <c r="D24" s="49" t="s">
        <v>304</v>
      </c>
      <c r="E24" s="49">
        <v>11830795.241580999</v>
      </c>
      <c r="F24" s="49">
        <f t="shared" si="0"/>
        <v>11830.795241580998</v>
      </c>
      <c r="G24" s="49">
        <v>24418725.272813</v>
      </c>
      <c r="H24" s="49">
        <f t="shared" si="1"/>
        <v>24418.725272813001</v>
      </c>
      <c r="I24" s="61">
        <v>17265.57</v>
      </c>
    </row>
    <row r="25" spans="1:9" ht="15.75" customHeight="1">
      <c r="A25" s="49">
        <v>2023</v>
      </c>
      <c r="B25" s="49" t="s">
        <v>35</v>
      </c>
      <c r="C25" s="49" t="s">
        <v>68</v>
      </c>
      <c r="D25" s="49" t="s">
        <v>304</v>
      </c>
      <c r="E25" s="49">
        <v>12035719.27894</v>
      </c>
      <c r="F25" s="49">
        <f t="shared" si="0"/>
        <v>12035.71927894</v>
      </c>
      <c r="G25" s="49">
        <v>6934788.4869769998</v>
      </c>
      <c r="H25" s="49">
        <f t="shared" si="1"/>
        <v>6934.7884869769996</v>
      </c>
      <c r="I25" s="61">
        <v>11568.46</v>
      </c>
    </row>
    <row r="26" spans="1:9" ht="15.75" customHeight="1"/>
    <row r="27" spans="1:9" ht="15.75" customHeight="1"/>
    <row r="28" spans="1:9" ht="15.75" customHeight="1"/>
    <row r="29" spans="1:9" ht="15.75" customHeight="1"/>
    <row r="30" spans="1:9" ht="15.75" customHeight="1"/>
    <row r="31" spans="1:9" ht="15.75" customHeight="1"/>
    <row r="32" spans="1:9"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J25"/>
  <sheetViews>
    <sheetView workbookViewId="0"/>
  </sheetViews>
  <sheetFormatPr defaultColWidth="12.5703125" defaultRowHeight="15" customHeight="1"/>
  <sheetData>
    <row r="1" spans="1:10">
      <c r="A1" s="84" t="s">
        <v>369</v>
      </c>
      <c r="B1" s="74"/>
      <c r="C1" s="62"/>
      <c r="D1" s="62"/>
      <c r="E1" s="62"/>
      <c r="F1" s="62"/>
      <c r="G1" s="62"/>
      <c r="H1" s="62"/>
      <c r="I1" s="62"/>
      <c r="J1" s="62"/>
    </row>
    <row r="2" spans="1:10">
      <c r="A2" s="62"/>
      <c r="B2" s="62"/>
      <c r="C2" s="62"/>
      <c r="D2" s="62"/>
      <c r="E2" s="62"/>
      <c r="F2" s="62"/>
      <c r="G2" s="62"/>
      <c r="H2" s="62"/>
      <c r="I2" s="62"/>
      <c r="J2" s="62"/>
    </row>
    <row r="3" spans="1:10">
      <c r="A3" s="85" t="s">
        <v>371</v>
      </c>
      <c r="B3" s="86"/>
      <c r="C3" s="62"/>
      <c r="D3" s="62"/>
      <c r="E3" s="62"/>
      <c r="F3" s="62"/>
      <c r="G3" s="62"/>
      <c r="H3" s="62"/>
      <c r="I3" s="62"/>
      <c r="J3" s="62"/>
    </row>
    <row r="4" spans="1:10">
      <c r="A4" s="62" t="s">
        <v>372</v>
      </c>
      <c r="B4" s="64">
        <v>0.87343512000000001</v>
      </c>
      <c r="C4" s="62"/>
      <c r="D4" s="62"/>
      <c r="E4" s="62"/>
      <c r="F4" s="62"/>
      <c r="G4" s="62"/>
      <c r="H4" s="62"/>
      <c r="I4" s="62"/>
      <c r="J4" s="62"/>
    </row>
    <row r="5" spans="1:10">
      <c r="A5" s="62" t="s">
        <v>374</v>
      </c>
      <c r="B5" s="64">
        <v>0.76288891000000003</v>
      </c>
      <c r="C5" s="62"/>
      <c r="D5" s="62"/>
      <c r="E5" s="62"/>
      <c r="F5" s="62"/>
      <c r="G5" s="62"/>
      <c r="H5" s="62"/>
      <c r="I5" s="62"/>
      <c r="J5" s="62"/>
    </row>
    <row r="6" spans="1:10">
      <c r="A6" s="62" t="s">
        <v>375</v>
      </c>
      <c r="B6" s="64">
        <v>0.74181237</v>
      </c>
      <c r="C6" s="62"/>
      <c r="D6" s="62"/>
      <c r="E6" s="62"/>
      <c r="F6" s="62"/>
      <c r="G6" s="62"/>
      <c r="H6" s="62"/>
      <c r="I6" s="62"/>
      <c r="J6" s="62"/>
    </row>
    <row r="7" spans="1:10">
      <c r="A7" s="62" t="s">
        <v>377</v>
      </c>
      <c r="B7" s="64">
        <v>9712733205</v>
      </c>
      <c r="C7" s="62"/>
      <c r="D7" s="62"/>
      <c r="E7" s="62"/>
      <c r="F7" s="62"/>
      <c r="G7" s="62"/>
      <c r="H7" s="62"/>
      <c r="I7" s="62"/>
      <c r="J7" s="62"/>
    </row>
    <row r="8" spans="1:10">
      <c r="A8" s="65" t="s">
        <v>378</v>
      </c>
      <c r="B8" s="66">
        <v>50</v>
      </c>
      <c r="C8" s="62"/>
      <c r="D8" s="62"/>
      <c r="E8" s="62"/>
      <c r="F8" s="62"/>
      <c r="G8" s="62"/>
      <c r="H8" s="62"/>
      <c r="I8" s="62"/>
      <c r="J8" s="62"/>
    </row>
    <row r="9" spans="1:10">
      <c r="A9" s="62"/>
      <c r="B9" s="62"/>
      <c r="C9" s="62"/>
      <c r="D9" s="62"/>
      <c r="E9" s="62"/>
      <c r="F9" s="62"/>
      <c r="G9" s="62"/>
      <c r="H9" s="62"/>
      <c r="I9" s="62"/>
      <c r="J9" s="62"/>
    </row>
    <row r="10" spans="1:10">
      <c r="A10" s="62" t="s">
        <v>380</v>
      </c>
      <c r="B10" s="62"/>
      <c r="C10" s="62"/>
      <c r="D10" s="62"/>
      <c r="E10" s="62"/>
      <c r="F10" s="62"/>
      <c r="G10" s="62"/>
      <c r="H10" s="62"/>
      <c r="I10" s="62"/>
      <c r="J10" s="62"/>
    </row>
    <row r="11" spans="1:10">
      <c r="A11" s="63"/>
      <c r="B11" s="63" t="s">
        <v>381</v>
      </c>
      <c r="C11" s="63" t="s">
        <v>382</v>
      </c>
      <c r="D11" s="63" t="s">
        <v>383</v>
      </c>
      <c r="E11" s="63" t="s">
        <v>384</v>
      </c>
      <c r="F11" s="63" t="s">
        <v>386</v>
      </c>
      <c r="G11" s="62"/>
      <c r="H11" s="62"/>
      <c r="I11" s="62"/>
      <c r="J11" s="62"/>
    </row>
    <row r="12" spans="1:10">
      <c r="A12" s="62" t="s">
        <v>387</v>
      </c>
      <c r="B12" s="64">
        <v>4</v>
      </c>
      <c r="C12" s="67">
        <v>1.3658999999999999E+22</v>
      </c>
      <c r="D12" s="67">
        <v>3.4145999999999997E+21</v>
      </c>
      <c r="E12" s="64">
        <v>36.196115800000001</v>
      </c>
      <c r="F12" s="67">
        <v>1.5691000000000001E-13</v>
      </c>
      <c r="G12" s="62"/>
      <c r="H12" s="62"/>
      <c r="I12" s="62"/>
      <c r="J12" s="62"/>
    </row>
    <row r="13" spans="1:10">
      <c r="A13" s="62" t="s">
        <v>388</v>
      </c>
      <c r="B13" s="64">
        <v>45</v>
      </c>
      <c r="C13" s="67">
        <v>4.2452E+21</v>
      </c>
      <c r="D13" s="67">
        <v>9.4337E+19</v>
      </c>
      <c r="E13" s="62"/>
      <c r="F13" s="62"/>
      <c r="G13" s="62"/>
      <c r="H13" s="62"/>
      <c r="I13" s="62"/>
      <c r="J13" s="62"/>
    </row>
    <row r="14" spans="1:10">
      <c r="A14" s="65" t="s">
        <v>390</v>
      </c>
      <c r="B14" s="66">
        <v>49</v>
      </c>
      <c r="C14" s="68">
        <v>1.7904E+22</v>
      </c>
      <c r="D14" s="65"/>
      <c r="E14" s="65"/>
      <c r="F14" s="65"/>
      <c r="G14" s="62"/>
      <c r="H14" s="62"/>
      <c r="I14" s="62"/>
      <c r="J14" s="62"/>
    </row>
    <row r="15" spans="1:10">
      <c r="A15" s="62"/>
      <c r="B15" s="62"/>
      <c r="C15" s="62"/>
      <c r="D15" s="62"/>
      <c r="E15" s="62"/>
      <c r="F15" s="62"/>
      <c r="G15" s="62"/>
      <c r="H15" s="62"/>
      <c r="I15" s="62"/>
      <c r="J15" s="62"/>
    </row>
    <row r="16" spans="1:10">
      <c r="A16" s="63"/>
      <c r="B16" s="63" t="s">
        <v>391</v>
      </c>
      <c r="C16" s="63" t="s">
        <v>377</v>
      </c>
      <c r="D16" s="63" t="s">
        <v>392</v>
      </c>
      <c r="E16" s="63" t="s">
        <v>393</v>
      </c>
      <c r="F16" s="63" t="s">
        <v>394</v>
      </c>
      <c r="G16" s="63" t="s">
        <v>395</v>
      </c>
      <c r="H16" s="63" t="s">
        <v>396</v>
      </c>
      <c r="I16" s="63" t="s">
        <v>397</v>
      </c>
      <c r="J16" s="62"/>
    </row>
    <row r="17" spans="1:10">
      <c r="A17" s="62" t="s">
        <v>399</v>
      </c>
      <c r="B17" s="67">
        <v>56995000000</v>
      </c>
      <c r="C17" s="67">
        <v>22636000000</v>
      </c>
      <c r="D17" s="64">
        <v>2.51786281</v>
      </c>
      <c r="E17" s="64">
        <v>1.543418E-2</v>
      </c>
      <c r="F17" s="67">
        <v>11403000000</v>
      </c>
      <c r="G17" s="67">
        <v>102590000000</v>
      </c>
      <c r="H17" s="67">
        <v>11403000000</v>
      </c>
      <c r="I17" s="67">
        <v>102590000000</v>
      </c>
      <c r="J17" s="62"/>
    </row>
    <row r="18" spans="1:10">
      <c r="A18" s="62" t="s">
        <v>17</v>
      </c>
      <c r="B18" s="67">
        <v>-1061000000</v>
      </c>
      <c r="C18" s="64">
        <v>555422911</v>
      </c>
      <c r="D18" s="64">
        <v>-1.9100405</v>
      </c>
      <c r="E18" s="64">
        <v>6.2513979999999997E-2</v>
      </c>
      <c r="F18" s="67">
        <v>-2180000000</v>
      </c>
      <c r="G18" s="64">
        <v>57798937.299999997</v>
      </c>
      <c r="H18" s="67">
        <v>-2180000000</v>
      </c>
      <c r="I18" s="64">
        <v>57798937.299999997</v>
      </c>
      <c r="J18" s="62"/>
    </row>
    <row r="19" spans="1:10">
      <c r="A19" s="62" t="s">
        <v>30</v>
      </c>
      <c r="B19" s="64">
        <v>-118962344</v>
      </c>
      <c r="C19" s="64">
        <v>264672137</v>
      </c>
      <c r="D19" s="64">
        <v>-0.4494706</v>
      </c>
      <c r="E19" s="64">
        <v>0.65524972999999997</v>
      </c>
      <c r="F19" s="64">
        <v>-652039392</v>
      </c>
      <c r="G19" s="64">
        <v>414114704</v>
      </c>
      <c r="H19" s="64">
        <v>-652039392</v>
      </c>
      <c r="I19" s="64">
        <v>414114704</v>
      </c>
      <c r="J19" s="62"/>
    </row>
    <row r="20" spans="1:10">
      <c r="A20" s="62" t="s">
        <v>50</v>
      </c>
      <c r="B20" s="67">
        <v>-4006000000</v>
      </c>
      <c r="C20" s="64">
        <v>1323969118</v>
      </c>
      <c r="D20" s="64">
        <v>-3.0256446000000001</v>
      </c>
      <c r="E20" s="64">
        <v>4.0922600000000003E-3</v>
      </c>
      <c r="F20" s="67">
        <v>-6672000000</v>
      </c>
      <c r="G20" s="67">
        <v>-1339000000</v>
      </c>
      <c r="H20" s="67">
        <v>-6672000000</v>
      </c>
      <c r="I20" s="67">
        <v>-1339000000</v>
      </c>
      <c r="J20" s="62"/>
    </row>
    <row r="21" spans="1:10">
      <c r="A21" s="65" t="s">
        <v>57</v>
      </c>
      <c r="B21" s="66">
        <v>966818277</v>
      </c>
      <c r="C21" s="66">
        <v>107131265</v>
      </c>
      <c r="D21" s="66">
        <v>9.0246136799999999</v>
      </c>
      <c r="E21" s="68">
        <v>1.1697000000000001E-11</v>
      </c>
      <c r="F21" s="66">
        <v>751044833</v>
      </c>
      <c r="G21" s="66">
        <v>1182591720</v>
      </c>
      <c r="H21" s="66">
        <v>751044833</v>
      </c>
      <c r="I21" s="66">
        <v>1182591720</v>
      </c>
      <c r="J21" s="62"/>
    </row>
    <row r="22" spans="1:10">
      <c r="A22" s="62"/>
      <c r="B22" s="62"/>
      <c r="C22" s="62"/>
      <c r="D22" s="62"/>
      <c r="E22" s="62"/>
      <c r="F22" s="62"/>
      <c r="G22" s="62"/>
      <c r="H22" s="62"/>
      <c r="I22" s="62"/>
      <c r="J22" s="62"/>
    </row>
    <row r="23" spans="1:10">
      <c r="A23" s="62"/>
      <c r="B23" s="62"/>
      <c r="C23" s="62"/>
      <c r="D23" s="62"/>
      <c r="E23" s="62"/>
      <c r="F23" s="62"/>
      <c r="G23" s="62"/>
      <c r="H23" s="62"/>
      <c r="I23" s="62"/>
      <c r="J23" s="62"/>
    </row>
    <row r="24" spans="1:10">
      <c r="A24" s="62"/>
      <c r="B24" s="62"/>
      <c r="C24" s="62"/>
      <c r="D24" s="62"/>
      <c r="E24" s="62"/>
      <c r="F24" s="62"/>
      <c r="G24" s="62"/>
      <c r="H24" s="62"/>
      <c r="I24" s="62"/>
      <c r="J24" s="62"/>
    </row>
    <row r="25" spans="1:10">
      <c r="A25" s="62"/>
      <c r="B25" s="62"/>
      <c r="C25" s="62"/>
      <c r="D25" s="62"/>
      <c r="E25" s="62"/>
      <c r="F25" s="62"/>
      <c r="G25" s="62"/>
      <c r="H25" s="62"/>
      <c r="I25" s="62"/>
      <c r="J25" s="62"/>
    </row>
  </sheetData>
  <mergeCells count="2">
    <mergeCell ref="A1:B1"/>
    <mergeCell ref="A3:B3"/>
  </mergeCells>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
  <sheetViews>
    <sheetView workbookViewId="0"/>
  </sheetViews>
  <sheetFormatPr defaultColWidth="12.5703125" defaultRowHeight="15" customHeight="1"/>
  <sheetData/>
  <pageMargins left="0.7" right="0.7" top="0.75" bottom="0.75" header="0" footer="0"/>
  <pageSetup orientation="landscape"/>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4A86E8"/>
    <outlinePr summaryBelow="0" summaryRight="0"/>
  </sheetPr>
  <dimension ref="A1:AC3"/>
  <sheetViews>
    <sheetView workbookViewId="0"/>
  </sheetViews>
  <sheetFormatPr defaultColWidth="12.5703125" defaultRowHeight="15" customHeight="1"/>
  <sheetData>
    <row r="1" spans="1:29">
      <c r="A1" s="70" t="s">
        <v>232</v>
      </c>
      <c r="B1" s="70" t="s">
        <v>233</v>
      </c>
      <c r="C1" s="70" t="s">
        <v>234</v>
      </c>
      <c r="D1" s="70" t="s">
        <v>236</v>
      </c>
      <c r="E1" s="70" t="s">
        <v>237</v>
      </c>
      <c r="F1" s="70">
        <v>2000</v>
      </c>
      <c r="G1" s="70">
        <v>2001</v>
      </c>
      <c r="H1" s="70">
        <v>2002</v>
      </c>
      <c r="I1" s="70">
        <v>2003</v>
      </c>
      <c r="J1" s="70">
        <v>2004</v>
      </c>
      <c r="K1" s="70">
        <v>2005</v>
      </c>
      <c r="L1" s="70">
        <v>2006</v>
      </c>
      <c r="M1" s="70">
        <v>2007</v>
      </c>
      <c r="N1" s="70">
        <v>2008</v>
      </c>
      <c r="O1" s="70">
        <v>2009</v>
      </c>
      <c r="P1" s="70">
        <v>2010</v>
      </c>
      <c r="Q1" s="70">
        <v>2011</v>
      </c>
      <c r="R1" s="70">
        <v>2012</v>
      </c>
      <c r="S1" s="70">
        <v>2013</v>
      </c>
      <c r="T1" s="70">
        <v>2014</v>
      </c>
      <c r="U1" s="70">
        <v>2015</v>
      </c>
      <c r="V1" s="70">
        <v>2016</v>
      </c>
      <c r="W1" s="70">
        <v>2017</v>
      </c>
      <c r="X1" s="70">
        <v>2018</v>
      </c>
      <c r="Y1" s="70">
        <v>2019</v>
      </c>
      <c r="Z1" s="70">
        <v>2020</v>
      </c>
      <c r="AA1" s="70">
        <v>2021</v>
      </c>
      <c r="AB1" s="70">
        <v>2022</v>
      </c>
      <c r="AC1" s="70">
        <v>2023</v>
      </c>
    </row>
    <row r="2" spans="1:29">
      <c r="A2" s="70" t="s">
        <v>35</v>
      </c>
      <c r="B2" s="70" t="s">
        <v>132</v>
      </c>
      <c r="C2" s="70" t="s">
        <v>263</v>
      </c>
      <c r="D2" s="70" t="s">
        <v>431</v>
      </c>
      <c r="E2" s="70" t="s">
        <v>265</v>
      </c>
      <c r="F2" s="71">
        <v>1477580</v>
      </c>
      <c r="G2" s="71">
        <v>1827549</v>
      </c>
      <c r="H2" s="71">
        <v>2619849.2599999998</v>
      </c>
      <c r="I2" s="71">
        <v>3615125.64</v>
      </c>
      <c r="J2" s="71">
        <v>6051256.7400000002</v>
      </c>
      <c r="K2" s="71">
        <v>10167061.1</v>
      </c>
      <c r="L2" s="71">
        <v>15639063.5</v>
      </c>
      <c r="M2" s="71">
        <v>24575771.699999999</v>
      </c>
      <c r="N2" s="71">
        <v>31586024.199999999</v>
      </c>
      <c r="O2" s="71">
        <v>30613370.699999999</v>
      </c>
      <c r="P2" s="71">
        <v>41249115.799999997</v>
      </c>
      <c r="Q2" s="71">
        <v>55483025.399999999</v>
      </c>
      <c r="R2" s="71">
        <v>54140455.399999999</v>
      </c>
      <c r="S2" s="71">
        <v>51635444</v>
      </c>
      <c r="T2" s="71">
        <v>58230546.299999997</v>
      </c>
      <c r="U2" s="71">
        <v>61604426.700000003</v>
      </c>
      <c r="V2" s="71">
        <v>60483103.299999997</v>
      </c>
      <c r="W2" s="71">
        <v>71922747.799999997</v>
      </c>
      <c r="X2" s="71">
        <v>73605378</v>
      </c>
      <c r="Y2" s="71">
        <v>68402092.599999994</v>
      </c>
      <c r="Z2" s="71">
        <v>58798824.700000003</v>
      </c>
      <c r="AA2" s="71">
        <v>87535135.700000003</v>
      </c>
      <c r="AB2" s="71">
        <v>102249180</v>
      </c>
      <c r="AC2" s="71">
        <v>121967410</v>
      </c>
    </row>
    <row r="3" spans="1:29">
      <c r="A3" s="70" t="s">
        <v>35</v>
      </c>
      <c r="B3" s="70" t="s">
        <v>132</v>
      </c>
      <c r="C3" s="70" t="s">
        <v>313</v>
      </c>
      <c r="D3" s="70" t="s">
        <v>431</v>
      </c>
      <c r="E3" s="70" t="s">
        <v>314</v>
      </c>
      <c r="F3" s="71">
        <v>734887.75</v>
      </c>
      <c r="G3" s="71">
        <v>922542.3</v>
      </c>
      <c r="H3" s="71">
        <v>1531603.81</v>
      </c>
      <c r="I3" s="71">
        <v>2567161.9</v>
      </c>
      <c r="J3" s="71">
        <v>4098514.37</v>
      </c>
      <c r="K3" s="71">
        <v>7183792.3099999996</v>
      </c>
      <c r="L3" s="71">
        <v>7829167.5800000001</v>
      </c>
      <c r="M3" s="71">
        <v>9491978.1799999997</v>
      </c>
      <c r="N3" s="71">
        <v>10093926.800000001</v>
      </c>
      <c r="O3" s="71">
        <v>10370052.5</v>
      </c>
      <c r="P3" s="71">
        <v>17439991.300000001</v>
      </c>
      <c r="Q3" s="71">
        <v>16717786.300000001</v>
      </c>
      <c r="R3" s="71">
        <v>14729316.6</v>
      </c>
      <c r="S3" s="71">
        <v>16416825</v>
      </c>
      <c r="T3" s="71">
        <v>13434250.5</v>
      </c>
      <c r="U3" s="71">
        <v>9576578.8000000007</v>
      </c>
      <c r="V3" s="71">
        <v>8916072.9800000004</v>
      </c>
      <c r="W3" s="71">
        <v>12495230.5</v>
      </c>
      <c r="X3" s="71">
        <v>16375997</v>
      </c>
      <c r="Y3" s="71">
        <v>17278832.699999999</v>
      </c>
      <c r="Z3" s="71">
        <v>19008266.699999999</v>
      </c>
      <c r="AA3" s="71">
        <v>23036597.300000001</v>
      </c>
      <c r="AB3" s="71">
        <v>15084401</v>
      </c>
      <c r="AC3" s="71">
        <v>16245421.9</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4A86E8"/>
    <outlinePr summaryBelow="0" summaryRight="0"/>
  </sheetPr>
  <dimension ref="A1:E25"/>
  <sheetViews>
    <sheetView workbookViewId="0"/>
  </sheetViews>
  <sheetFormatPr defaultColWidth="12.5703125" defaultRowHeight="15" customHeight="1"/>
  <cols>
    <col min="1" max="1" width="4.7109375" customWidth="1"/>
    <col min="2" max="2" width="18.140625" customWidth="1"/>
    <col min="3" max="3" width="18.28515625" customWidth="1"/>
    <col min="4" max="4" width="21.42578125" customWidth="1"/>
    <col min="5" max="5" width="13.28515625" customWidth="1"/>
  </cols>
  <sheetData>
    <row r="1" spans="1:5">
      <c r="A1" s="70" t="s">
        <v>351</v>
      </c>
      <c r="B1" s="70" t="s">
        <v>314</v>
      </c>
      <c r="C1" s="70" t="s">
        <v>265</v>
      </c>
      <c r="D1" s="70" t="s">
        <v>432</v>
      </c>
      <c r="E1" s="70" t="s">
        <v>433</v>
      </c>
    </row>
    <row r="2" spans="1:5">
      <c r="A2" s="70">
        <v>2000</v>
      </c>
      <c r="B2" s="71">
        <v>734887.75</v>
      </c>
      <c r="C2" s="71">
        <v>1477580.01</v>
      </c>
      <c r="D2" s="71">
        <v>2212467.7599999998</v>
      </c>
      <c r="E2" s="70"/>
    </row>
    <row r="3" spans="1:5">
      <c r="A3" s="70">
        <v>2001</v>
      </c>
      <c r="B3" s="71">
        <v>922542.34</v>
      </c>
      <c r="C3" s="71">
        <v>1827549.4</v>
      </c>
      <c r="D3" s="71">
        <v>2750091.74</v>
      </c>
      <c r="E3" s="71">
        <v>24.3</v>
      </c>
    </row>
    <row r="4" spans="1:5">
      <c r="A4" s="70">
        <v>2002</v>
      </c>
      <c r="B4" s="71">
        <v>1531603.81</v>
      </c>
      <c r="C4" s="71">
        <v>2619849.2609999999</v>
      </c>
      <c r="D4" s="71">
        <v>4151453.071</v>
      </c>
      <c r="E4" s="71">
        <v>50.96</v>
      </c>
    </row>
    <row r="5" spans="1:5">
      <c r="A5" s="70">
        <v>2003</v>
      </c>
      <c r="B5" s="71">
        <v>2567161.9</v>
      </c>
      <c r="C5" s="71">
        <v>3615125.6409999998</v>
      </c>
      <c r="D5" s="71">
        <v>6182287.5410000002</v>
      </c>
      <c r="E5" s="71">
        <v>48.92</v>
      </c>
    </row>
    <row r="6" spans="1:5">
      <c r="A6" s="70">
        <v>2004</v>
      </c>
      <c r="B6" s="71">
        <v>4098514.37</v>
      </c>
      <c r="C6" s="71">
        <v>6051256.7359999996</v>
      </c>
      <c r="D6" s="71">
        <v>10149771.109999999</v>
      </c>
      <c r="E6" s="71">
        <v>64.180000000000007</v>
      </c>
    </row>
    <row r="7" spans="1:5">
      <c r="A7" s="70">
        <v>2005</v>
      </c>
      <c r="B7" s="71">
        <v>7183792.3099999996</v>
      </c>
      <c r="C7" s="71">
        <v>10167061.140000001</v>
      </c>
      <c r="D7" s="71">
        <v>17350853.449999999</v>
      </c>
      <c r="E7" s="71">
        <v>70.95</v>
      </c>
    </row>
    <row r="8" spans="1:5">
      <c r="A8" s="70">
        <v>2006</v>
      </c>
      <c r="B8" s="71">
        <v>7829167.5800000001</v>
      </c>
      <c r="C8" s="71">
        <v>15639063.51</v>
      </c>
      <c r="D8" s="71">
        <v>23468231.09</v>
      </c>
      <c r="E8" s="71">
        <v>35.26</v>
      </c>
    </row>
    <row r="9" spans="1:5">
      <c r="A9" s="70">
        <v>2007</v>
      </c>
      <c r="B9" s="71">
        <v>9491978.1799999997</v>
      </c>
      <c r="C9" s="71">
        <v>24575771.75</v>
      </c>
      <c r="D9" s="71">
        <v>34067749.93</v>
      </c>
      <c r="E9" s="71">
        <v>45.17</v>
      </c>
    </row>
    <row r="10" spans="1:5">
      <c r="A10" s="70">
        <v>2008</v>
      </c>
      <c r="B10" s="71">
        <v>10093926.800000001</v>
      </c>
      <c r="C10" s="71">
        <v>31586024.210000001</v>
      </c>
      <c r="D10" s="71">
        <v>41679951.009999998</v>
      </c>
      <c r="E10" s="71">
        <v>22.34</v>
      </c>
    </row>
    <row r="11" spans="1:5">
      <c r="A11" s="70">
        <v>2009</v>
      </c>
      <c r="B11" s="71">
        <v>10370052.5</v>
      </c>
      <c r="C11" s="71">
        <v>30613370.690000001</v>
      </c>
      <c r="D11" s="71">
        <v>40983423.189999998</v>
      </c>
      <c r="E11" s="71">
        <v>-1.67</v>
      </c>
    </row>
    <row r="12" spans="1:5">
      <c r="A12" s="70">
        <v>2010</v>
      </c>
      <c r="B12" s="71">
        <v>17439991.300000001</v>
      </c>
      <c r="C12" s="71">
        <v>41249115.789999999</v>
      </c>
      <c r="D12" s="71">
        <v>58689107.090000004</v>
      </c>
      <c r="E12" s="71">
        <v>43.2</v>
      </c>
    </row>
    <row r="13" spans="1:5">
      <c r="A13" s="70">
        <v>2011</v>
      </c>
      <c r="B13" s="71">
        <v>16717786.300000001</v>
      </c>
      <c r="C13" s="71">
        <v>55483025.359999999</v>
      </c>
      <c r="D13" s="71">
        <v>72200811.659999996</v>
      </c>
      <c r="E13" s="71">
        <v>23.02</v>
      </c>
    </row>
    <row r="14" spans="1:5">
      <c r="A14" s="70">
        <v>2012</v>
      </c>
      <c r="B14" s="71">
        <v>14729316.6</v>
      </c>
      <c r="C14" s="71">
        <v>54140455.369999997</v>
      </c>
      <c r="D14" s="71">
        <v>68869771.969999999</v>
      </c>
      <c r="E14" s="71">
        <v>-4.6100000000000003</v>
      </c>
    </row>
    <row r="15" spans="1:5">
      <c r="A15" s="70">
        <v>2013</v>
      </c>
      <c r="B15" s="71">
        <v>16416825.300000001</v>
      </c>
      <c r="C15" s="71">
        <v>51635443.600000001</v>
      </c>
      <c r="D15" s="71">
        <v>68052268.900000006</v>
      </c>
      <c r="E15" s="71">
        <v>-1.19</v>
      </c>
    </row>
    <row r="16" spans="1:5">
      <c r="A16" s="70">
        <v>2014</v>
      </c>
      <c r="B16" s="71">
        <v>13434250.5</v>
      </c>
      <c r="C16" s="71">
        <v>58230546.310000002</v>
      </c>
      <c r="D16" s="71">
        <v>71664796.810000002</v>
      </c>
      <c r="E16" s="71">
        <v>5.31</v>
      </c>
    </row>
    <row r="17" spans="1:5">
      <c r="A17" s="70">
        <v>2015</v>
      </c>
      <c r="B17" s="71">
        <v>9576578.8000000007</v>
      </c>
      <c r="C17" s="71">
        <v>61604426.75</v>
      </c>
      <c r="D17" s="71">
        <v>71181005.549999997</v>
      </c>
      <c r="E17" s="71">
        <v>-0.68</v>
      </c>
    </row>
    <row r="18" spans="1:5">
      <c r="A18" s="70">
        <v>2016</v>
      </c>
      <c r="B18" s="71">
        <v>8916072.9800000004</v>
      </c>
      <c r="C18" s="71">
        <v>60483103.310000002</v>
      </c>
      <c r="D18" s="71">
        <v>69399176.290000007</v>
      </c>
      <c r="E18" s="71">
        <v>-2.5</v>
      </c>
    </row>
    <row r="19" spans="1:5">
      <c r="A19" s="70">
        <v>2017</v>
      </c>
      <c r="B19" s="71">
        <v>12495230.5</v>
      </c>
      <c r="C19" s="71">
        <v>71922747.819999993</v>
      </c>
      <c r="D19" s="71">
        <v>84417978.319999993</v>
      </c>
      <c r="E19" s="71">
        <v>21.64</v>
      </c>
    </row>
    <row r="20" spans="1:5">
      <c r="A20" s="70">
        <v>2018</v>
      </c>
      <c r="B20" s="71">
        <v>16375997.300000001</v>
      </c>
      <c r="C20" s="71">
        <v>73605377.599999994</v>
      </c>
      <c r="D20" s="71">
        <v>89981374.900000006</v>
      </c>
      <c r="E20" s="71">
        <v>6.59</v>
      </c>
    </row>
    <row r="21" spans="1:5">
      <c r="A21" s="70">
        <v>2019</v>
      </c>
      <c r="B21" s="71">
        <v>17278832.699999999</v>
      </c>
      <c r="C21" s="71">
        <v>68402092.560000002</v>
      </c>
      <c r="D21" s="71">
        <v>85680925.260000005</v>
      </c>
      <c r="E21" s="71">
        <v>-4.78</v>
      </c>
    </row>
    <row r="22" spans="1:5">
      <c r="A22" s="70">
        <v>2020</v>
      </c>
      <c r="B22" s="71">
        <v>19008266.699999999</v>
      </c>
      <c r="C22" s="71">
        <v>58798824.68</v>
      </c>
      <c r="D22" s="71">
        <v>77807091.379999995</v>
      </c>
      <c r="E22" s="71">
        <v>-9.19</v>
      </c>
    </row>
    <row r="23" spans="1:5">
      <c r="A23" s="70">
        <v>2021</v>
      </c>
      <c r="B23" s="71">
        <v>23036597.300000001</v>
      </c>
      <c r="C23" s="71">
        <v>87535135.680000007</v>
      </c>
      <c r="D23" s="71">
        <v>110571733</v>
      </c>
      <c r="E23" s="71">
        <v>42.11</v>
      </c>
    </row>
    <row r="24" spans="1:5">
      <c r="A24" s="70">
        <v>2022</v>
      </c>
      <c r="B24" s="71">
        <v>15084401</v>
      </c>
      <c r="C24" s="71">
        <v>102249179.7</v>
      </c>
      <c r="D24" s="71">
        <v>117333580.7</v>
      </c>
      <c r="E24" s="71">
        <v>6.12</v>
      </c>
    </row>
    <row r="25" spans="1:5">
      <c r="A25" s="70">
        <v>2023</v>
      </c>
      <c r="B25" s="71">
        <v>16245421.9</v>
      </c>
      <c r="C25" s="71">
        <v>121967409.59999999</v>
      </c>
      <c r="D25" s="71">
        <v>138212831.5</v>
      </c>
      <c r="E25" s="71">
        <v>17.79</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4A86E8"/>
    <outlinePr summaryBelow="0" summaryRight="0"/>
  </sheetPr>
  <dimension ref="A1:B24"/>
  <sheetViews>
    <sheetView workbookViewId="0"/>
  </sheetViews>
  <sheetFormatPr defaultColWidth="12.5703125" defaultRowHeight="15" customHeight="1"/>
  <cols>
    <col min="2" max="2" width="38.7109375" customWidth="1"/>
  </cols>
  <sheetData>
    <row r="1" spans="1:2">
      <c r="A1" s="72" t="s">
        <v>351</v>
      </c>
      <c r="B1" s="72" t="s">
        <v>434</v>
      </c>
    </row>
    <row r="2" spans="1:2">
      <c r="A2" s="49">
        <v>2000</v>
      </c>
      <c r="B2" s="45">
        <v>0.29799999999999999</v>
      </c>
    </row>
    <row r="3" spans="1:2">
      <c r="A3" s="49">
        <v>2001</v>
      </c>
      <c r="B3" s="45">
        <v>0.35099999999999998</v>
      </c>
    </row>
    <row r="4" spans="1:2">
      <c r="A4" s="49">
        <v>2002</v>
      </c>
      <c r="B4" s="45">
        <v>0.39200000000000002</v>
      </c>
    </row>
    <row r="5" spans="1:2">
      <c r="A5" s="49">
        <v>2003</v>
      </c>
      <c r="B5" s="45">
        <v>0.44</v>
      </c>
    </row>
    <row r="6" spans="1:2">
      <c r="A6" s="49">
        <v>2004</v>
      </c>
      <c r="B6" s="45">
        <v>0.625</v>
      </c>
    </row>
    <row r="7" spans="1:2">
      <c r="A7" s="49">
        <v>2005</v>
      </c>
      <c r="B7" s="45">
        <v>0.81299999999999994</v>
      </c>
    </row>
    <row r="8" spans="1:2">
      <c r="A8" s="49">
        <v>2006</v>
      </c>
      <c r="B8" s="45">
        <v>0.88600000000000001</v>
      </c>
    </row>
    <row r="9" spans="1:2">
      <c r="A9" s="49">
        <v>2007</v>
      </c>
      <c r="B9" s="45">
        <v>1.2170000000000001</v>
      </c>
    </row>
    <row r="10" spans="1:2">
      <c r="A10" s="49">
        <v>2008</v>
      </c>
      <c r="B10" s="45">
        <v>1.3560000000000001</v>
      </c>
    </row>
    <row r="11" spans="1:2">
      <c r="A11" s="49">
        <v>2009</v>
      </c>
      <c r="B11" s="45">
        <v>1.27</v>
      </c>
    </row>
    <row r="12" spans="1:2">
      <c r="A12" s="49">
        <v>2010</v>
      </c>
      <c r="B12" s="45">
        <v>1.389</v>
      </c>
    </row>
    <row r="13" spans="1:2">
      <c r="A13" s="49">
        <v>2011</v>
      </c>
      <c r="B13" s="45">
        <v>1.649</v>
      </c>
    </row>
    <row r="14" spans="1:2">
      <c r="A14" s="49">
        <v>2012</v>
      </c>
      <c r="B14" s="45">
        <v>1.4510000000000001</v>
      </c>
    </row>
    <row r="15" spans="1:2">
      <c r="A15" s="49">
        <v>2013</v>
      </c>
      <c r="B15" s="45">
        <v>1.421</v>
      </c>
    </row>
    <row r="16" spans="1:2">
      <c r="A16" s="49">
        <v>2014</v>
      </c>
      <c r="B16" s="45">
        <v>1.647</v>
      </c>
    </row>
    <row r="17" spans="1:2">
      <c r="A17" s="49">
        <v>2015</v>
      </c>
      <c r="B17" s="45">
        <v>1.871</v>
      </c>
    </row>
    <row r="18" spans="1:2">
      <c r="A18" s="49">
        <v>2016</v>
      </c>
      <c r="B18" s="45">
        <v>1.9279999999999999</v>
      </c>
    </row>
    <row r="19" spans="1:2">
      <c r="A19" s="49">
        <v>2017</v>
      </c>
      <c r="B19" s="45">
        <v>1.7410000000000001</v>
      </c>
    </row>
    <row r="20" spans="1:2">
      <c r="A20" s="49">
        <v>2018</v>
      </c>
      <c r="B20" s="45">
        <v>1.639</v>
      </c>
    </row>
    <row r="21" spans="1:2">
      <c r="A21" s="49">
        <v>2019</v>
      </c>
      <c r="B21" s="45">
        <v>1.921</v>
      </c>
    </row>
    <row r="22" spans="1:2">
      <c r="A22" s="49">
        <v>2020</v>
      </c>
      <c r="B22" s="45">
        <v>2.2240000000000002</v>
      </c>
    </row>
    <row r="23" spans="1:2">
      <c r="A23" s="49">
        <v>2021</v>
      </c>
      <c r="B23" s="45">
        <v>2.6429999999999998</v>
      </c>
    </row>
    <row r="24" spans="1:2">
      <c r="A24" s="49">
        <v>2022</v>
      </c>
      <c r="B24" s="45">
        <v>2.3319999999999999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INDIA_RAW_DATA</vt:lpstr>
      <vt:lpstr>host country (india)</vt:lpstr>
      <vt:lpstr>GDP VS FDI Inflows</vt:lpstr>
      <vt:lpstr>India FDI Inflows</vt:lpstr>
      <vt:lpstr>India Top 3 FDI Inflows</vt:lpstr>
      <vt:lpstr>India-SG Import &amp; Export RAW</vt:lpstr>
      <vt:lpstr>India-SG Import, Export &amp; FDI</vt:lpstr>
      <vt:lpstr>Pillar 3 Regression</vt:lpstr>
      <vt:lpstr>Charts</vt:lpstr>
      <vt:lpstr>India-China Raw</vt:lpstr>
      <vt:lpstr>India-China Trade Growth</vt:lpstr>
      <vt:lpstr>India Exports (% from China Val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Clare Kon</dc:creator>
  <cp:lastModifiedBy>Joseph Koh</cp:lastModifiedBy>
  <dcterms:created xsi:type="dcterms:W3CDTF">2026-07-22T08:27:28Z</dcterms:created>
  <dcterms:modified xsi:type="dcterms:W3CDTF">2026-08-17T14:25:56Z</dcterms:modified>
</cp:coreProperties>
</file>