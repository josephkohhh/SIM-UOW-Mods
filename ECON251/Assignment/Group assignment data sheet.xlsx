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p\Desktop\SIM-UOW-Mods\ECON251\Assignment\"/>
    </mc:Choice>
  </mc:AlternateContent>
  <xr:revisionPtr revIDLastSave="0" documentId="13_ncr:1_{74B7E99B-9CC9-4638-A68C-C9E00603FF33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INDIA_RAW_DATA" sheetId="1" r:id="rId1"/>
    <sheet name="host country (india)" sheetId="2" r:id="rId2"/>
    <sheet name="host - china" sheetId="3" r:id="rId3"/>
    <sheet name="host-topFDI" sheetId="4" r:id="rId4"/>
    <sheet name="Char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ABfrYTVrwYltchHS77McQmrGPraHVDH9QuQEZJJAKqY="/>
    </ext>
  </extLst>
</workbook>
</file>

<file path=xl/calcChain.xml><?xml version="1.0" encoding="utf-8"?>
<calcChain xmlns="http://schemas.openxmlformats.org/spreadsheetml/2006/main">
  <c r="O19" i="2" l="1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18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3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4" i="2"/>
  <c r="N19" i="2"/>
  <c r="N20" i="2"/>
  <c r="R20" i="2" s="1"/>
  <c r="N21" i="2"/>
  <c r="R21" i="2" s="1"/>
  <c r="S21" i="2" s="1"/>
  <c r="N22" i="2"/>
  <c r="R22" i="2" s="1"/>
  <c r="N23" i="2"/>
  <c r="N24" i="2"/>
  <c r="N25" i="2"/>
  <c r="N26" i="2"/>
  <c r="N18" i="2"/>
  <c r="P18" i="2" s="1"/>
  <c r="N28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4" i="2"/>
  <c r="G28" i="2"/>
  <c r="AH52" i="2"/>
  <c r="N52" i="2"/>
  <c r="G52" i="2"/>
  <c r="AH51" i="2"/>
  <c r="N51" i="2"/>
  <c r="G51" i="2"/>
  <c r="AH50" i="2"/>
  <c r="N50" i="2"/>
  <c r="G50" i="2"/>
  <c r="AH49" i="2"/>
  <c r="N49" i="2"/>
  <c r="G49" i="2"/>
  <c r="AH48" i="2"/>
  <c r="N48" i="2"/>
  <c r="R48" i="2" s="1"/>
  <c r="G48" i="2"/>
  <c r="AH47" i="2"/>
  <c r="N47" i="2"/>
  <c r="G47" i="2"/>
  <c r="AH46" i="2"/>
  <c r="N46" i="2"/>
  <c r="G46" i="2"/>
  <c r="AH45" i="2"/>
  <c r="N45" i="2"/>
  <c r="G45" i="2"/>
  <c r="AH44" i="2"/>
  <c r="N44" i="2"/>
  <c r="R44" i="2" s="1"/>
  <c r="G44" i="2"/>
  <c r="AH43" i="2"/>
  <c r="N43" i="2"/>
  <c r="G43" i="2"/>
  <c r="AH42" i="2"/>
  <c r="N42" i="2"/>
  <c r="P42" i="2" s="1"/>
  <c r="G42" i="2"/>
  <c r="AH41" i="2"/>
  <c r="N41" i="2"/>
  <c r="G41" i="2"/>
  <c r="AH40" i="2"/>
  <c r="N40" i="2"/>
  <c r="R40" i="2" s="1"/>
  <c r="G40" i="2"/>
  <c r="AH39" i="2"/>
  <c r="N39" i="2"/>
  <c r="G39" i="2"/>
  <c r="AH38" i="2"/>
  <c r="N38" i="2"/>
  <c r="P38" i="2" s="1"/>
  <c r="G38" i="2"/>
  <c r="AH37" i="2"/>
  <c r="N37" i="2"/>
  <c r="G37" i="2"/>
  <c r="AH36" i="2"/>
  <c r="N36" i="2"/>
  <c r="R36" i="2" s="1"/>
  <c r="G36" i="2"/>
  <c r="AH35" i="2"/>
  <c r="N35" i="2"/>
  <c r="G35" i="2"/>
  <c r="AH34" i="2"/>
  <c r="N34" i="2"/>
  <c r="G34" i="2"/>
  <c r="AH33" i="2"/>
  <c r="N33" i="2"/>
  <c r="G33" i="2"/>
  <c r="AH32" i="2"/>
  <c r="N32" i="2"/>
  <c r="R32" i="2" s="1"/>
  <c r="G32" i="2"/>
  <c r="AH31" i="2"/>
  <c r="N31" i="2"/>
  <c r="G31" i="2"/>
  <c r="AH30" i="2"/>
  <c r="N30" i="2"/>
  <c r="G30" i="2"/>
  <c r="AH29" i="2"/>
  <c r="N29" i="2"/>
  <c r="G29" i="2"/>
  <c r="AH28" i="2"/>
  <c r="N27" i="2"/>
  <c r="P27" i="2" l="1"/>
  <c r="P34" i="2"/>
  <c r="R50" i="2"/>
  <c r="R46" i="2"/>
  <c r="R28" i="2"/>
  <c r="P30" i="2"/>
  <c r="S22" i="2"/>
  <c r="P19" i="2"/>
  <c r="Q19" i="2" s="1"/>
  <c r="R19" i="2"/>
  <c r="S20" i="2" s="1"/>
  <c r="R18" i="2"/>
  <c r="R26" i="2"/>
  <c r="P26" i="2"/>
  <c r="R25" i="2"/>
  <c r="P25" i="2"/>
  <c r="R24" i="2"/>
  <c r="P24" i="2"/>
  <c r="R23" i="2"/>
  <c r="S23" i="2" s="1"/>
  <c r="P23" i="2"/>
  <c r="P22" i="2"/>
  <c r="P21" i="2"/>
  <c r="P20" i="2"/>
  <c r="R35" i="2"/>
  <c r="S36" i="2" s="1"/>
  <c r="P35" i="2"/>
  <c r="Q35" i="2" s="1"/>
  <c r="R27" i="2"/>
  <c r="R41" i="2"/>
  <c r="S41" i="2" s="1"/>
  <c r="P41" i="2"/>
  <c r="Q42" i="2" s="1"/>
  <c r="R39" i="2"/>
  <c r="P39" i="2"/>
  <c r="Q39" i="2" s="1"/>
  <c r="Q34" i="2"/>
  <c r="R49" i="2"/>
  <c r="S49" i="2" s="1"/>
  <c r="P49" i="2"/>
  <c r="R31" i="2"/>
  <c r="S32" i="2" s="1"/>
  <c r="P31" i="2"/>
  <c r="R45" i="2"/>
  <c r="S45" i="2" s="1"/>
  <c r="P45" i="2"/>
  <c r="R37" i="2"/>
  <c r="S37" i="2" s="1"/>
  <c r="P37" i="2"/>
  <c r="R51" i="2"/>
  <c r="S51" i="2" s="1"/>
  <c r="P51" i="2"/>
  <c r="R33" i="2"/>
  <c r="S33" i="2" s="1"/>
  <c r="P33" i="2"/>
  <c r="R47" i="2"/>
  <c r="S47" i="2" s="1"/>
  <c r="P47" i="2"/>
  <c r="R29" i="2"/>
  <c r="S29" i="2" s="1"/>
  <c r="P29" i="2"/>
  <c r="R52" i="2"/>
  <c r="P52" i="2"/>
  <c r="R43" i="2"/>
  <c r="P43" i="2"/>
  <c r="Q43" i="2" s="1"/>
  <c r="P28" i="2"/>
  <c r="P32" i="2"/>
  <c r="P36" i="2"/>
  <c r="P40" i="2"/>
  <c r="P44" i="2"/>
  <c r="P46" i="2"/>
  <c r="P50" i="2"/>
  <c r="R30" i="2"/>
  <c r="R34" i="2"/>
  <c r="R38" i="2"/>
  <c r="R42" i="2"/>
  <c r="P48" i="2"/>
  <c r="Q48" i="2" s="1"/>
  <c r="Q20" i="2" l="1"/>
  <c r="Q31" i="2"/>
  <c r="S27" i="2"/>
  <c r="S28" i="2"/>
  <c r="S24" i="2"/>
  <c r="Q26" i="2"/>
  <c r="S19" i="2"/>
  <c r="S25" i="2"/>
  <c r="S26" i="2"/>
  <c r="Q21" i="2"/>
  <c r="Q22" i="2"/>
  <c r="Q27" i="2"/>
  <c r="Q23" i="2"/>
  <c r="Q24" i="2"/>
  <c r="Q25" i="2"/>
  <c r="Q33" i="2"/>
  <c r="Q44" i="2"/>
  <c r="Q36" i="2"/>
  <c r="Q46" i="2"/>
  <c r="S46" i="2"/>
  <c r="Q50" i="2"/>
  <c r="S39" i="2"/>
  <c r="S50" i="2"/>
  <c r="Q28" i="2"/>
  <c r="S30" i="2"/>
  <c r="S43" i="2"/>
  <c r="Q32" i="2"/>
  <c r="Q51" i="2"/>
  <c r="Q41" i="2"/>
  <c r="Q37" i="2"/>
  <c r="S52" i="2"/>
  <c r="S38" i="2"/>
  <c r="Q49" i="2"/>
  <c r="S35" i="2"/>
  <c r="Q40" i="2"/>
  <c r="Q52" i="2"/>
  <c r="Q45" i="2"/>
  <c r="S40" i="2"/>
  <c r="S48" i="2"/>
  <c r="Q38" i="2"/>
  <c r="S44" i="2"/>
  <c r="S42" i="2"/>
  <c r="Q29" i="2"/>
  <c r="S31" i="2"/>
  <c r="S34" i="2"/>
  <c r="Q47" i="2"/>
  <c r="Q30" i="2"/>
</calcChain>
</file>

<file path=xl/sharedStrings.xml><?xml version="1.0" encoding="utf-8"?>
<sst xmlns="http://schemas.openxmlformats.org/spreadsheetml/2006/main" count="475" uniqueCount="129">
  <si>
    <t xml:space="preserve">Time </t>
  </si>
  <si>
    <t>Country Name</t>
  </si>
  <si>
    <t>Total bilateral Trade (X+M) with top FDI source</t>
  </si>
  <si>
    <t xml:space="preserve">Total bilateral Trade (X+M) with china </t>
  </si>
  <si>
    <t>Time</t>
  </si>
  <si>
    <t>Country Code</t>
  </si>
  <si>
    <t xml:space="preserve">FDI inflow from China </t>
  </si>
  <si>
    <t xml:space="preserve">FDI outflow to China </t>
  </si>
  <si>
    <t>Time Code</t>
  </si>
  <si>
    <t>GDP (constant 2015 US$) [NY.GDP.MKTP.KD]</t>
  </si>
  <si>
    <t>GVC participation rate (Optional)</t>
  </si>
  <si>
    <t>GDP growth (annual %) [NY.GDP.MKTP.KD.ZG]</t>
  </si>
  <si>
    <t xml:space="preserve">Number of new trade pacts (optional) </t>
  </si>
  <si>
    <t>GDP (constant 2015 US$)</t>
  </si>
  <si>
    <t>GDP per capita (constant 2015 US$) [NY.GDP.PCAP.KD]</t>
  </si>
  <si>
    <t>Gross fixed capital formation (constant 2015 US$) [NE.GDI.FTOT.KD]</t>
  </si>
  <si>
    <t>Gross fixed capital formation (annual % growth) [NE.GDI.FTOT.KD.ZG]</t>
  </si>
  <si>
    <t>Labor force, total [SL.TLF.TOTL.IN]</t>
  </si>
  <si>
    <t>Unemployment, total (% of total labor force) (modeled ILO estimate) [SL.UEM.TOTL.ZS]</t>
  </si>
  <si>
    <t>Manufacturing, value added (% of GDP) [NV.IND.MANF.ZS]</t>
  </si>
  <si>
    <t>Manufacturing, value added (annual % growth) [NV.IND.MANF.KD.ZG]</t>
  </si>
  <si>
    <t>Manufacturing, value added (constant 2015 US$) [NV.IND.MANF.KD]</t>
  </si>
  <si>
    <t>Employment in agriculture (% of total employment) (modeled ILO estimate) [SL.AGR.EMPL.ZS]</t>
  </si>
  <si>
    <t>GDP growth (annual %)</t>
  </si>
  <si>
    <t>GDP per person(constant 2015 US$)</t>
  </si>
  <si>
    <t xml:space="preserve">Growth rate of GDP per capita </t>
  </si>
  <si>
    <t>Employment in industry (% of total employment) (modeled ILO estimate) [SL.IND.EMPL.ZS]</t>
  </si>
  <si>
    <t>Employment in services (% of total employment) (modeled ILO estimate) [SL.SRV.EMPL.ZS]</t>
  </si>
  <si>
    <t>Trade (% of GDP) [NE.TRD.GNFS.ZS]</t>
  </si>
  <si>
    <t>Exports of goods and services (current US$) [NE.EXP.GNFS.CD]</t>
  </si>
  <si>
    <t>Gross fixed capital formation (constant 2015 US$)</t>
  </si>
  <si>
    <t>Exports of goods and services (constant 2015 US$) [NE.EXP.GNFS.KD]</t>
  </si>
  <si>
    <t>Gross fixed capital formation (annual % growth)</t>
  </si>
  <si>
    <t>Imports of goods and services (current US$) [NE.IMP.GNFS.CD]</t>
  </si>
  <si>
    <t>Labor force, total</t>
  </si>
  <si>
    <t>Imports of goods and services (constant 2015 US$) [NE.IMP.GNFS.KD]</t>
  </si>
  <si>
    <t>Unemployment, total (% of total labor force) (modeled ILO estimate)</t>
  </si>
  <si>
    <t>Tariff rate, applied, weighted mean, all products (%) [TM.TAX.MRCH.WM.AR.ZS]</t>
  </si>
  <si>
    <t xml:space="preserve">Employment Rate </t>
  </si>
  <si>
    <t>Foreign direct investment, net inflows (BoP, current US$) [BX.KLT.DINV.CD.WD]</t>
  </si>
  <si>
    <t>India</t>
  </si>
  <si>
    <t>IND</t>
  </si>
  <si>
    <t xml:space="preserve">Number employed </t>
  </si>
  <si>
    <t xml:space="preserve">Labour productivity </t>
  </si>
  <si>
    <t>YR2000</t>
  </si>
  <si>
    <t xml:space="preserve">= foreign value added from china / total export of host country </t>
  </si>
  <si>
    <t>% labour productivity</t>
  </si>
  <si>
    <t xml:space="preserve">Capital per employed </t>
  </si>
  <si>
    <t xml:space="preserve"> growth of capital per employed</t>
  </si>
  <si>
    <t>Manufacturing, value added (% of GDP)</t>
  </si>
  <si>
    <t>Manufacturing, value added (annual % growth)</t>
  </si>
  <si>
    <t>Manufacturing, value added (constant 2015 US$)</t>
  </si>
  <si>
    <t>Employment in agriculture (% of total employment) (modeled ILO estimate)</t>
  </si>
  <si>
    <t>YR2001</t>
  </si>
  <si>
    <t>Employment in industry (% of total employment) (modeled ILO estimate)</t>
  </si>
  <si>
    <t>Employment in services (% of total employment) (modeled ILO estimate)</t>
  </si>
  <si>
    <t>Trade (% of GDP)</t>
  </si>
  <si>
    <t xml:space="preserve">Simple tariff rate (%) </t>
  </si>
  <si>
    <t xml:space="preserve">Growth rate of FDI </t>
  </si>
  <si>
    <t>FDI as % of GDP</t>
  </si>
  <si>
    <t>There isn't a corresponding "constant 2015 US$" version of this indicator in the World Bank database. Therefore, to compute FDI as % of GDP, the standard practice is to use:
FDI (current US$)
GDP (current US$)
This way, both numerator and denominator are measured in the same year's prices.</t>
  </si>
  <si>
    <t>YR2002</t>
  </si>
  <si>
    <t>Y</t>
  </si>
  <si>
    <t>Find % change = ((new - old)/old)*100</t>
  </si>
  <si>
    <t>YR2003</t>
  </si>
  <si>
    <t>K</t>
  </si>
  <si>
    <t>U</t>
  </si>
  <si>
    <t>E % =100 - U</t>
  </si>
  <si>
    <t>L = E% X Labour force</t>
  </si>
  <si>
    <t>Y/L</t>
  </si>
  <si>
    <t>=k/L</t>
  </si>
  <si>
    <t>Find % change = ((new - old)/old)*100)</t>
  </si>
  <si>
    <t>YR2004</t>
  </si>
  <si>
    <t xml:space="preserve">trade openness </t>
  </si>
  <si>
    <t>YR2005</t>
  </si>
  <si>
    <t>YR2006</t>
  </si>
  <si>
    <t>YR2007</t>
  </si>
  <si>
    <t>YR2008</t>
  </si>
  <si>
    <t>YR2009</t>
  </si>
  <si>
    <t>YR2010</t>
  </si>
  <si>
    <t>YR2011</t>
  </si>
  <si>
    <t>YR2012</t>
  </si>
  <si>
    <t>YR2013</t>
  </si>
  <si>
    <t>YR2014</t>
  </si>
  <si>
    <t>..</t>
  </si>
  <si>
    <t>YR2015</t>
  </si>
  <si>
    <t>YR2016</t>
  </si>
  <si>
    <t>YR2017</t>
  </si>
  <si>
    <t>YR2018</t>
  </si>
  <si>
    <t>YR2019</t>
  </si>
  <si>
    <t>YR2020</t>
  </si>
  <si>
    <t>YR2021</t>
  </si>
  <si>
    <t>YR2022</t>
  </si>
  <si>
    <t>YR2023</t>
  </si>
  <si>
    <t>YR2024</t>
  </si>
  <si>
    <t>YR2025</t>
  </si>
  <si>
    <t>Data from database: World Development Indicators</t>
  </si>
  <si>
    <t>Last Updated: 07/13/2026</t>
  </si>
  <si>
    <r>
      <t>Current prices (nominal) → T</t>
    </r>
    <r>
      <rPr>
        <b/>
        <sz val="12"/>
        <color rgb="FF0000FF"/>
        <rFont val="Arial"/>
      </rPr>
      <t>o include Inflation</t>
    </r>
    <r>
      <rPr>
        <sz val="12"/>
        <color rgb="FF0000FF"/>
        <rFont val="Arial"/>
      </rPr>
      <t xml:space="preserve">
Uses the prices that actually existed in each year.
Inflation is included.
Constant prices (real) → </t>
    </r>
    <r>
      <rPr>
        <b/>
        <sz val="12"/>
        <color rgb="FF0000FF"/>
        <rFont val="Arial"/>
      </rPr>
      <t>To exclude inflation</t>
    </r>
    <r>
      <rPr>
        <sz val="12"/>
        <color rgb="FF0000FF"/>
        <rFont val="Arial"/>
      </rPr>
      <t xml:space="preserve">
Uses prices from a fixed base year (e.g., 2015 or 2021).
Inflation is removed.
A quick memory trick:
Current = Current year's prices = Inflation included
Constant = Constant base-year prices = Inflation removed</t>
    </r>
  </si>
  <si>
    <t>Export value (current US$)</t>
  </si>
  <si>
    <t>Import value (current US$)</t>
  </si>
  <si>
    <t>FDI inflow (current US$)</t>
  </si>
  <si>
    <t>GDP (current US$) [NY.GDP.MKTP.CD]</t>
  </si>
  <si>
    <t xml:space="preserve">GDP 
(current US$) </t>
  </si>
  <si>
    <t>= FDIinflow/GDP current) X 100%</t>
  </si>
  <si>
    <t>YR1976</t>
  </si>
  <si>
    <t>YR1977</t>
  </si>
  <si>
    <t>YR1978</t>
  </si>
  <si>
    <t>YR1979</t>
  </si>
  <si>
    <t>YR1980</t>
  </si>
  <si>
    <t>YR1981</t>
  </si>
  <si>
    <t>YR1982</t>
  </si>
  <si>
    <t>YR1983</t>
  </si>
  <si>
    <t>YR1984</t>
  </si>
  <si>
    <t>YR1985</t>
  </si>
  <si>
    <t>YR1986</t>
  </si>
  <si>
    <t>YR1987</t>
  </si>
  <si>
    <t>YR1988</t>
  </si>
  <si>
    <t>YR1989</t>
  </si>
  <si>
    <t>YR1990</t>
  </si>
  <si>
    <t>YR1991</t>
  </si>
  <si>
    <t>YR1992</t>
  </si>
  <si>
    <t>YR1993</t>
  </si>
  <si>
    <t>YR1994</t>
  </si>
  <si>
    <t>YR1995</t>
  </si>
  <si>
    <t>YR1996</t>
  </si>
  <si>
    <t>YR1997</t>
  </si>
  <si>
    <t>YR1998</t>
  </si>
  <si>
    <t>YR1999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</si>
</sst>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1"/>
      <color theme="1"/>
      <name val="Calibri"/>
    </font>
    <font>
      <sz val="11"/>
      <color rgb="FFFF0000"/>
      <name val="Aptos Narrow"/>
    </font>
    <font>
      <b/>
      <sz val="11"/>
      <color rgb="FFFF0000"/>
      <name val="Aptos Narrow"/>
    </font>
    <font>
      <sz val="8"/>
      <color rgb="FF000000"/>
      <name val="Aptos"/>
    </font>
    <font>
      <sz val="11"/>
      <color rgb="FF0000FF"/>
      <name val="Arial"/>
    </font>
    <font>
      <sz val="12"/>
      <color theme="1"/>
      <name val="Aptos Narrow"/>
    </font>
    <font>
      <sz val="12"/>
      <color theme="1"/>
      <name val="Arial"/>
    </font>
    <font>
      <sz val="12"/>
      <color rgb="FF0000FF"/>
      <name val="Arial"/>
    </font>
    <font>
      <sz val="11"/>
      <color rgb="FFFF0000"/>
      <name val="Arial"/>
    </font>
    <font>
      <b/>
      <sz val="12"/>
      <color rgb="FF0000FF"/>
      <name val="Arial"/>
    </font>
    <font>
      <sz val="11"/>
      <color theme="1"/>
      <name val="Aptos Narrow"/>
      <family val="2"/>
    </font>
    <font>
      <sz val="11"/>
      <color rgb="FFFF0000"/>
      <name val="Aptos Narrow"/>
      <family val="2"/>
    </font>
    <font>
      <sz val="12"/>
      <color rgb="FF0000FF"/>
      <name val="Arial"/>
      <family val="2"/>
    </font>
    <font>
      <sz val="12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DBE9F7"/>
        <bgColor rgb="FFDBE9F7"/>
      </patternFill>
    </fill>
    <fill>
      <patternFill patternType="solid">
        <fgColor rgb="FFD9F2D0"/>
        <bgColor rgb="FFD9F2D0"/>
      </patternFill>
    </fill>
    <fill>
      <patternFill patternType="solid">
        <fgColor rgb="FFB3E5A1"/>
        <bgColor rgb="FFB3E5A1"/>
      </patternFill>
    </fill>
    <fill>
      <patternFill patternType="solid">
        <fgColor rgb="FF3A7D22"/>
        <bgColor rgb="FF3A7D22"/>
      </patternFill>
    </fill>
    <fill>
      <patternFill patternType="solid">
        <fgColor rgb="FF4EA72E"/>
        <bgColor rgb="FF4EA72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2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2" fontId="2" fillId="0" borderId="0" xfId="0" applyNumberFormat="1" applyFont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right"/>
    </xf>
    <xf numFmtId="164" fontId="5" fillId="0" borderId="0" xfId="0" applyNumberFormat="1" applyFont="1" applyAlignment="1">
      <alignment horizontal="center" vertical="center" wrapText="1"/>
    </xf>
    <xf numFmtId="0" fontId="6" fillId="3" borderId="1" xfId="0" applyFont="1" applyFill="1" applyBorder="1" applyAlignment="1">
      <alignment wrapText="1"/>
    </xf>
    <xf numFmtId="10" fontId="2" fillId="6" borderId="1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2" fontId="8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wrapText="1"/>
    </xf>
    <xf numFmtId="0" fontId="8" fillId="4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164" fontId="8" fillId="0" borderId="0" xfId="0" quotePrefix="1" applyNumberFormat="1" applyFont="1" applyAlignment="1">
      <alignment horizontal="center" vertical="center" wrapText="1"/>
    </xf>
    <xf numFmtId="164" fontId="8" fillId="0" borderId="0" xfId="0" applyNumberFormat="1" applyFont="1" applyAlignment="1">
      <alignment horizontal="center" vertical="center" wrapText="1"/>
    </xf>
    <xf numFmtId="10" fontId="8" fillId="6" borderId="1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left" vertical="top" wrapText="1"/>
    </xf>
    <xf numFmtId="0" fontId="2" fillId="7" borderId="1" xfId="0" applyFont="1" applyFill="1" applyBorder="1"/>
    <xf numFmtId="0" fontId="2" fillId="0" borderId="0" xfId="0" applyFont="1"/>
    <xf numFmtId="0" fontId="2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2" borderId="1" xfId="0" applyFont="1" applyFill="1" applyBorder="1"/>
    <xf numFmtId="0" fontId="4" fillId="0" borderId="0" xfId="0" applyFont="1"/>
    <xf numFmtId="0" fontId="11" fillId="0" borderId="0" xfId="0" applyFont="1"/>
    <xf numFmtId="0" fontId="14" fillId="0" borderId="0" xfId="0" applyFont="1"/>
    <xf numFmtId="0" fontId="15" fillId="0" borderId="0" xfId="0" applyFont="1" applyAlignment="1">
      <alignment horizontal="left" vertical="top" wrapText="1"/>
    </xf>
    <xf numFmtId="0" fontId="1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6" fillId="0" borderId="0" xfId="0" quotePrefix="1" applyFont="1" applyAlignment="1">
      <alignment horizontal="center" vertical="center" wrapText="1"/>
    </xf>
    <xf numFmtId="0" fontId="1" fillId="0" borderId="0" xfId="0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757575"/>
                </a:solidFill>
              </a:rPr>
              <a:t>Chart 1: Structural Transformation of Employment By Sector in (India)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1"/>
          <c:order val="0"/>
          <c:tx>
            <c:v>Employment in Agriculture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'host country (india)'!$B$18:$B$52</c:f>
              <c:numCache>
                <c:formatCode>General</c:formatCode>
                <c:ptCount val="35"/>
                <c:pt idx="0">
                  <c:v>1991</c:v>
                </c:pt>
                <c:pt idx="1">
                  <c:v>1992</c:v>
                </c:pt>
                <c:pt idx="2">
                  <c:v>1993</c:v>
                </c:pt>
                <c:pt idx="3">
                  <c:v>1994</c:v>
                </c:pt>
                <c:pt idx="4">
                  <c:v>1995</c:v>
                </c:pt>
                <c:pt idx="5">
                  <c:v>1996</c:v>
                </c:pt>
                <c:pt idx="6">
                  <c:v>1997</c:v>
                </c:pt>
                <c:pt idx="7">
                  <c:v>1998</c:v>
                </c:pt>
                <c:pt idx="8">
                  <c:v>1999</c:v>
                </c:pt>
                <c:pt idx="9">
                  <c:v>2000</c:v>
                </c:pt>
                <c:pt idx="10">
                  <c:v>2001</c:v>
                </c:pt>
                <c:pt idx="11">
                  <c:v>2002</c:v>
                </c:pt>
                <c:pt idx="12">
                  <c:v>2003</c:v>
                </c:pt>
                <c:pt idx="13">
                  <c:v>2004</c:v>
                </c:pt>
                <c:pt idx="14">
                  <c:v>2005</c:v>
                </c:pt>
                <c:pt idx="15">
                  <c:v>2006</c:v>
                </c:pt>
                <c:pt idx="16">
                  <c:v>2007</c:v>
                </c:pt>
                <c:pt idx="17">
                  <c:v>2008</c:v>
                </c:pt>
                <c:pt idx="18">
                  <c:v>2009</c:v>
                </c:pt>
                <c:pt idx="19">
                  <c:v>2010</c:v>
                </c:pt>
                <c:pt idx="20">
                  <c:v>2011</c:v>
                </c:pt>
                <c:pt idx="21">
                  <c:v>2012</c:v>
                </c:pt>
                <c:pt idx="22">
                  <c:v>2013</c:v>
                </c:pt>
                <c:pt idx="23">
                  <c:v>2014</c:v>
                </c:pt>
                <c:pt idx="24">
                  <c:v>2015</c:v>
                </c:pt>
                <c:pt idx="25">
                  <c:v>2016</c:v>
                </c:pt>
                <c:pt idx="26">
                  <c:v>2017</c:v>
                </c:pt>
                <c:pt idx="27">
                  <c:v>2018</c:v>
                </c:pt>
                <c:pt idx="28">
                  <c:v>2019</c:v>
                </c:pt>
                <c:pt idx="29">
                  <c:v>2020</c:v>
                </c:pt>
                <c:pt idx="30">
                  <c:v>2021</c:v>
                </c:pt>
                <c:pt idx="31">
                  <c:v>2022</c:v>
                </c:pt>
                <c:pt idx="32">
                  <c:v>2023</c:v>
                </c:pt>
                <c:pt idx="33">
                  <c:v>2024</c:v>
                </c:pt>
                <c:pt idx="34">
                  <c:v>2025</c:v>
                </c:pt>
              </c:numCache>
            </c:numRef>
          </c:cat>
          <c:val>
            <c:numRef>
              <c:f>'host country (india)'!$X$18:$X$52</c:f>
              <c:numCache>
                <c:formatCode>General</c:formatCode>
                <c:ptCount val="35"/>
                <c:pt idx="0">
                  <c:v>63.128319537359097</c:v>
                </c:pt>
                <c:pt idx="1">
                  <c:v>62.898333636700102</c:v>
                </c:pt>
                <c:pt idx="2">
                  <c:v>62.6630638065269</c:v>
                </c:pt>
                <c:pt idx="3">
                  <c:v>62.371240378322298</c:v>
                </c:pt>
                <c:pt idx="4">
                  <c:v>61.974428476754099</c:v>
                </c:pt>
                <c:pt idx="5">
                  <c:v>61.513380855523799</c:v>
                </c:pt>
                <c:pt idx="6">
                  <c:v>61.158625445787699</c:v>
                </c:pt>
                <c:pt idx="7">
                  <c:v>60.647957461240999</c:v>
                </c:pt>
                <c:pt idx="8">
                  <c:v>59.878026680172397</c:v>
                </c:pt>
                <c:pt idx="9">
                  <c:v>59.607310099103998</c:v>
                </c:pt>
                <c:pt idx="10">
                  <c:v>58.890809220715099</c:v>
                </c:pt>
                <c:pt idx="11">
                  <c:v>58.2078564520654</c:v>
                </c:pt>
                <c:pt idx="12">
                  <c:v>57.164650542938602</c:v>
                </c:pt>
                <c:pt idx="13">
                  <c:v>55.999457323776298</c:v>
                </c:pt>
                <c:pt idx="14">
                  <c:v>55.020453312310899</c:v>
                </c:pt>
                <c:pt idx="15">
                  <c:v>54.273017899929599</c:v>
                </c:pt>
                <c:pt idx="16">
                  <c:v>53.368868437721702</c:v>
                </c:pt>
                <c:pt idx="17">
                  <c:v>52.879188395900101</c:v>
                </c:pt>
                <c:pt idx="18">
                  <c:v>51.944426618063801</c:v>
                </c:pt>
                <c:pt idx="19">
                  <c:v>51.056070239904997</c:v>
                </c:pt>
                <c:pt idx="20">
                  <c:v>49.075305915587599</c:v>
                </c:pt>
                <c:pt idx="21">
                  <c:v>47.088154462332199</c:v>
                </c:pt>
                <c:pt idx="22">
                  <c:v>46.241883981632697</c:v>
                </c:pt>
                <c:pt idx="23">
                  <c:v>45.254711115223699</c:v>
                </c:pt>
                <c:pt idx="24">
                  <c:v>44.2796936892031</c:v>
                </c:pt>
                <c:pt idx="25">
                  <c:v>43.204850592630699</c:v>
                </c:pt>
                <c:pt idx="26">
                  <c:v>42.267106468212397</c:v>
                </c:pt>
                <c:pt idx="27">
                  <c:v>41.294998924914097</c:v>
                </c:pt>
                <c:pt idx="28">
                  <c:v>40.651814999322703</c:v>
                </c:pt>
                <c:pt idx="29">
                  <c:v>44.6754951957099</c:v>
                </c:pt>
                <c:pt idx="30">
                  <c:v>44.079186886638198</c:v>
                </c:pt>
                <c:pt idx="31">
                  <c:v>42.8609991503088</c:v>
                </c:pt>
                <c:pt idx="32">
                  <c:v>43.513581124579296</c:v>
                </c:pt>
                <c:pt idx="33">
                  <c:v>42.3547738876441</c:v>
                </c:pt>
                <c:pt idx="34">
                  <c:v>41.625128087757297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4E-4008-ABA6-554C62C9154A}"/>
            </c:ext>
          </c:extLst>
        </c:ser>
        <c:ser>
          <c:idx val="2"/>
          <c:order val="1"/>
          <c:tx>
            <c:v>Employment in Industry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'host country (india)'!$B$18:$B$52</c:f>
              <c:numCache>
                <c:formatCode>General</c:formatCode>
                <c:ptCount val="35"/>
                <c:pt idx="0">
                  <c:v>1991</c:v>
                </c:pt>
                <c:pt idx="1">
                  <c:v>1992</c:v>
                </c:pt>
                <c:pt idx="2">
                  <c:v>1993</c:v>
                </c:pt>
                <c:pt idx="3">
                  <c:v>1994</c:v>
                </c:pt>
                <c:pt idx="4">
                  <c:v>1995</c:v>
                </c:pt>
                <c:pt idx="5">
                  <c:v>1996</c:v>
                </c:pt>
                <c:pt idx="6">
                  <c:v>1997</c:v>
                </c:pt>
                <c:pt idx="7">
                  <c:v>1998</c:v>
                </c:pt>
                <c:pt idx="8">
                  <c:v>1999</c:v>
                </c:pt>
                <c:pt idx="9">
                  <c:v>2000</c:v>
                </c:pt>
                <c:pt idx="10">
                  <c:v>2001</c:v>
                </c:pt>
                <c:pt idx="11">
                  <c:v>2002</c:v>
                </c:pt>
                <c:pt idx="12">
                  <c:v>2003</c:v>
                </c:pt>
                <c:pt idx="13">
                  <c:v>2004</c:v>
                </c:pt>
                <c:pt idx="14">
                  <c:v>2005</c:v>
                </c:pt>
                <c:pt idx="15">
                  <c:v>2006</c:v>
                </c:pt>
                <c:pt idx="16">
                  <c:v>2007</c:v>
                </c:pt>
                <c:pt idx="17">
                  <c:v>2008</c:v>
                </c:pt>
                <c:pt idx="18">
                  <c:v>2009</c:v>
                </c:pt>
                <c:pt idx="19">
                  <c:v>2010</c:v>
                </c:pt>
                <c:pt idx="20">
                  <c:v>2011</c:v>
                </c:pt>
                <c:pt idx="21">
                  <c:v>2012</c:v>
                </c:pt>
                <c:pt idx="22">
                  <c:v>2013</c:v>
                </c:pt>
                <c:pt idx="23">
                  <c:v>2014</c:v>
                </c:pt>
                <c:pt idx="24">
                  <c:v>2015</c:v>
                </c:pt>
                <c:pt idx="25">
                  <c:v>2016</c:v>
                </c:pt>
                <c:pt idx="26">
                  <c:v>2017</c:v>
                </c:pt>
                <c:pt idx="27">
                  <c:v>2018</c:v>
                </c:pt>
                <c:pt idx="28">
                  <c:v>2019</c:v>
                </c:pt>
                <c:pt idx="29">
                  <c:v>2020</c:v>
                </c:pt>
                <c:pt idx="30">
                  <c:v>2021</c:v>
                </c:pt>
                <c:pt idx="31">
                  <c:v>2022</c:v>
                </c:pt>
                <c:pt idx="32">
                  <c:v>2023</c:v>
                </c:pt>
                <c:pt idx="33">
                  <c:v>2024</c:v>
                </c:pt>
                <c:pt idx="34">
                  <c:v>2025</c:v>
                </c:pt>
              </c:numCache>
            </c:numRef>
          </c:cat>
          <c:val>
            <c:numRef>
              <c:f>'host country (india)'!$Y$18:$Y$52</c:f>
              <c:numCache>
                <c:formatCode>General</c:formatCode>
                <c:ptCount val="35"/>
                <c:pt idx="0">
                  <c:v>14.584937300157501</c:v>
                </c:pt>
                <c:pt idx="1">
                  <c:v>14.6628055390629</c:v>
                </c:pt>
                <c:pt idx="2">
                  <c:v>14.7602607112643</c:v>
                </c:pt>
                <c:pt idx="3">
                  <c:v>14.851350268644399</c:v>
                </c:pt>
                <c:pt idx="4">
                  <c:v>15.000483006233299</c:v>
                </c:pt>
                <c:pt idx="5">
                  <c:v>15.2712590554772</c:v>
                </c:pt>
                <c:pt idx="6">
                  <c:v>15.4726082964194</c:v>
                </c:pt>
                <c:pt idx="7">
                  <c:v>15.7949095027609</c:v>
                </c:pt>
                <c:pt idx="8">
                  <c:v>16.309428466052999</c:v>
                </c:pt>
                <c:pt idx="9">
                  <c:v>16.341359744203</c:v>
                </c:pt>
                <c:pt idx="10">
                  <c:v>16.7528345033409</c:v>
                </c:pt>
                <c:pt idx="11">
                  <c:v>17.056726884100499</c:v>
                </c:pt>
                <c:pt idx="12">
                  <c:v>17.6938066486046</c:v>
                </c:pt>
                <c:pt idx="13">
                  <c:v>18.418479484316101</c:v>
                </c:pt>
                <c:pt idx="14">
                  <c:v>19.0012317655898</c:v>
                </c:pt>
                <c:pt idx="15">
                  <c:v>19.5238914291204</c:v>
                </c:pt>
                <c:pt idx="16">
                  <c:v>20.3219145451672</c:v>
                </c:pt>
                <c:pt idx="17">
                  <c:v>20.751447752882001</c:v>
                </c:pt>
                <c:pt idx="18">
                  <c:v>21.5635579497653</c:v>
                </c:pt>
                <c:pt idx="19">
                  <c:v>22.377888837294201</c:v>
                </c:pt>
                <c:pt idx="20">
                  <c:v>23.547382125569602</c:v>
                </c:pt>
                <c:pt idx="21">
                  <c:v>24.692037963598398</c:v>
                </c:pt>
                <c:pt idx="22">
                  <c:v>24.754673840533499</c:v>
                </c:pt>
                <c:pt idx="23">
                  <c:v>24.896015202228199</c:v>
                </c:pt>
                <c:pt idx="24">
                  <c:v>24.9480704919335</c:v>
                </c:pt>
                <c:pt idx="25">
                  <c:v>25.189478375845301</c:v>
                </c:pt>
                <c:pt idx="26">
                  <c:v>25.265722733605099</c:v>
                </c:pt>
                <c:pt idx="27">
                  <c:v>25.3658737784355</c:v>
                </c:pt>
                <c:pt idx="28">
                  <c:v>25.251113046720999</c:v>
                </c:pt>
                <c:pt idx="29">
                  <c:v>23.703647531851601</c:v>
                </c:pt>
                <c:pt idx="30">
                  <c:v>24.4704786231875</c:v>
                </c:pt>
                <c:pt idx="31">
                  <c:v>26.1203341573875</c:v>
                </c:pt>
                <c:pt idx="32">
                  <c:v>25.029211598620101</c:v>
                </c:pt>
                <c:pt idx="33">
                  <c:v>25.370925971161199</c:v>
                </c:pt>
                <c:pt idx="34">
                  <c:v>25.817307380638098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4E-4008-ABA6-554C62C9154A}"/>
            </c:ext>
          </c:extLst>
        </c:ser>
        <c:ser>
          <c:idx val="3"/>
          <c:order val="2"/>
          <c:tx>
            <c:v>Employment in Services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'host country (india)'!$B$18:$B$52</c:f>
              <c:numCache>
                <c:formatCode>General</c:formatCode>
                <c:ptCount val="35"/>
                <c:pt idx="0">
                  <c:v>1991</c:v>
                </c:pt>
                <c:pt idx="1">
                  <c:v>1992</c:v>
                </c:pt>
                <c:pt idx="2">
                  <c:v>1993</c:v>
                </c:pt>
                <c:pt idx="3">
                  <c:v>1994</c:v>
                </c:pt>
                <c:pt idx="4">
                  <c:v>1995</c:v>
                </c:pt>
                <c:pt idx="5">
                  <c:v>1996</c:v>
                </c:pt>
                <c:pt idx="6">
                  <c:v>1997</c:v>
                </c:pt>
                <c:pt idx="7">
                  <c:v>1998</c:v>
                </c:pt>
                <c:pt idx="8">
                  <c:v>1999</c:v>
                </c:pt>
                <c:pt idx="9">
                  <c:v>2000</c:v>
                </c:pt>
                <c:pt idx="10">
                  <c:v>2001</c:v>
                </c:pt>
                <c:pt idx="11">
                  <c:v>2002</c:v>
                </c:pt>
                <c:pt idx="12">
                  <c:v>2003</c:v>
                </c:pt>
                <c:pt idx="13">
                  <c:v>2004</c:v>
                </c:pt>
                <c:pt idx="14">
                  <c:v>2005</c:v>
                </c:pt>
                <c:pt idx="15">
                  <c:v>2006</c:v>
                </c:pt>
                <c:pt idx="16">
                  <c:v>2007</c:v>
                </c:pt>
                <c:pt idx="17">
                  <c:v>2008</c:v>
                </c:pt>
                <c:pt idx="18">
                  <c:v>2009</c:v>
                </c:pt>
                <c:pt idx="19">
                  <c:v>2010</c:v>
                </c:pt>
                <c:pt idx="20">
                  <c:v>2011</c:v>
                </c:pt>
                <c:pt idx="21">
                  <c:v>2012</c:v>
                </c:pt>
                <c:pt idx="22">
                  <c:v>2013</c:v>
                </c:pt>
                <c:pt idx="23">
                  <c:v>2014</c:v>
                </c:pt>
                <c:pt idx="24">
                  <c:v>2015</c:v>
                </c:pt>
                <c:pt idx="25">
                  <c:v>2016</c:v>
                </c:pt>
                <c:pt idx="26">
                  <c:v>2017</c:v>
                </c:pt>
                <c:pt idx="27">
                  <c:v>2018</c:v>
                </c:pt>
                <c:pt idx="28">
                  <c:v>2019</c:v>
                </c:pt>
                <c:pt idx="29">
                  <c:v>2020</c:v>
                </c:pt>
                <c:pt idx="30">
                  <c:v>2021</c:v>
                </c:pt>
                <c:pt idx="31">
                  <c:v>2022</c:v>
                </c:pt>
                <c:pt idx="32">
                  <c:v>2023</c:v>
                </c:pt>
                <c:pt idx="33">
                  <c:v>2024</c:v>
                </c:pt>
                <c:pt idx="34">
                  <c:v>2025</c:v>
                </c:pt>
              </c:numCache>
            </c:numRef>
          </c:cat>
          <c:val>
            <c:numRef>
              <c:f>'host country (india)'!$Z$18:$Z$52</c:f>
              <c:numCache>
                <c:formatCode>General</c:formatCode>
                <c:ptCount val="35"/>
                <c:pt idx="0">
                  <c:v>22.286736307130901</c:v>
                </c:pt>
                <c:pt idx="1">
                  <c:v>22.4388544747388</c:v>
                </c:pt>
                <c:pt idx="2">
                  <c:v>22.576675808073102</c:v>
                </c:pt>
                <c:pt idx="3">
                  <c:v>22.777409353033299</c:v>
                </c:pt>
                <c:pt idx="4">
                  <c:v>23.025088517012598</c:v>
                </c:pt>
                <c:pt idx="5">
                  <c:v>23.215360088998899</c:v>
                </c:pt>
                <c:pt idx="6">
                  <c:v>23.368766257792899</c:v>
                </c:pt>
                <c:pt idx="7">
                  <c:v>23.557133035998099</c:v>
                </c:pt>
                <c:pt idx="8">
                  <c:v>23.8125410413714</c:v>
                </c:pt>
                <c:pt idx="9">
                  <c:v>24.051330156692899</c:v>
                </c:pt>
                <c:pt idx="10">
                  <c:v>24.356356017475999</c:v>
                </c:pt>
                <c:pt idx="11">
                  <c:v>24.735416917017901</c:v>
                </c:pt>
                <c:pt idx="12">
                  <c:v>25.1415353719471</c:v>
                </c:pt>
                <c:pt idx="13">
                  <c:v>25.582063191907601</c:v>
                </c:pt>
                <c:pt idx="14">
                  <c:v>25.978314922099301</c:v>
                </c:pt>
                <c:pt idx="15">
                  <c:v>26.203090670950001</c:v>
                </c:pt>
                <c:pt idx="16">
                  <c:v>26.309209260168</c:v>
                </c:pt>
                <c:pt idx="17">
                  <c:v>26.369363851217901</c:v>
                </c:pt>
                <c:pt idx="18">
                  <c:v>26.4920231164018</c:v>
                </c:pt>
                <c:pt idx="19">
                  <c:v>26.5660351341417</c:v>
                </c:pt>
                <c:pt idx="20">
                  <c:v>27.3773195279181</c:v>
                </c:pt>
                <c:pt idx="21">
                  <c:v>28.219815079124601</c:v>
                </c:pt>
                <c:pt idx="22">
                  <c:v>29.003443966457802</c:v>
                </c:pt>
                <c:pt idx="23">
                  <c:v>29.849273682548102</c:v>
                </c:pt>
                <c:pt idx="24">
                  <c:v>30.7722358188634</c:v>
                </c:pt>
                <c:pt idx="25">
                  <c:v>31.605663371419499</c:v>
                </c:pt>
                <c:pt idx="26">
                  <c:v>32.467165141529698</c:v>
                </c:pt>
                <c:pt idx="27">
                  <c:v>33.339127296650503</c:v>
                </c:pt>
                <c:pt idx="28">
                  <c:v>34.097073966908198</c:v>
                </c:pt>
                <c:pt idx="29">
                  <c:v>31.620857272438499</c:v>
                </c:pt>
                <c:pt idx="30">
                  <c:v>31.450327114961201</c:v>
                </c:pt>
                <c:pt idx="31">
                  <c:v>31.0186666923037</c:v>
                </c:pt>
                <c:pt idx="32">
                  <c:v>31.457207276800599</c:v>
                </c:pt>
                <c:pt idx="33">
                  <c:v>32.274309744917801</c:v>
                </c:pt>
                <c:pt idx="34">
                  <c:v>32.557562503110901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84E-4008-ABA6-554C62C91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727631"/>
        <c:axId val="2004889552"/>
      </c:barChart>
      <c:catAx>
        <c:axId val="107276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 (1991 - 2025)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889552"/>
        <c:crosses val="autoZero"/>
        <c:auto val="1"/>
        <c:lblAlgn val="ctr"/>
        <c:lblOffset val="100"/>
        <c:noMultiLvlLbl val="0"/>
      </c:catAx>
      <c:valAx>
        <c:axId val="200488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Employment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27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543135579464469"/>
          <c:y val="0.90990052438871338"/>
          <c:w val="0.7322489181267744"/>
          <c:h val="5.68354423472533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Labour Productivity vs Manufacturing Growth (1991–2025)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896570855472334"/>
          <c:y val="0.12972139753022677"/>
          <c:w val="0.80409690658586375"/>
          <c:h val="0.53936340949184636"/>
        </c:manualLayout>
      </c:layout>
      <c:scatterChart>
        <c:scatterStyle val="lineMarker"/>
        <c:varyColors val="0"/>
        <c:ser>
          <c:idx val="0"/>
          <c:order val="0"/>
          <c:tx>
            <c:v>Labour Productivity vs Manufacturing Growth (1991–2025)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4472553159754578E-2"/>
                  <c:y val="4.9462088836724163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/>
                      <a:t>R² = 0.0015</a:t>
                    </a: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'host country (india)'!$P$18:$P$52</c:f>
              <c:numCache>
                <c:formatCode>General</c:formatCode>
                <c:ptCount val="35"/>
                <c:pt idx="0">
                  <c:v>1611.573240168538</c:v>
                </c:pt>
                <c:pt idx="1">
                  <c:v>1657.3327659305828</c:v>
                </c:pt>
                <c:pt idx="2">
                  <c:v>1692.8605842862344</c:v>
                </c:pt>
                <c:pt idx="3">
                  <c:v>1759.4330903999862</c:v>
                </c:pt>
                <c:pt idx="4">
                  <c:v>1835.5247698138769</c:v>
                </c:pt>
                <c:pt idx="5">
                  <c:v>1913.4823383058394</c:v>
                </c:pt>
                <c:pt idx="6">
                  <c:v>1931.3103062842606</c:v>
                </c:pt>
                <c:pt idx="7">
                  <c:v>1989.0978607477293</c:v>
                </c:pt>
                <c:pt idx="8">
                  <c:v>2099.3346239843527</c:v>
                </c:pt>
                <c:pt idx="9">
                  <c:v>2114.8403223013479</c:v>
                </c:pt>
                <c:pt idx="10">
                  <c:v>2168.9526353599404</c:v>
                </c:pt>
                <c:pt idx="11">
                  <c:v>2205.4297562025085</c:v>
                </c:pt>
                <c:pt idx="12">
                  <c:v>2328.9661937178694</c:v>
                </c:pt>
                <c:pt idx="13">
                  <c:v>2461.408525459628</c:v>
                </c:pt>
                <c:pt idx="14">
                  <c:v>2602.5098648732155</c:v>
                </c:pt>
                <c:pt idx="15">
                  <c:v>2795.2731771491076</c:v>
                </c:pt>
                <c:pt idx="16">
                  <c:v>2992.6115343011502</c:v>
                </c:pt>
                <c:pt idx="17">
                  <c:v>3071.7999046753007</c:v>
                </c:pt>
                <c:pt idx="18">
                  <c:v>3296.3262308370158</c:v>
                </c:pt>
                <c:pt idx="19">
                  <c:v>3556.2879334468016</c:v>
                </c:pt>
                <c:pt idx="20">
                  <c:v>3707.4594469246931</c:v>
                </c:pt>
                <c:pt idx="21">
                  <c:v>3876.6949238326238</c:v>
                </c:pt>
                <c:pt idx="22">
                  <c:v>4054.4988321475198</c:v>
                </c:pt>
                <c:pt idx="23">
                  <c:v>4281.3219187260511</c:v>
                </c:pt>
                <c:pt idx="24">
                  <c:v>4548.8229238013009</c:v>
                </c:pt>
                <c:pt idx="25">
                  <c:v>4845.6041437431477</c:v>
                </c:pt>
                <c:pt idx="26">
                  <c:v>5095.261672542686</c:v>
                </c:pt>
                <c:pt idx="27">
                  <c:v>5347.1993215903403</c:v>
                </c:pt>
                <c:pt idx="28">
                  <c:v>5413.2614821636535</c:v>
                </c:pt>
                <c:pt idx="29">
                  <c:v>5163.9483242133047</c:v>
                </c:pt>
                <c:pt idx="30">
                  <c:v>5394.2750920018307</c:v>
                </c:pt>
                <c:pt idx="31">
                  <c:v>5521.0953208257888</c:v>
                </c:pt>
                <c:pt idx="32">
                  <c:v>5676.2654131508198</c:v>
                </c:pt>
                <c:pt idx="33">
                  <c:v>5889.3415316188593</c:v>
                </c:pt>
                <c:pt idx="34">
                  <c:v>6244.3754923770211</c:v>
                </c:pt>
              </c:numCache>
            </c:numRef>
          </c:xVal>
          <c:yVal>
            <c:numRef>
              <c:f>'host country (india)'!$V$18:$V$52</c:f>
              <c:numCache>
                <c:formatCode>General</c:formatCode>
                <c:ptCount val="35"/>
                <c:pt idx="0">
                  <c:v>-2.3984638002645369</c:v>
                </c:pt>
                <c:pt idx="1">
                  <c:v>3.0901834659496927</c:v>
                </c:pt>
                <c:pt idx="2">
                  <c:v>8.5913410736169169</c:v>
                </c:pt>
                <c:pt idx="3">
                  <c:v>10.821183243712213</c:v>
                </c:pt>
                <c:pt idx="4">
                  <c:v>15.461462926030748</c:v>
                </c:pt>
                <c:pt idx="5">
                  <c:v>9.5012767788913948</c:v>
                </c:pt>
                <c:pt idx="6">
                  <c:v>5.1186909042598927E-2</c:v>
                </c:pt>
                <c:pt idx="7">
                  <c:v>3.1318435932712987</c:v>
                </c:pt>
                <c:pt idx="8">
                  <c:v>5.3937745157569168</c:v>
                </c:pt>
                <c:pt idx="9">
                  <c:v>7.2990978490111296</c:v>
                </c:pt>
                <c:pt idx="10">
                  <c:v>2.2703251937848563</c:v>
                </c:pt>
                <c:pt idx="11">
                  <c:v>6.8667636076502419</c:v>
                </c:pt>
                <c:pt idx="12">
                  <c:v>6.3366103225509107</c:v>
                </c:pt>
                <c:pt idx="13">
                  <c:v>7.3832533106597253</c:v>
                </c:pt>
                <c:pt idx="14">
                  <c:v>9.3490886911469175</c:v>
                </c:pt>
                <c:pt idx="15">
                  <c:v>17.787792317977249</c:v>
                </c:pt>
                <c:pt idx="16">
                  <c:v>6.98058873129321</c:v>
                </c:pt>
                <c:pt idx="17">
                  <c:v>4.6636154823950164</c:v>
                </c:pt>
                <c:pt idx="18">
                  <c:v>10.967629778823465</c:v>
                </c:pt>
                <c:pt idx="19">
                  <c:v>7.6951064643586449</c:v>
                </c:pt>
                <c:pt idx="20">
                  <c:v>3.1250562390001875</c:v>
                </c:pt>
                <c:pt idx="21">
                  <c:v>5.4530833068635332</c:v>
                </c:pt>
                <c:pt idx="22">
                  <c:v>4.9658474395659624</c:v>
                </c:pt>
                <c:pt idx="23">
                  <c:v>7.8956697662977433</c:v>
                </c:pt>
                <c:pt idx="24">
                  <c:v>13.059393581395867</c:v>
                </c:pt>
                <c:pt idx="25">
                  <c:v>7.9268214208403975</c:v>
                </c:pt>
                <c:pt idx="26">
                  <c:v>7.5270636029121931</c:v>
                </c:pt>
                <c:pt idx="27">
                  <c:v>5.4115568850371574</c:v>
                </c:pt>
                <c:pt idx="28">
                  <c:v>-2.9749629420838488</c:v>
                </c:pt>
                <c:pt idx="29">
                  <c:v>3.0736109935103286</c:v>
                </c:pt>
                <c:pt idx="30">
                  <c:v>9.9552196717495889</c:v>
                </c:pt>
                <c:pt idx="31">
                  <c:v>-1.744196563454409</c:v>
                </c:pt>
                <c:pt idx="32">
                  <c:v>12.707025648704672</c:v>
                </c:pt>
                <c:pt idx="33">
                  <c:v>9.2890336559855626</c:v>
                </c:pt>
                <c:pt idx="34">
                  <c:v>11.531872924542057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E9-42DF-B61B-D8CBE8C614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11695"/>
        <c:axId val="2005012432"/>
      </c:scatterChart>
      <c:valAx>
        <c:axId val="24011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0" i="0" u="none" strike="noStrike" baseline="0"/>
                  <a:t>Labour Productivity (constant 2015 US$ per employed person)</a:t>
                </a:r>
                <a:endParaRPr lang="en-US" sz="1200"/>
              </a:p>
            </c:rich>
          </c:tx>
          <c:layout>
            <c:manualLayout>
              <c:xMode val="edge"/>
              <c:yMode val="edge"/>
              <c:x val="0.25994679792528702"/>
              <c:y val="0.701969885343279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5012432"/>
        <c:crosses val="autoZero"/>
        <c:crossBetween val="midCat"/>
      </c:valAx>
      <c:valAx>
        <c:axId val="20050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0" i="0" u="none" strike="noStrike" baseline="0"/>
                  <a:t>Manufacturing Growth (%)</a:t>
                </a:r>
                <a:endParaRPr lang="en-US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116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2"/>
        <c:delete val="1"/>
      </c:legendEntry>
      <c:layout>
        <c:manualLayout>
          <c:xMode val="edge"/>
          <c:yMode val="edge"/>
          <c:x val="0.26670977103471821"/>
          <c:y val="0.76637666193365173"/>
          <c:w val="0.53759274274329638"/>
          <c:h val="0.19853573946874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Relationship Between Capital per Worker Growth and Manufacturing Growth in India (1992–2025)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831750339213029E-2"/>
          <c:y val="0.17925553642809208"/>
          <c:w val="0.60107032243657588"/>
          <c:h val="0.68345289665644049"/>
        </c:manualLayout>
      </c:layout>
      <c:scatterChart>
        <c:scatterStyle val="lineMarker"/>
        <c:varyColors val="0"/>
        <c:ser>
          <c:idx val="0"/>
          <c:order val="0"/>
          <c:tx>
            <c:v>Relationship Between Capital per Worker Growth and Manufacturing Growth in India (1992–2025)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3843096614280067E-2"/>
                  <c:y val="-5.8374673086565063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/>
                      <a:t>R² = 0.0211</a:t>
                    </a: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'host country (india)'!$S$19:$S$52</c:f>
              <c:numCache>
                <c:formatCode>General</c:formatCode>
                <c:ptCount val="34"/>
                <c:pt idx="0">
                  <c:v>7.8288140428024038</c:v>
                </c:pt>
                <c:pt idx="1">
                  <c:v>-3.2944607678232347</c:v>
                </c:pt>
                <c:pt idx="2">
                  <c:v>3.0556214388439291</c:v>
                </c:pt>
                <c:pt idx="3">
                  <c:v>8.7330960177334376</c:v>
                </c:pt>
                <c:pt idx="4">
                  <c:v>1.4880896446096055</c:v>
                </c:pt>
                <c:pt idx="5">
                  <c:v>5.8290116577961193</c:v>
                </c:pt>
                <c:pt idx="6">
                  <c:v>7.2933075503791969</c:v>
                </c:pt>
                <c:pt idx="7">
                  <c:v>13.19784429189694</c:v>
                </c:pt>
                <c:pt idx="8">
                  <c:v>-4.7280199267805703</c:v>
                </c:pt>
                <c:pt idx="9">
                  <c:v>19.549665187247779</c:v>
                </c:pt>
                <c:pt idx="10">
                  <c:v>-2.7471096052982684</c:v>
                </c:pt>
                <c:pt idx="11">
                  <c:v>2.9145658178641169</c:v>
                </c:pt>
                <c:pt idx="12">
                  <c:v>9.1446146081960737</c:v>
                </c:pt>
                <c:pt idx="13">
                  <c:v>14.077431231950326</c:v>
                </c:pt>
                <c:pt idx="14">
                  <c:v>13.185023602367703</c:v>
                </c:pt>
                <c:pt idx="15">
                  <c:v>15.679403700932792</c:v>
                </c:pt>
                <c:pt idx="16">
                  <c:v>2.7582898970766538</c:v>
                </c:pt>
                <c:pt idx="17">
                  <c:v>7.1252145490358645</c:v>
                </c:pt>
                <c:pt idx="18">
                  <c:v>10.420611879508833</c:v>
                </c:pt>
                <c:pt idx="19">
                  <c:v>11.037972119489178</c:v>
                </c:pt>
                <c:pt idx="20">
                  <c:v>4.0517921524330918</c:v>
                </c:pt>
                <c:pt idx="21">
                  <c:v>-0.1562130706715556</c:v>
                </c:pt>
                <c:pt idx="22">
                  <c:v>0.86864210182348323</c:v>
                </c:pt>
                <c:pt idx="23">
                  <c:v>4.8063934370451555</c:v>
                </c:pt>
                <c:pt idx="24">
                  <c:v>6.7232625939447423</c:v>
                </c:pt>
                <c:pt idx="25">
                  <c:v>6.1435182238880373</c:v>
                </c:pt>
                <c:pt idx="26">
                  <c:v>9.6264305974305344</c:v>
                </c:pt>
                <c:pt idx="27">
                  <c:v>-1.4200572980792965</c:v>
                </c:pt>
                <c:pt idx="28">
                  <c:v>-5.9403908886824563</c:v>
                </c:pt>
                <c:pt idx="29">
                  <c:v>11.918631678332252</c:v>
                </c:pt>
                <c:pt idx="30">
                  <c:v>3.1459520795846401</c:v>
                </c:pt>
                <c:pt idx="31">
                  <c:v>2.851449512093295</c:v>
                </c:pt>
                <c:pt idx="32">
                  <c:v>3.0859293700615971</c:v>
                </c:pt>
                <c:pt idx="33">
                  <c:v>5.5514673997552739</c:v>
                </c:pt>
              </c:numCache>
            </c:numRef>
          </c:xVal>
          <c:yVal>
            <c:numRef>
              <c:f>'host country (india)'!$V$19:$V$52</c:f>
              <c:numCache>
                <c:formatCode>General</c:formatCode>
                <c:ptCount val="34"/>
                <c:pt idx="0">
                  <c:v>3.0901834659496927</c:v>
                </c:pt>
                <c:pt idx="1">
                  <c:v>8.5913410736169169</c:v>
                </c:pt>
                <c:pt idx="2">
                  <c:v>10.821183243712213</c:v>
                </c:pt>
                <c:pt idx="3">
                  <c:v>15.461462926030748</c:v>
                </c:pt>
                <c:pt idx="4">
                  <c:v>9.5012767788913948</c:v>
                </c:pt>
                <c:pt idx="5">
                  <c:v>5.1186909042598927E-2</c:v>
                </c:pt>
                <c:pt idx="6">
                  <c:v>3.1318435932712987</c:v>
                </c:pt>
                <c:pt idx="7">
                  <c:v>5.3937745157569168</c:v>
                </c:pt>
                <c:pt idx="8">
                  <c:v>7.2990978490111296</c:v>
                </c:pt>
                <c:pt idx="9">
                  <c:v>2.2703251937848563</c:v>
                </c:pt>
                <c:pt idx="10">
                  <c:v>6.8667636076502419</c:v>
                </c:pt>
                <c:pt idx="11">
                  <c:v>6.3366103225509107</c:v>
                </c:pt>
                <c:pt idx="12">
                  <c:v>7.3832533106597253</c:v>
                </c:pt>
                <c:pt idx="13">
                  <c:v>9.3490886911469175</c:v>
                </c:pt>
                <c:pt idx="14">
                  <c:v>17.787792317977249</c:v>
                </c:pt>
                <c:pt idx="15">
                  <c:v>6.98058873129321</c:v>
                </c:pt>
                <c:pt idx="16">
                  <c:v>4.6636154823950164</c:v>
                </c:pt>
                <c:pt idx="17">
                  <c:v>10.967629778823465</c:v>
                </c:pt>
                <c:pt idx="18">
                  <c:v>7.6951064643586449</c:v>
                </c:pt>
                <c:pt idx="19">
                  <c:v>3.1250562390001875</c:v>
                </c:pt>
                <c:pt idx="20">
                  <c:v>5.4530833068635332</c:v>
                </c:pt>
                <c:pt idx="21">
                  <c:v>4.9658474395659624</c:v>
                </c:pt>
                <c:pt idx="22">
                  <c:v>7.8956697662977433</c:v>
                </c:pt>
                <c:pt idx="23">
                  <c:v>13.059393581395867</c:v>
                </c:pt>
                <c:pt idx="24">
                  <c:v>7.9268214208403975</c:v>
                </c:pt>
                <c:pt idx="25">
                  <c:v>7.5270636029121931</c:v>
                </c:pt>
                <c:pt idx="26">
                  <c:v>5.4115568850371574</c:v>
                </c:pt>
                <c:pt idx="27">
                  <c:v>-2.9749629420838488</c:v>
                </c:pt>
                <c:pt idx="28">
                  <c:v>3.0736109935103286</c:v>
                </c:pt>
                <c:pt idx="29">
                  <c:v>9.9552196717495889</c:v>
                </c:pt>
                <c:pt idx="30">
                  <c:v>-1.744196563454409</c:v>
                </c:pt>
                <c:pt idx="31">
                  <c:v>12.707025648704672</c:v>
                </c:pt>
                <c:pt idx="32">
                  <c:v>9.2890336559855626</c:v>
                </c:pt>
                <c:pt idx="33">
                  <c:v>11.531872924542057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08-43BB-8A24-763FC58BD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265535"/>
        <c:axId val="2005001872"/>
      </c:scatterChart>
      <c:valAx>
        <c:axId val="36265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0" i="0" u="none" strike="noStrike" baseline="0"/>
                  <a:t>Capital per Worker Growth (%)</a:t>
                </a:r>
                <a:endParaRPr lang="en-US" sz="1200"/>
              </a:p>
            </c:rich>
          </c:tx>
          <c:layout>
            <c:manualLayout>
              <c:xMode val="edge"/>
              <c:yMode val="edge"/>
              <c:x val="0.23687162409261112"/>
              <c:y val="0.884299368178306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5001872"/>
        <c:crosses val="autoZero"/>
        <c:crossBetween val="midCat"/>
      </c:valAx>
      <c:valAx>
        <c:axId val="200500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0" i="0" u="none" strike="noStrike" baseline="0"/>
                  <a:t>Manufacturing Growth (%)</a:t>
                </a:r>
                <a:endParaRPr lang="en-US" sz="1200"/>
              </a:p>
            </c:rich>
          </c:tx>
          <c:layout>
            <c:manualLayout>
              <c:xMode val="edge"/>
              <c:yMode val="edge"/>
              <c:x val="1.0243277848911651E-2"/>
              <c:y val="0.2882635247989578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65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638175</xdr:colOff>
      <xdr:row>1</xdr:row>
      <xdr:rowOff>133351</xdr:rowOff>
    </xdr:from>
    <xdr:to>
      <xdr:col>8</xdr:col>
      <xdr:colOff>666751</xdr:colOff>
      <xdr:row>20</xdr:row>
      <xdr:rowOff>95251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745773-A007-44FB-A7AD-286FEC4DF0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209551</xdr:colOff>
      <xdr:row>1</xdr:row>
      <xdr:rowOff>161925</xdr:rowOff>
    </xdr:from>
    <xdr:to>
      <xdr:col>17</xdr:col>
      <xdr:colOff>533401</xdr:colOff>
      <xdr:row>25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36A5F5-CB3F-4AF2-B857-5B9CF355BE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838199</xdr:colOff>
      <xdr:row>27</xdr:row>
      <xdr:rowOff>47624</xdr:rowOff>
    </xdr:from>
    <xdr:to>
      <xdr:col>18</xdr:col>
      <xdr:colOff>180974</xdr:colOff>
      <xdr:row>44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DA7EFF-DA38-48BF-924B-342AFF814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00"/>
  <sheetViews>
    <sheetView workbookViewId="0">
      <selection activeCell="O1" sqref="O1:O1048576"/>
    </sheetView>
  </sheetViews>
  <sheetFormatPr defaultRowHeight="15" customHeight="1" x14ac:dyDescent="0.25"/>
  <cols>
    <col min="5" max="5" width="16.42578125" customWidth="1"/>
    <col min="12" max="12" width="33.28515625" customWidth="1"/>
    <col min="19" max="20" width="0" hidden="1" customWidth="1"/>
  </cols>
  <sheetData>
    <row r="1" spans="1:25" x14ac:dyDescent="0.25">
      <c r="A1" t="s">
        <v>1</v>
      </c>
      <c r="B1" s="42" t="s">
        <v>5</v>
      </c>
      <c r="C1" t="s">
        <v>4</v>
      </c>
      <c r="D1" s="42" t="s">
        <v>8</v>
      </c>
      <c r="E1" t="s">
        <v>9</v>
      </c>
      <c r="F1" t="s">
        <v>11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19</v>
      </c>
      <c r="M1" t="s">
        <v>20</v>
      </c>
      <c r="N1" t="s">
        <v>21</v>
      </c>
      <c r="O1" t="s">
        <v>22</v>
      </c>
      <c r="P1" t="s">
        <v>26</v>
      </c>
      <c r="Q1" t="s">
        <v>27</v>
      </c>
      <c r="R1" t="s">
        <v>28</v>
      </c>
      <c r="S1" t="s">
        <v>31</v>
      </c>
      <c r="T1" t="s">
        <v>35</v>
      </c>
      <c r="U1" t="s">
        <v>29</v>
      </c>
      <c r="V1" t="s">
        <v>33</v>
      </c>
      <c r="W1" t="s">
        <v>37</v>
      </c>
      <c r="X1" t="s">
        <v>39</v>
      </c>
      <c r="Y1" t="s">
        <v>102</v>
      </c>
    </row>
    <row r="2" spans="1:25" x14ac:dyDescent="0.25">
      <c r="A2" t="s">
        <v>40</v>
      </c>
      <c r="B2" s="42" t="s">
        <v>41</v>
      </c>
      <c r="C2">
        <v>1976</v>
      </c>
      <c r="D2" s="42" t="s">
        <v>105</v>
      </c>
      <c r="E2">
        <v>236260373292.01569</v>
      </c>
      <c r="F2">
        <v>1.6631036366127887</v>
      </c>
      <c r="G2">
        <v>377.49602541622698</v>
      </c>
      <c r="H2">
        <v>41960903331.347496</v>
      </c>
      <c r="I2">
        <v>10.931913537916316</v>
      </c>
      <c r="J2" t="s">
        <v>84</v>
      </c>
      <c r="K2" t="s">
        <v>84</v>
      </c>
      <c r="L2">
        <v>16.265888832790733</v>
      </c>
      <c r="M2">
        <v>8.7699912765336876</v>
      </c>
      <c r="N2">
        <v>29006533388.012371</v>
      </c>
      <c r="O2" t="s">
        <v>84</v>
      </c>
      <c r="P2" t="s">
        <v>84</v>
      </c>
      <c r="Q2" t="s">
        <v>84</v>
      </c>
      <c r="R2">
        <v>12.801203072683698</v>
      </c>
      <c r="S2">
        <v>13632844265.538933</v>
      </c>
      <c r="T2">
        <v>9998335735.6315918</v>
      </c>
      <c r="U2">
        <v>6868148772.6722193</v>
      </c>
      <c r="V2">
        <v>6280792834.3023033</v>
      </c>
      <c r="W2" t="s">
        <v>84</v>
      </c>
      <c r="X2">
        <v>-7706430.5425742399</v>
      </c>
      <c r="Y2">
        <v>102716451979.68039</v>
      </c>
    </row>
    <row r="3" spans="1:25" x14ac:dyDescent="0.25">
      <c r="A3" t="s">
        <v>40</v>
      </c>
      <c r="B3" s="42" t="s">
        <v>41</v>
      </c>
      <c r="C3">
        <v>1977</v>
      </c>
      <c r="D3" s="42" t="s">
        <v>106</v>
      </c>
      <c r="E3">
        <v>253400507183.96805</v>
      </c>
      <c r="F3">
        <v>7.2547645858356873</v>
      </c>
      <c r="G3">
        <v>395.4433068196015</v>
      </c>
      <c r="H3">
        <v>47635917089.87632</v>
      </c>
      <c r="I3">
        <v>13.524527138311697</v>
      </c>
      <c r="J3" t="s">
        <v>84</v>
      </c>
      <c r="K3" t="s">
        <v>84</v>
      </c>
      <c r="L3">
        <v>16.080868929358598</v>
      </c>
      <c r="M3">
        <v>6.2236004918999157</v>
      </c>
      <c r="N3">
        <v>30811784142.631824</v>
      </c>
      <c r="O3" t="s">
        <v>84</v>
      </c>
      <c r="P3" t="s">
        <v>84</v>
      </c>
      <c r="Q3" t="s">
        <v>84</v>
      </c>
      <c r="R3">
        <v>12.648101137552864</v>
      </c>
      <c r="S3">
        <v>13146512143.995739</v>
      </c>
      <c r="T3">
        <v>12737441153.224804</v>
      </c>
      <c r="U3">
        <v>7754701053.9386177</v>
      </c>
      <c r="V3">
        <v>7611052224.1743937</v>
      </c>
      <c r="W3" t="s">
        <v>84</v>
      </c>
      <c r="X3">
        <v>-36060000</v>
      </c>
      <c r="Y3">
        <v>121486641441.3093</v>
      </c>
    </row>
    <row r="4" spans="1:25" x14ac:dyDescent="0.25">
      <c r="A4" t="s">
        <v>40</v>
      </c>
      <c r="B4" s="42" t="s">
        <v>41</v>
      </c>
      <c r="C4">
        <v>1978</v>
      </c>
      <c r="D4" s="42" t="s">
        <v>107</v>
      </c>
      <c r="E4">
        <v>267876092470.54575</v>
      </c>
      <c r="F4">
        <v>5.7125320890018827</v>
      </c>
      <c r="G4">
        <v>408.51694440402952</v>
      </c>
      <c r="H4">
        <v>50099661173.817818</v>
      </c>
      <c r="I4">
        <v>5.1720303385637862</v>
      </c>
      <c r="J4" t="s">
        <v>84</v>
      </c>
      <c r="K4" t="s">
        <v>84</v>
      </c>
      <c r="L4">
        <v>17.096440519717575</v>
      </c>
      <c r="M4">
        <v>12.35214174258823</v>
      </c>
      <c r="N4">
        <v>34617699393.350029</v>
      </c>
      <c r="O4" t="s">
        <v>84</v>
      </c>
      <c r="P4" t="s">
        <v>84</v>
      </c>
      <c r="Q4" t="s">
        <v>84</v>
      </c>
      <c r="R4">
        <v>12.903011842484915</v>
      </c>
      <c r="S4">
        <v>14172338470.383404</v>
      </c>
      <c r="T4">
        <v>12743700818.286467</v>
      </c>
      <c r="U4">
        <v>8670401540.1265316</v>
      </c>
      <c r="V4">
        <v>9045733047.4152145</v>
      </c>
      <c r="W4" t="s">
        <v>84</v>
      </c>
      <c r="X4">
        <v>18090000</v>
      </c>
      <c r="Y4">
        <v>137302319828.99506</v>
      </c>
    </row>
    <row r="5" spans="1:25" x14ac:dyDescent="0.25">
      <c r="A5" t="s">
        <v>40</v>
      </c>
      <c r="B5" s="42" t="s">
        <v>41</v>
      </c>
      <c r="C5">
        <v>1979</v>
      </c>
      <c r="D5" s="42" t="s">
        <v>108</v>
      </c>
      <c r="E5">
        <v>253844253329.84518</v>
      </c>
      <c r="F5">
        <v>-5.2381827027895014</v>
      </c>
      <c r="G5">
        <v>378.21959279124701</v>
      </c>
      <c r="H5">
        <v>50067110078.057487</v>
      </c>
      <c r="I5">
        <v>-6.4972686436732374E-2</v>
      </c>
      <c r="J5" t="s">
        <v>84</v>
      </c>
      <c r="K5" t="s">
        <v>84</v>
      </c>
      <c r="L5">
        <v>17.852034489291022</v>
      </c>
      <c r="M5">
        <v>-3.2211818466920619</v>
      </c>
      <c r="N5">
        <v>33502600344.749012</v>
      </c>
      <c r="O5" t="s">
        <v>84</v>
      </c>
      <c r="P5" t="s">
        <v>84</v>
      </c>
      <c r="Q5" t="s">
        <v>84</v>
      </c>
      <c r="R5">
        <v>14.918804531376246</v>
      </c>
      <c r="S5">
        <v>15753148172.546721</v>
      </c>
      <c r="T5">
        <v>15205890550.240335</v>
      </c>
      <c r="U5">
        <v>10326638765.756172</v>
      </c>
      <c r="V5">
        <v>12498452242.391224</v>
      </c>
      <c r="W5" t="s">
        <v>84</v>
      </c>
      <c r="X5">
        <v>48570000</v>
      </c>
      <c r="Y5">
        <v>152995442497.70932</v>
      </c>
    </row>
    <row r="6" spans="1:25" x14ac:dyDescent="0.25">
      <c r="A6" t="s">
        <v>40</v>
      </c>
      <c r="B6" s="42" t="s">
        <v>41</v>
      </c>
      <c r="C6">
        <v>1980</v>
      </c>
      <c r="D6" s="42" t="s">
        <v>109</v>
      </c>
      <c r="E6">
        <v>270942749193.22394</v>
      </c>
      <c r="F6">
        <v>6.7358215279984961</v>
      </c>
      <c r="G6">
        <v>394.18223992101298</v>
      </c>
      <c r="H6">
        <v>51259917959.542053</v>
      </c>
      <c r="I6">
        <v>2.3824180777059212</v>
      </c>
      <c r="J6" t="s">
        <v>84</v>
      </c>
      <c r="K6" t="s">
        <v>84</v>
      </c>
      <c r="L6">
        <v>16.75237579755089</v>
      </c>
      <c r="M6">
        <v>0.19442644199646963</v>
      </c>
      <c r="N6">
        <v>33567738258.575607</v>
      </c>
      <c r="O6" t="s">
        <v>84</v>
      </c>
      <c r="P6" t="s">
        <v>84</v>
      </c>
      <c r="Q6" t="s">
        <v>84</v>
      </c>
      <c r="R6">
        <v>15.384576848506088</v>
      </c>
      <c r="S6">
        <v>16578192478.790102</v>
      </c>
      <c r="T6">
        <v>17388574195.857681</v>
      </c>
      <c r="U6">
        <v>11439738400.08119</v>
      </c>
      <c r="V6">
        <v>17226125073.375107</v>
      </c>
      <c r="W6" t="s">
        <v>84</v>
      </c>
      <c r="X6">
        <v>79159999.900000006</v>
      </c>
      <c r="Y6">
        <v>186328579302.06827</v>
      </c>
    </row>
    <row r="7" spans="1:25" x14ac:dyDescent="0.25">
      <c r="A7" t="s">
        <v>40</v>
      </c>
      <c r="B7" s="42" t="s">
        <v>41</v>
      </c>
      <c r="C7">
        <v>1981</v>
      </c>
      <c r="D7" s="42" t="s">
        <v>110</v>
      </c>
      <c r="E7">
        <v>287216122413.73859</v>
      </c>
      <c r="F7">
        <v>6.0062036238176688</v>
      </c>
      <c r="G7">
        <v>408.15354979330726</v>
      </c>
      <c r="H7">
        <v>51195242722.651161</v>
      </c>
      <c r="I7">
        <v>-0.1261711673864454</v>
      </c>
      <c r="J7" t="s">
        <v>84</v>
      </c>
      <c r="K7" t="s">
        <v>84</v>
      </c>
      <c r="L7">
        <v>16.770443752043775</v>
      </c>
      <c r="M7">
        <v>8.1696271797904672</v>
      </c>
      <c r="N7">
        <v>36310097326.98912</v>
      </c>
      <c r="O7" t="s">
        <v>84</v>
      </c>
      <c r="P7" t="s">
        <v>84</v>
      </c>
      <c r="Q7" t="s">
        <v>84</v>
      </c>
      <c r="R7">
        <v>14.507264761620434</v>
      </c>
      <c r="S7">
        <v>16442759579.124552</v>
      </c>
      <c r="T7">
        <v>19132547406.616024</v>
      </c>
      <c r="U7">
        <v>11485699151.059452</v>
      </c>
      <c r="V7">
        <v>16584605960.222254</v>
      </c>
      <c r="W7" t="s">
        <v>84</v>
      </c>
      <c r="X7">
        <v>91920000</v>
      </c>
      <c r="Y7">
        <v>193491368445.57254</v>
      </c>
    </row>
    <row r="8" spans="1:25" x14ac:dyDescent="0.25">
      <c r="A8" t="s">
        <v>40</v>
      </c>
      <c r="B8" s="42" t="s">
        <v>41</v>
      </c>
      <c r="C8">
        <v>1982</v>
      </c>
      <c r="D8" s="42" t="s">
        <v>111</v>
      </c>
      <c r="E8">
        <v>297198988652.00916</v>
      </c>
      <c r="F8">
        <v>3.4757332403123655</v>
      </c>
      <c r="G8">
        <v>412.59673710422067</v>
      </c>
      <c r="H8">
        <v>54085872663.774872</v>
      </c>
      <c r="I8">
        <v>5.6462862316790279</v>
      </c>
      <c r="J8" t="s">
        <v>84</v>
      </c>
      <c r="K8" t="s">
        <v>84</v>
      </c>
      <c r="L8">
        <v>16.369995937370447</v>
      </c>
      <c r="M8">
        <v>3.2881527705993108</v>
      </c>
      <c r="N8">
        <v>37504028798.253815</v>
      </c>
      <c r="O8" t="s">
        <v>84</v>
      </c>
      <c r="P8" t="s">
        <v>84</v>
      </c>
      <c r="Q8" t="s">
        <v>84</v>
      </c>
      <c r="R8">
        <v>14.12592774954747</v>
      </c>
      <c r="S8">
        <v>17432697238.649529</v>
      </c>
      <c r="T8">
        <v>19793418141.987064</v>
      </c>
      <c r="U8">
        <v>12009417676.703733</v>
      </c>
      <c r="V8">
        <v>16343526468.962202</v>
      </c>
      <c r="W8" t="s">
        <v>84</v>
      </c>
      <c r="X8">
        <v>72079999.900000006</v>
      </c>
      <c r="Y8">
        <v>200715624830.9017</v>
      </c>
    </row>
    <row r="9" spans="1:25" x14ac:dyDescent="0.25">
      <c r="A9" t="s">
        <v>40</v>
      </c>
      <c r="B9" s="42" t="s">
        <v>41</v>
      </c>
      <c r="C9">
        <v>1983</v>
      </c>
      <c r="D9" s="42" t="s">
        <v>112</v>
      </c>
      <c r="E9">
        <v>318861504638.43994</v>
      </c>
      <c r="F9">
        <v>7.288892901245859</v>
      </c>
      <c r="G9">
        <v>432.42923538475918</v>
      </c>
      <c r="H9">
        <v>58051099889.152153</v>
      </c>
      <c r="I9">
        <v>7.3313548068774566</v>
      </c>
      <c r="J9" t="s">
        <v>84</v>
      </c>
      <c r="K9" t="s">
        <v>84</v>
      </c>
      <c r="L9">
        <v>16.664454692509604</v>
      </c>
      <c r="M9">
        <v>10.231988697374987</v>
      </c>
      <c r="N9">
        <v>41341436785.951401</v>
      </c>
      <c r="O9" t="s">
        <v>84</v>
      </c>
      <c r="P9" t="s">
        <v>84</v>
      </c>
      <c r="Q9" t="s">
        <v>84</v>
      </c>
      <c r="R9">
        <v>13.690593886880247</v>
      </c>
      <c r="S9">
        <v>17273202305.996033</v>
      </c>
      <c r="T9">
        <v>24144838239.29644</v>
      </c>
      <c r="U9">
        <v>12741335281.076435</v>
      </c>
      <c r="V9">
        <v>17140048793.136921</v>
      </c>
      <c r="W9" t="s">
        <v>84</v>
      </c>
      <c r="X9">
        <v>5639999.9000000004</v>
      </c>
      <c r="Y9">
        <v>218262146413.1575</v>
      </c>
    </row>
    <row r="10" spans="1:25" x14ac:dyDescent="0.25">
      <c r="A10" t="s">
        <v>40</v>
      </c>
      <c r="B10" s="42" t="s">
        <v>41</v>
      </c>
      <c r="C10">
        <v>1984</v>
      </c>
      <c r="D10" s="42" t="s">
        <v>113</v>
      </c>
      <c r="E10">
        <v>331044366854.28754</v>
      </c>
      <c r="F10">
        <v>3.8207378559735048</v>
      </c>
      <c r="G10">
        <v>438.54170551291509</v>
      </c>
      <c r="H10">
        <v>59018585878.501671</v>
      </c>
      <c r="I10">
        <v>1.6666109534477727</v>
      </c>
      <c r="J10" t="s">
        <v>84</v>
      </c>
      <c r="K10" t="s">
        <v>84</v>
      </c>
      <c r="L10">
        <v>16.707803600320943</v>
      </c>
      <c r="M10">
        <v>4.2079710127929388</v>
      </c>
      <c r="N10">
        <v>43081072462.176353</v>
      </c>
      <c r="O10" t="s">
        <v>84</v>
      </c>
      <c r="P10" t="s">
        <v>84</v>
      </c>
      <c r="Q10" t="s">
        <v>84</v>
      </c>
      <c r="R10">
        <v>14.009375944128916</v>
      </c>
      <c r="S10">
        <v>18533775038.590584</v>
      </c>
      <c r="T10">
        <v>20684867974.925335</v>
      </c>
      <c r="U10">
        <v>13330716432.206964</v>
      </c>
      <c r="V10">
        <v>16391245674.941341</v>
      </c>
      <c r="W10" t="s">
        <v>84</v>
      </c>
      <c r="X10">
        <v>19239999.899999999</v>
      </c>
      <c r="Y10">
        <v>212157645177.65161</v>
      </c>
    </row>
    <row r="11" spans="1:25" x14ac:dyDescent="0.25">
      <c r="A11" t="s">
        <v>40</v>
      </c>
      <c r="B11" s="42" t="s">
        <v>41</v>
      </c>
      <c r="C11">
        <v>1985</v>
      </c>
      <c r="D11" s="42" t="s">
        <v>114</v>
      </c>
      <c r="E11">
        <v>348438428450.72021</v>
      </c>
      <c r="F11">
        <v>5.254299223308891</v>
      </c>
      <c r="G11">
        <v>450.96670385586697</v>
      </c>
      <c r="H11">
        <v>61736925084.92981</v>
      </c>
      <c r="I11">
        <v>4.6059036589325189</v>
      </c>
      <c r="J11" t="s">
        <v>84</v>
      </c>
      <c r="K11" t="s">
        <v>84</v>
      </c>
      <c r="L11">
        <v>16.418012862666259</v>
      </c>
      <c r="M11">
        <v>3.1874897641194053</v>
      </c>
      <c r="N11">
        <v>44454277237.181084</v>
      </c>
      <c r="O11" t="s">
        <v>84</v>
      </c>
      <c r="P11" t="s">
        <v>84</v>
      </c>
      <c r="Q11" t="s">
        <v>84</v>
      </c>
      <c r="R11">
        <v>12.900036194148711</v>
      </c>
      <c r="S11">
        <v>17363383662.975315</v>
      </c>
      <c r="T11">
        <v>23554047236.255283</v>
      </c>
      <c r="U11">
        <v>12217447521.809546</v>
      </c>
      <c r="V11">
        <v>17776627208.176365</v>
      </c>
      <c r="W11" t="s">
        <v>84</v>
      </c>
      <c r="X11">
        <v>106090000</v>
      </c>
      <c r="Y11">
        <v>232511554840.37195</v>
      </c>
    </row>
    <row r="12" spans="1:25" x14ac:dyDescent="0.25">
      <c r="A12" t="s">
        <v>40</v>
      </c>
      <c r="B12" s="42" t="s">
        <v>41</v>
      </c>
      <c r="C12">
        <v>1986</v>
      </c>
      <c r="D12" s="42" t="s">
        <v>115</v>
      </c>
      <c r="E12">
        <v>365081813580.3139</v>
      </c>
      <c r="F12">
        <v>4.7765641704894648</v>
      </c>
      <c r="G12">
        <v>461.72561147640334</v>
      </c>
      <c r="H12">
        <v>67620333950.296837</v>
      </c>
      <c r="I12">
        <v>9.5298054726136456</v>
      </c>
      <c r="J12" t="s">
        <v>84</v>
      </c>
      <c r="K12" t="s">
        <v>84</v>
      </c>
      <c r="L12">
        <v>16.221583809613467</v>
      </c>
      <c r="M12">
        <v>5.4942395120692424</v>
      </c>
      <c r="N12">
        <v>46896701701.951088</v>
      </c>
      <c r="O12" t="s">
        <v>84</v>
      </c>
      <c r="P12" t="s">
        <v>84</v>
      </c>
      <c r="Q12" t="s">
        <v>84</v>
      </c>
      <c r="R12">
        <v>12.219271899372565</v>
      </c>
      <c r="S12">
        <v>18306628821.390759</v>
      </c>
      <c r="T12">
        <v>27578013348.839436</v>
      </c>
      <c r="U12">
        <v>12937864153.599499</v>
      </c>
      <c r="V12">
        <v>17486411449.575726</v>
      </c>
      <c r="W12" t="s">
        <v>84</v>
      </c>
      <c r="X12">
        <v>117730000</v>
      </c>
      <c r="Y12">
        <v>248985994040.58969</v>
      </c>
    </row>
    <row r="13" spans="1:25" x14ac:dyDescent="0.25">
      <c r="A13" t="s">
        <v>40</v>
      </c>
      <c r="B13" s="42" t="s">
        <v>41</v>
      </c>
      <c r="C13">
        <v>1987</v>
      </c>
      <c r="D13" s="42" t="s">
        <v>116</v>
      </c>
      <c r="E13">
        <v>379558605843.48621</v>
      </c>
      <c r="F13">
        <v>3.9653556339057587</v>
      </c>
      <c r="G13">
        <v>469.20995629639367</v>
      </c>
      <c r="H13">
        <v>75089849878.027985</v>
      </c>
      <c r="I13">
        <v>11.046257081814304</v>
      </c>
      <c r="J13" t="s">
        <v>84</v>
      </c>
      <c r="K13" t="s">
        <v>84</v>
      </c>
      <c r="L13">
        <v>16.209549353889148</v>
      </c>
      <c r="M13">
        <v>5.6000217184412548</v>
      </c>
      <c r="N13">
        <v>49522927182.492958</v>
      </c>
      <c r="O13" t="s">
        <v>84</v>
      </c>
      <c r="P13" t="s">
        <v>84</v>
      </c>
      <c r="Q13" t="s">
        <v>84</v>
      </c>
      <c r="R13">
        <v>12.584814035675782</v>
      </c>
      <c r="S13">
        <v>20636564457.614414</v>
      </c>
      <c r="T13">
        <v>27117951570.827267</v>
      </c>
      <c r="U13">
        <v>15638662913.983883</v>
      </c>
      <c r="V13">
        <v>19477194741.103443</v>
      </c>
      <c r="W13" t="s">
        <v>84</v>
      </c>
      <c r="X13">
        <v>212319999.90000001</v>
      </c>
      <c r="Y13">
        <v>279033584092.22345</v>
      </c>
    </row>
    <row r="14" spans="1:25" x14ac:dyDescent="0.25">
      <c r="A14" t="s">
        <v>40</v>
      </c>
      <c r="B14" s="42" t="s">
        <v>41</v>
      </c>
      <c r="C14">
        <v>1988</v>
      </c>
      <c r="D14" s="42" t="s">
        <v>117</v>
      </c>
      <c r="E14">
        <v>416101684467.69983</v>
      </c>
      <c r="F14">
        <v>9.6277829198483431</v>
      </c>
      <c r="G14">
        <v>502.93734218706538</v>
      </c>
      <c r="H14">
        <v>77689724127.833176</v>
      </c>
      <c r="I14">
        <v>3.4623511087427801</v>
      </c>
      <c r="J14" t="s">
        <v>84</v>
      </c>
      <c r="K14" t="s">
        <v>84</v>
      </c>
      <c r="L14">
        <v>16.101534849260798</v>
      </c>
      <c r="M14">
        <v>8.4963123976081363</v>
      </c>
      <c r="N14">
        <v>53730549784.357552</v>
      </c>
      <c r="O14" t="s">
        <v>84</v>
      </c>
      <c r="P14" t="s">
        <v>84</v>
      </c>
      <c r="Q14" t="s">
        <v>84</v>
      </c>
      <c r="R14">
        <v>13.4904501163017</v>
      </c>
      <c r="S14">
        <v>22178747993.968845</v>
      </c>
      <c r="T14">
        <v>29611304417.561829</v>
      </c>
      <c r="U14">
        <v>17899838408.937637</v>
      </c>
      <c r="V14">
        <v>22111443193.381458</v>
      </c>
      <c r="W14" t="s">
        <v>84</v>
      </c>
      <c r="X14">
        <v>91250000</v>
      </c>
      <c r="Y14">
        <v>296589670895.93201</v>
      </c>
    </row>
    <row r="15" spans="1:25" x14ac:dyDescent="0.25">
      <c r="A15" t="s">
        <v>40</v>
      </c>
      <c r="B15" s="42" t="s">
        <v>41</v>
      </c>
      <c r="C15">
        <v>1989</v>
      </c>
      <c r="D15" s="42" t="s">
        <v>118</v>
      </c>
      <c r="E15">
        <v>440848680237.68799</v>
      </c>
      <c r="F15">
        <v>5.9473433282650348</v>
      </c>
      <c r="G15">
        <v>521.07338383912315</v>
      </c>
      <c r="H15">
        <v>84471021509.695297</v>
      </c>
      <c r="I15">
        <v>8.7286928329208138</v>
      </c>
      <c r="J15" t="s">
        <v>84</v>
      </c>
      <c r="K15" t="s">
        <v>84</v>
      </c>
      <c r="L15">
        <v>16.902845896566927</v>
      </c>
      <c r="M15">
        <v>8.8394172527327868</v>
      </c>
      <c r="N15">
        <v>58480017271.984222</v>
      </c>
      <c r="O15" t="s">
        <v>84</v>
      </c>
      <c r="P15" t="s">
        <v>84</v>
      </c>
      <c r="Q15" t="s">
        <v>84</v>
      </c>
      <c r="R15">
        <v>15.168132090669529</v>
      </c>
      <c r="S15">
        <v>24835569803.032242</v>
      </c>
      <c r="T15">
        <v>30228513807.289421</v>
      </c>
      <c r="U15">
        <v>20770696112.094662</v>
      </c>
      <c r="V15">
        <v>24133353522.481159</v>
      </c>
      <c r="W15" t="s">
        <v>84</v>
      </c>
      <c r="X15">
        <v>252099999.90000001</v>
      </c>
      <c r="Y15">
        <v>296042052944.65979</v>
      </c>
    </row>
    <row r="16" spans="1:25" x14ac:dyDescent="0.25">
      <c r="A16" t="s">
        <v>40</v>
      </c>
      <c r="B16" s="42" t="s">
        <v>41</v>
      </c>
      <c r="C16">
        <v>1990</v>
      </c>
      <c r="D16" s="42" t="s">
        <v>119</v>
      </c>
      <c r="E16">
        <v>465242841650.51196</v>
      </c>
      <c r="F16">
        <v>5.5334545630649501</v>
      </c>
      <c r="G16">
        <v>537.87026953610336</v>
      </c>
      <c r="H16">
        <v>98391571850.762756</v>
      </c>
      <c r="I16">
        <v>16.479675623988641</v>
      </c>
      <c r="J16">
        <v>307898649</v>
      </c>
      <c r="K16" t="s">
        <v>84</v>
      </c>
      <c r="L16">
        <v>16.597596442222041</v>
      </c>
      <c r="M16">
        <v>4.7735455140267078</v>
      </c>
      <c r="N16">
        <v>61271587513.073074</v>
      </c>
      <c r="O16" t="s">
        <v>84</v>
      </c>
      <c r="P16" t="s">
        <v>84</v>
      </c>
      <c r="Q16" t="s">
        <v>84</v>
      </c>
      <c r="R16">
        <v>15.506261510196545</v>
      </c>
      <c r="S16">
        <v>27593415339.42503</v>
      </c>
      <c r="T16">
        <v>31245952003.68182</v>
      </c>
      <c r="U16">
        <v>22639774911.552498</v>
      </c>
      <c r="V16">
        <v>27132072318.021008</v>
      </c>
      <c r="W16">
        <v>56.36</v>
      </c>
      <c r="X16">
        <v>236690000</v>
      </c>
      <c r="Y16">
        <v>320979026420.0351</v>
      </c>
    </row>
    <row r="17" spans="1:25" x14ac:dyDescent="0.25">
      <c r="A17" t="s">
        <v>40</v>
      </c>
      <c r="B17" s="42" t="s">
        <v>41</v>
      </c>
      <c r="C17">
        <v>1991</v>
      </c>
      <c r="D17" s="42" t="s">
        <v>120</v>
      </c>
      <c r="E17">
        <v>470159674240.6792</v>
      </c>
      <c r="F17">
        <v>1.0568314329617863</v>
      </c>
      <c r="G17">
        <v>531.89839783335105</v>
      </c>
      <c r="H17">
        <v>90811846850.840912</v>
      </c>
      <c r="I17">
        <v>-7.7036323918257352</v>
      </c>
      <c r="J17">
        <v>315875620</v>
      </c>
      <c r="K17">
        <v>7.641</v>
      </c>
      <c r="L17">
        <v>15.676260160512731</v>
      </c>
      <c r="M17">
        <v>-2.3984638002645369</v>
      </c>
      <c r="N17">
        <v>59802010666.724609</v>
      </c>
      <c r="O17">
        <v>63.128319537359097</v>
      </c>
      <c r="P17">
        <v>14.584937300157501</v>
      </c>
      <c r="Q17">
        <v>22.286736307130901</v>
      </c>
      <c r="R17">
        <v>16.987726551135058</v>
      </c>
      <c r="S17">
        <v>30259570136.897488</v>
      </c>
      <c r="T17">
        <v>31250701539.597733</v>
      </c>
      <c r="U17">
        <v>22943398073.299454</v>
      </c>
      <c r="V17">
        <v>22941358805.152008</v>
      </c>
      <c r="W17" t="s">
        <v>84</v>
      </c>
      <c r="X17">
        <v>73537638.388532996</v>
      </c>
      <c r="Y17">
        <v>270105341879.22638</v>
      </c>
    </row>
    <row r="18" spans="1:25" x14ac:dyDescent="0.25">
      <c r="A18" t="s">
        <v>40</v>
      </c>
      <c r="B18" s="42" t="s">
        <v>41</v>
      </c>
      <c r="C18">
        <v>1992</v>
      </c>
      <c r="D18" s="42" t="s">
        <v>121</v>
      </c>
      <c r="E18">
        <v>495935689516.74695</v>
      </c>
      <c r="F18">
        <v>5.4823960216700272</v>
      </c>
      <c r="G18">
        <v>549.23506996489539</v>
      </c>
      <c r="H18">
        <v>100437906942.16129</v>
      </c>
      <c r="I18">
        <v>10.60000476273899</v>
      </c>
      <c r="J18">
        <v>324021661</v>
      </c>
      <c r="K18">
        <v>7.649</v>
      </c>
      <c r="L18">
        <v>15.800799817080746</v>
      </c>
      <c r="M18">
        <v>3.0901834659496927</v>
      </c>
      <c r="N18">
        <v>61650002512.653206</v>
      </c>
      <c r="O18">
        <v>62.898333636700102</v>
      </c>
      <c r="P18">
        <v>14.6628055390629</v>
      </c>
      <c r="Q18">
        <v>22.4388544747388</v>
      </c>
      <c r="R18">
        <v>18.433099041828044</v>
      </c>
      <c r="S18">
        <v>31740244814.295574</v>
      </c>
      <c r="T18">
        <v>37853374547.600342</v>
      </c>
      <c r="U18">
        <v>25486029046.697491</v>
      </c>
      <c r="V18">
        <v>27639649994.189995</v>
      </c>
      <c r="W18">
        <v>27.01</v>
      </c>
      <c r="X18">
        <v>276512438.97389299</v>
      </c>
      <c r="Y18">
        <v>288208070278.01288</v>
      </c>
    </row>
    <row r="19" spans="1:25" x14ac:dyDescent="0.25">
      <c r="A19" t="s">
        <v>40</v>
      </c>
      <c r="B19" s="42" t="s">
        <v>41</v>
      </c>
      <c r="C19">
        <v>1993</v>
      </c>
      <c r="D19" s="42" t="s">
        <v>122</v>
      </c>
      <c r="E19">
        <v>519496484318.7182</v>
      </c>
      <c r="F19">
        <v>4.7507762195799046</v>
      </c>
      <c r="G19">
        <v>563.37287233674715</v>
      </c>
      <c r="H19">
        <v>99608127916.484512</v>
      </c>
      <c r="I19">
        <v>-0.82616120839178109</v>
      </c>
      <c r="J19">
        <v>332338730</v>
      </c>
      <c r="K19">
        <v>7.6619999999999999</v>
      </c>
      <c r="L19">
        <v>15.915712107843891</v>
      </c>
      <c r="M19">
        <v>8.5913410736169169</v>
      </c>
      <c r="N19">
        <v>66946564500.408646</v>
      </c>
      <c r="O19">
        <v>62.6630638065269</v>
      </c>
      <c r="P19">
        <v>14.7602607112643</v>
      </c>
      <c r="Q19">
        <v>22.576675808073102</v>
      </c>
      <c r="R19">
        <v>19.651539786468376</v>
      </c>
      <c r="S19">
        <v>36113921609.052948</v>
      </c>
      <c r="T19">
        <v>45146684458.238853</v>
      </c>
      <c r="U19">
        <v>27466541462.913521</v>
      </c>
      <c r="V19">
        <v>27419354118.763275</v>
      </c>
      <c r="W19" t="s">
        <v>84</v>
      </c>
      <c r="X19">
        <v>550370024.92938304</v>
      </c>
      <c r="Y19">
        <v>279295648982.52924</v>
      </c>
    </row>
    <row r="20" spans="1:25" x14ac:dyDescent="0.25">
      <c r="A20" t="s">
        <v>40</v>
      </c>
      <c r="B20" s="42" t="s">
        <v>41</v>
      </c>
      <c r="C20">
        <v>1994</v>
      </c>
      <c r="D20" s="42" t="s">
        <v>123</v>
      </c>
      <c r="E20">
        <v>554089360742.69373</v>
      </c>
      <c r="F20">
        <v>6.6589240674730661</v>
      </c>
      <c r="G20">
        <v>588.72789218063224</v>
      </c>
      <c r="H20">
        <v>105344556778.80779</v>
      </c>
      <c r="I20">
        <v>5.758996762927751</v>
      </c>
      <c r="J20">
        <v>340802039</v>
      </c>
      <c r="K20">
        <v>7.593</v>
      </c>
      <c r="L20">
        <v>16.764138131311991</v>
      </c>
      <c r="M20">
        <v>10.821183243712213</v>
      </c>
      <c r="N20">
        <v>74190974920.367859</v>
      </c>
      <c r="O20">
        <v>62.371240378322298</v>
      </c>
      <c r="P20">
        <v>14.851350268644399</v>
      </c>
      <c r="Q20">
        <v>22.777409353033299</v>
      </c>
      <c r="R20">
        <v>20.078144376925462</v>
      </c>
      <c r="S20">
        <v>40824500593.198318</v>
      </c>
      <c r="T20">
        <v>55350554479.528618</v>
      </c>
      <c r="U20">
        <v>32361214431.432091</v>
      </c>
      <c r="V20">
        <v>33349501147.708862</v>
      </c>
      <c r="W20" t="s">
        <v>84</v>
      </c>
      <c r="X20">
        <v>973271468.72287297</v>
      </c>
      <c r="Y20">
        <v>327274843459.42902</v>
      </c>
    </row>
    <row r="21" spans="1:25" x14ac:dyDescent="0.25">
      <c r="A21" t="s">
        <v>40</v>
      </c>
      <c r="B21" s="42" t="s">
        <v>41</v>
      </c>
      <c r="C21">
        <v>1995</v>
      </c>
      <c r="D21" s="42" t="s">
        <v>124</v>
      </c>
      <c r="E21">
        <v>596058814159.96411</v>
      </c>
      <c r="F21">
        <v>7.5744918402719463</v>
      </c>
      <c r="G21">
        <v>620.69995433636552</v>
      </c>
      <c r="H21">
        <v>118112446079.14948</v>
      </c>
      <c r="I21">
        <v>12.120122473105525</v>
      </c>
      <c r="J21">
        <v>351330547</v>
      </c>
      <c r="K21">
        <v>7.57</v>
      </c>
      <c r="L21">
        <v>17.865850596855431</v>
      </c>
      <c r="M21">
        <v>15.461462926030748</v>
      </c>
      <c r="N21">
        <v>85661985002.141296</v>
      </c>
      <c r="O21">
        <v>61.974428476754099</v>
      </c>
      <c r="P21">
        <v>15.000483006233299</v>
      </c>
      <c r="Q21">
        <v>23.025088517012598</v>
      </c>
      <c r="R21">
        <v>22.867448706249899</v>
      </c>
      <c r="S21">
        <v>53641790640.100594</v>
      </c>
      <c r="T21">
        <v>70918384082.399719</v>
      </c>
      <c r="U21">
        <v>39068855117.851768</v>
      </c>
      <c r="V21">
        <v>43318425767.770706</v>
      </c>
      <c r="W21" t="s">
        <v>84</v>
      </c>
      <c r="X21">
        <v>2143628110.28391</v>
      </c>
      <c r="Y21">
        <v>360281909643.48914</v>
      </c>
    </row>
    <row r="22" spans="1:25" x14ac:dyDescent="0.25">
      <c r="A22" t="s">
        <v>40</v>
      </c>
      <c r="B22" s="42" t="s">
        <v>41</v>
      </c>
      <c r="C22">
        <v>1996</v>
      </c>
      <c r="D22" s="42" t="s">
        <v>125</v>
      </c>
      <c r="E22">
        <v>641058406951.4303</v>
      </c>
      <c r="F22">
        <v>7.5495222488882945</v>
      </c>
      <c r="G22">
        <v>654.35592843405186</v>
      </c>
      <c r="H22">
        <v>123667339707.96796</v>
      </c>
      <c r="I22">
        <v>4.7030552775920285</v>
      </c>
      <c r="J22">
        <v>362330724</v>
      </c>
      <c r="K22">
        <v>7.5369999999999999</v>
      </c>
      <c r="L22">
        <v>17.596340800641393</v>
      </c>
      <c r="M22">
        <v>9.5012767788913948</v>
      </c>
      <c r="N22">
        <v>93800967291.487167</v>
      </c>
      <c r="O22">
        <v>61.513380855523799</v>
      </c>
      <c r="P22">
        <v>15.2712590554772</v>
      </c>
      <c r="Q22">
        <v>23.215360088998899</v>
      </c>
      <c r="R22">
        <v>21.929487871386652</v>
      </c>
      <c r="S22">
        <v>57015714673.498009</v>
      </c>
      <c r="T22">
        <v>69187984219.330536</v>
      </c>
      <c r="U22">
        <v>40803004618.175407</v>
      </c>
      <c r="V22">
        <v>45357266003.202126</v>
      </c>
      <c r="W22">
        <v>23.72</v>
      </c>
      <c r="X22">
        <v>2426057021.9109201</v>
      </c>
      <c r="Y22">
        <v>392896866204.51581</v>
      </c>
    </row>
    <row r="23" spans="1:25" x14ac:dyDescent="0.25">
      <c r="A23" t="s">
        <v>40</v>
      </c>
      <c r="B23" s="42" t="s">
        <v>41</v>
      </c>
      <c r="C23">
        <v>1997</v>
      </c>
      <c r="D23" s="42" t="s">
        <v>126</v>
      </c>
      <c r="E23">
        <v>667020123970.57581</v>
      </c>
      <c r="F23">
        <v>4.049820849024826</v>
      </c>
      <c r="G23">
        <v>667.59842309339933</v>
      </c>
      <c r="H23">
        <v>134919118619.39548</v>
      </c>
      <c r="I23">
        <v>9.0984239961802587</v>
      </c>
      <c r="J23">
        <v>373673862</v>
      </c>
      <c r="K23">
        <v>7.5739999999999998</v>
      </c>
      <c r="L23">
        <v>16.518578530433338</v>
      </c>
      <c r="M23">
        <v>5.1186909042598927E-2</v>
      </c>
      <c r="N23">
        <v>93848981107.295746</v>
      </c>
      <c r="O23">
        <v>61.158625445787699</v>
      </c>
      <c r="P23">
        <v>15.4726082964194</v>
      </c>
      <c r="Q23">
        <v>23.368766257792899</v>
      </c>
      <c r="R23">
        <v>22.619386867047854</v>
      </c>
      <c r="S23">
        <v>55688288352.057899</v>
      </c>
      <c r="T23">
        <v>78321271460.902176</v>
      </c>
      <c r="U23">
        <v>44459225642.5392</v>
      </c>
      <c r="V23">
        <v>49607467421.089073</v>
      </c>
      <c r="W23">
        <v>20.13</v>
      </c>
      <c r="X23">
        <v>3577330042.34585</v>
      </c>
      <c r="Y23">
        <v>415867563592.82904</v>
      </c>
    </row>
    <row r="24" spans="1:25" x14ac:dyDescent="0.25">
      <c r="A24" t="s">
        <v>40</v>
      </c>
      <c r="B24" s="42" t="s">
        <v>41</v>
      </c>
      <c r="C24">
        <v>1998</v>
      </c>
      <c r="D24" s="42" t="s">
        <v>127</v>
      </c>
      <c r="E24">
        <v>708271422045.35559</v>
      </c>
      <c r="F24">
        <v>6.1844158208035509</v>
      </c>
      <c r="G24">
        <v>695.29370933708219</v>
      </c>
      <c r="H24">
        <v>149246040757.48959</v>
      </c>
      <c r="I24">
        <v>10.618896924838438</v>
      </c>
      <c r="J24">
        <v>385347723</v>
      </c>
      <c r="K24">
        <v>7.5960000000000001</v>
      </c>
      <c r="L24">
        <v>15.719316016493851</v>
      </c>
      <c r="M24">
        <v>3.1318435932712987</v>
      </c>
      <c r="N24">
        <v>96788184409.454987</v>
      </c>
      <c r="O24">
        <v>60.647957461240999</v>
      </c>
      <c r="P24">
        <v>15.7949095027609</v>
      </c>
      <c r="Q24">
        <v>23.557133035998099</v>
      </c>
      <c r="R24">
        <v>23.699470079064739</v>
      </c>
      <c r="S24">
        <v>63420229532.36763</v>
      </c>
      <c r="T24">
        <v>94647803633.800034</v>
      </c>
      <c r="U24">
        <v>46426465025.047661</v>
      </c>
      <c r="V24">
        <v>53431564328.422447</v>
      </c>
      <c r="W24" t="s">
        <v>84</v>
      </c>
      <c r="X24">
        <v>2634651657.7714</v>
      </c>
      <c r="Y24">
        <v>421351317224.94128</v>
      </c>
    </row>
    <row r="25" spans="1:25" x14ac:dyDescent="0.25">
      <c r="A25" t="s">
        <v>40</v>
      </c>
      <c r="B25" s="42" t="s">
        <v>41</v>
      </c>
      <c r="C25">
        <v>1999</v>
      </c>
      <c r="D25" s="42" t="s">
        <v>128</v>
      </c>
      <c r="E25">
        <v>770923380748.90613</v>
      </c>
      <c r="F25">
        <v>8.8457555611411607</v>
      </c>
      <c r="G25">
        <v>742.53920839811951</v>
      </c>
      <c r="H25">
        <v>174231612235.11862</v>
      </c>
      <c r="I25">
        <v>16.741195512334002</v>
      </c>
      <c r="J25">
        <v>397354085</v>
      </c>
      <c r="K25">
        <v>7.5830000000000002</v>
      </c>
      <c r="L25">
        <v>15.180536713273817</v>
      </c>
      <c r="M25">
        <v>5.3937745157569168</v>
      </c>
      <c r="N25">
        <v>102008720834.39597</v>
      </c>
      <c r="O25">
        <v>59.878026680172397</v>
      </c>
      <c r="P25">
        <v>16.309428466052999</v>
      </c>
      <c r="Q25">
        <v>23.8125410413714</v>
      </c>
      <c r="R25">
        <v>24.815598044292916</v>
      </c>
      <c r="S25">
        <v>74835534390.940491</v>
      </c>
      <c r="T25">
        <v>101266057988.3494</v>
      </c>
      <c r="U25">
        <v>52544483402.693581</v>
      </c>
      <c r="V25">
        <v>61314704757.034523</v>
      </c>
      <c r="W25">
        <v>28.51</v>
      </c>
      <c r="X25">
        <v>2168591054.37924</v>
      </c>
      <c r="Y25">
        <v>458821052615.78979</v>
      </c>
    </row>
    <row r="26" spans="1:25" x14ac:dyDescent="0.25">
      <c r="A26" t="s">
        <v>40</v>
      </c>
      <c r="B26" s="42" t="s">
        <v>41</v>
      </c>
      <c r="C26">
        <v>2000</v>
      </c>
      <c r="D26" s="42" t="s">
        <v>44</v>
      </c>
      <c r="E26">
        <v>800534479629.68042</v>
      </c>
      <c r="F26">
        <v>3.8409911568655417</v>
      </c>
      <c r="G26">
        <v>756.70410953318685</v>
      </c>
      <c r="H26">
        <v>171105928742.79523</v>
      </c>
      <c r="I26">
        <v>-1.7939818453297676</v>
      </c>
      <c r="J26">
        <v>409617771</v>
      </c>
      <c r="K26">
        <v>7.5890000000000004</v>
      </c>
      <c r="L26">
        <v>15.927023018432255</v>
      </c>
      <c r="M26">
        <v>7.2990978490111331</v>
      </c>
      <c r="N26">
        <v>109454437182.62312</v>
      </c>
      <c r="O26">
        <v>59.607310099103998</v>
      </c>
      <c r="P26">
        <v>16.341359744203</v>
      </c>
      <c r="Q26">
        <v>24.051330156692899</v>
      </c>
      <c r="R26">
        <v>26.900922910447356</v>
      </c>
      <c r="S26">
        <v>88420811378.474762</v>
      </c>
      <c r="T26">
        <v>105913882922.46399</v>
      </c>
      <c r="U26">
        <v>60878472821.200401</v>
      </c>
      <c r="V26">
        <v>65124245375.053055</v>
      </c>
      <c r="W26">
        <v>23.36</v>
      </c>
      <c r="X26">
        <v>3584217307.1875501</v>
      </c>
      <c r="Y26">
        <v>468395521654.45789</v>
      </c>
    </row>
    <row r="27" spans="1:25" x14ac:dyDescent="0.25">
      <c r="A27" t="s">
        <v>40</v>
      </c>
      <c r="B27" s="42" t="s">
        <v>41</v>
      </c>
      <c r="C27">
        <v>2001</v>
      </c>
      <c r="D27" s="42" t="s">
        <v>53</v>
      </c>
      <c r="E27">
        <v>839151992858.48828</v>
      </c>
      <c r="F27">
        <v>4.8239662639730341</v>
      </c>
      <c r="G27">
        <v>778.50737752249859</v>
      </c>
      <c r="H27">
        <v>209074720249.12314</v>
      </c>
      <c r="I27">
        <v>22.190225543500745</v>
      </c>
      <c r="J27">
        <v>418764922</v>
      </c>
      <c r="K27">
        <v>7.6109999999999998</v>
      </c>
      <c r="L27">
        <v>15.307021283153091</v>
      </c>
      <c r="M27">
        <v>2.2703251937848563</v>
      </c>
      <c r="N27">
        <v>111939408845.69563</v>
      </c>
      <c r="O27">
        <v>58.890809220715099</v>
      </c>
      <c r="P27">
        <v>16.7528345033409</v>
      </c>
      <c r="Q27">
        <v>24.356356017475999</v>
      </c>
      <c r="R27">
        <v>25.993254753436517</v>
      </c>
      <c r="S27">
        <v>92231327923.186142</v>
      </c>
      <c r="T27">
        <v>109032250910.96906</v>
      </c>
      <c r="U27">
        <v>60963415576.644676</v>
      </c>
      <c r="V27">
        <v>65218276482.132248</v>
      </c>
      <c r="W27">
        <v>26.51</v>
      </c>
      <c r="X27">
        <v>5128093561.6268797</v>
      </c>
      <c r="Y27">
        <v>485440139204.17053</v>
      </c>
    </row>
    <row r="28" spans="1:25" x14ac:dyDescent="0.25">
      <c r="A28" t="s">
        <v>40</v>
      </c>
      <c r="B28" s="42" t="s">
        <v>41</v>
      </c>
      <c r="C28">
        <v>2002</v>
      </c>
      <c r="D28" s="42" t="s">
        <v>61</v>
      </c>
      <c r="E28">
        <v>871073127574.1864</v>
      </c>
      <c r="F28">
        <v>3.8039753212003831</v>
      </c>
      <c r="G28">
        <v>793.61591290100171</v>
      </c>
      <c r="H28">
        <v>207574913684.3497</v>
      </c>
      <c r="I28">
        <v>-0.71735433293243034</v>
      </c>
      <c r="J28">
        <v>427829074</v>
      </c>
      <c r="K28">
        <v>7.681</v>
      </c>
      <c r="L28">
        <v>15.55870172629556</v>
      </c>
      <c r="M28">
        <v>6.8667636076502419</v>
      </c>
      <c r="N28">
        <v>119626023434.93068</v>
      </c>
      <c r="O28">
        <v>58.2078564520654</v>
      </c>
      <c r="P28">
        <v>17.056726884100499</v>
      </c>
      <c r="Q28">
        <v>24.735416917017901</v>
      </c>
      <c r="R28">
        <v>29.508662935061398</v>
      </c>
      <c r="S28">
        <v>111678306011.56667</v>
      </c>
      <c r="T28">
        <v>122112653116.05037</v>
      </c>
      <c r="U28">
        <v>73452895951.633087</v>
      </c>
      <c r="V28">
        <v>78498759285.731339</v>
      </c>
      <c r="W28">
        <v>23.08</v>
      </c>
      <c r="X28">
        <v>5208967106.2789402</v>
      </c>
      <c r="Y28">
        <v>514939140318.75562</v>
      </c>
    </row>
    <row r="29" spans="1:25" x14ac:dyDescent="0.25">
      <c r="A29" t="s">
        <v>40</v>
      </c>
      <c r="B29" s="42" t="s">
        <v>41</v>
      </c>
      <c r="C29">
        <v>2003</v>
      </c>
      <c r="D29" s="42" t="s">
        <v>64</v>
      </c>
      <c r="E29">
        <v>939542798331.65466</v>
      </c>
      <c r="F29">
        <v>7.8603814754504526</v>
      </c>
      <c r="G29">
        <v>841.27889456240837</v>
      </c>
      <c r="H29">
        <v>218194454914.32138</v>
      </c>
      <c r="I29">
        <v>5.1160041651855579</v>
      </c>
      <c r="J29">
        <v>436753652</v>
      </c>
      <c r="K29">
        <v>7.633</v>
      </c>
      <c r="L29">
        <v>15.58738664864604</v>
      </c>
      <c r="M29">
        <v>6.3366103225509107</v>
      </c>
      <c r="N29">
        <v>127206258384.36566</v>
      </c>
      <c r="O29">
        <v>57.164650542938602</v>
      </c>
      <c r="P29">
        <v>17.6938066486046</v>
      </c>
      <c r="Q29">
        <v>25.1415353719471</v>
      </c>
      <c r="R29">
        <v>30.592436132907984</v>
      </c>
      <c r="S29">
        <v>122379566897.16957</v>
      </c>
      <c r="T29">
        <v>139066672460.07495</v>
      </c>
      <c r="U29">
        <v>90838575243.762054</v>
      </c>
      <c r="V29">
        <v>95071869378.557297</v>
      </c>
      <c r="W29">
        <v>21.45</v>
      </c>
      <c r="X29">
        <v>3681984671.4342799</v>
      </c>
      <c r="Y29">
        <v>607700687237.31787</v>
      </c>
    </row>
    <row r="30" spans="1:25" x14ac:dyDescent="0.25">
      <c r="A30" t="s">
        <v>40</v>
      </c>
      <c r="B30" s="42" t="s">
        <v>41</v>
      </c>
      <c r="C30">
        <v>2004</v>
      </c>
      <c r="D30" s="42" t="s">
        <v>72</v>
      </c>
      <c r="E30">
        <v>1013982178696.2278</v>
      </c>
      <c r="F30">
        <v>7.9229366130797843</v>
      </c>
      <c r="G30">
        <v>892.5966145807181</v>
      </c>
      <c r="H30">
        <v>243186386319.83929</v>
      </c>
      <c r="I30">
        <v>11.453971832295878</v>
      </c>
      <c r="J30">
        <v>445825854</v>
      </c>
      <c r="K30">
        <v>7.5979999999999999</v>
      </c>
      <c r="L30">
        <v>15.827245740502713</v>
      </c>
      <c r="M30">
        <v>7.3832533106597253</v>
      </c>
      <c r="N30">
        <v>136598218667.89571</v>
      </c>
      <c r="O30">
        <v>55.999457323776298</v>
      </c>
      <c r="P30">
        <v>18.418479484316101</v>
      </c>
      <c r="Q30">
        <v>25.582063191907601</v>
      </c>
      <c r="R30">
        <v>37.503814059446981</v>
      </c>
      <c r="S30">
        <v>155637941981.76071</v>
      </c>
      <c r="T30">
        <v>169932846856.62079</v>
      </c>
      <c r="U30">
        <v>126648472020.75211</v>
      </c>
      <c r="V30">
        <v>139310848797.43585</v>
      </c>
      <c r="W30">
        <v>22.96</v>
      </c>
      <c r="X30">
        <v>5429250989.8571701</v>
      </c>
      <c r="Y30">
        <v>709152728830.77454</v>
      </c>
    </row>
    <row r="31" spans="1:25" x14ac:dyDescent="0.25">
      <c r="A31" t="s">
        <v>40</v>
      </c>
      <c r="B31" s="42" t="s">
        <v>41</v>
      </c>
      <c r="C31">
        <v>2005</v>
      </c>
      <c r="D31" s="42" t="s">
        <v>74</v>
      </c>
      <c r="E31">
        <v>1094324353137.751</v>
      </c>
      <c r="F31">
        <v>7.9234306213178911</v>
      </c>
      <c r="G31">
        <v>947.73256564427152</v>
      </c>
      <c r="H31">
        <v>283169224039.13312</v>
      </c>
      <c r="I31">
        <v>16.441231898034076</v>
      </c>
      <c r="J31">
        <v>454832471</v>
      </c>
      <c r="K31">
        <v>7.5510000000000002</v>
      </c>
      <c r="L31">
        <v>15.973017044613139</v>
      </c>
      <c r="M31">
        <v>9.3490886911469175</v>
      </c>
      <c r="N31">
        <v>149368907281.68408</v>
      </c>
      <c r="O31">
        <v>55.020453312310899</v>
      </c>
      <c r="P31">
        <v>19.0012317655898</v>
      </c>
      <c r="Q31">
        <v>25.978314922099301</v>
      </c>
      <c r="R31">
        <v>42.001669614869108</v>
      </c>
      <c r="S31">
        <v>196236214985.18198</v>
      </c>
      <c r="T31">
        <v>224769573108.96857</v>
      </c>
      <c r="U31">
        <v>160838260680.77817</v>
      </c>
      <c r="V31">
        <v>183736617243.32825</v>
      </c>
      <c r="W31">
        <v>13.9</v>
      </c>
      <c r="X31">
        <v>7269407225.6143799</v>
      </c>
      <c r="Y31">
        <v>820383763511.44543</v>
      </c>
    </row>
    <row r="32" spans="1:25" x14ac:dyDescent="0.25">
      <c r="A32" t="s">
        <v>40</v>
      </c>
      <c r="B32" s="42" t="s">
        <v>41</v>
      </c>
      <c r="C32">
        <v>2006</v>
      </c>
      <c r="D32" s="42" t="s">
        <v>75</v>
      </c>
      <c r="E32">
        <v>1182534912725.9507</v>
      </c>
      <c r="F32">
        <v>8.0607325730505721</v>
      </c>
      <c r="G32">
        <v>1008.2327534481848</v>
      </c>
      <c r="H32">
        <v>322456437167.42218</v>
      </c>
      <c r="I32">
        <v>13.87411123564037</v>
      </c>
      <c r="J32">
        <v>457611460</v>
      </c>
      <c r="K32">
        <v>7.5529999999999999</v>
      </c>
      <c r="L32">
        <v>17.303653331192518</v>
      </c>
      <c r="M32">
        <v>17.787792317977249</v>
      </c>
      <c r="N32">
        <v>175938338296.58203</v>
      </c>
      <c r="O32">
        <v>54.273017899929599</v>
      </c>
      <c r="P32">
        <v>19.5238914291204</v>
      </c>
      <c r="Q32">
        <v>26.203090670950001</v>
      </c>
      <c r="R32">
        <v>45.724480499265226</v>
      </c>
      <c r="S32">
        <v>236256246986.08176</v>
      </c>
      <c r="T32">
        <v>273105470110.1124</v>
      </c>
      <c r="U32">
        <v>199973922363.78305</v>
      </c>
      <c r="V32">
        <v>229955027127.37158</v>
      </c>
      <c r="W32">
        <v>8.99</v>
      </c>
      <c r="X32">
        <v>20029119267.139599</v>
      </c>
      <c r="Y32">
        <v>940259888787.72144</v>
      </c>
    </row>
    <row r="33" spans="1:25" x14ac:dyDescent="0.25">
      <c r="A33" t="s">
        <v>40</v>
      </c>
      <c r="B33" s="42" t="s">
        <v>41</v>
      </c>
      <c r="C33">
        <v>2007</v>
      </c>
      <c r="D33" s="42" t="s">
        <v>76</v>
      </c>
      <c r="E33">
        <v>1273126725470.218</v>
      </c>
      <c r="F33">
        <v>7.6608150651076556</v>
      </c>
      <c r="G33">
        <v>1069.246968122337</v>
      </c>
      <c r="H33">
        <v>375110021905.1532</v>
      </c>
      <c r="I33">
        <v>16.328898625891838</v>
      </c>
      <c r="J33">
        <v>460225575</v>
      </c>
      <c r="K33">
        <v>7.5620000000000003</v>
      </c>
      <c r="L33">
        <v>16.864567775406833</v>
      </c>
      <c r="M33">
        <v>6.98058873129321</v>
      </c>
      <c r="N33">
        <v>188219870113.73776</v>
      </c>
      <c r="O33">
        <v>53.368868437721702</v>
      </c>
      <c r="P33">
        <v>20.3219145451672</v>
      </c>
      <c r="Q33">
        <v>26.309209260168</v>
      </c>
      <c r="R33">
        <v>45.686268679347975</v>
      </c>
      <c r="S33">
        <v>250116311974.58334</v>
      </c>
      <c r="T33">
        <v>300283799134.48962</v>
      </c>
      <c r="U33">
        <v>253077526013.16815</v>
      </c>
      <c r="V33">
        <v>302803952552.49994</v>
      </c>
      <c r="W33">
        <v>11.99</v>
      </c>
      <c r="X33">
        <v>25227740886.6819</v>
      </c>
      <c r="Y33">
        <v>1216736438834.9553</v>
      </c>
    </row>
    <row r="34" spans="1:25" x14ac:dyDescent="0.25">
      <c r="A34" t="s">
        <v>40</v>
      </c>
      <c r="B34" s="42" t="s">
        <v>41</v>
      </c>
      <c r="C34">
        <v>2008</v>
      </c>
      <c r="D34" s="42" t="s">
        <v>77</v>
      </c>
      <c r="E34">
        <v>1312424303400.2935</v>
      </c>
      <c r="F34">
        <v>3.0866980595008187</v>
      </c>
      <c r="G34">
        <v>1086.506052510045</v>
      </c>
      <c r="H34">
        <v>387111067148.48468</v>
      </c>
      <c r="I34">
        <v>3.199340071581986</v>
      </c>
      <c r="J34">
        <v>462536166</v>
      </c>
      <c r="K34">
        <v>7.6289999999999996</v>
      </c>
      <c r="L34">
        <v>17.098674148957809</v>
      </c>
      <c r="M34">
        <v>4.6636154823950164</v>
      </c>
      <c r="N34">
        <v>196997721117.30585</v>
      </c>
      <c r="O34">
        <v>52.879188395900101</v>
      </c>
      <c r="P34">
        <v>20.751447752882001</v>
      </c>
      <c r="Q34">
        <v>26.369363851217901</v>
      </c>
      <c r="R34">
        <v>53.368220439222625</v>
      </c>
      <c r="S34">
        <v>287078838543.55023</v>
      </c>
      <c r="T34">
        <v>367693385508.44513</v>
      </c>
      <c r="U34">
        <v>288902044820.69763</v>
      </c>
      <c r="V34">
        <v>350926955799.10577</v>
      </c>
      <c r="W34">
        <v>5.98</v>
      </c>
      <c r="X34">
        <v>43406277075.810799</v>
      </c>
      <c r="Y34">
        <v>1198895139005.9189</v>
      </c>
    </row>
    <row r="35" spans="1:25" x14ac:dyDescent="0.25">
      <c r="A35" t="s">
        <v>40</v>
      </c>
      <c r="B35" s="42" t="s">
        <v>41</v>
      </c>
      <c r="C35">
        <v>2009</v>
      </c>
      <c r="D35" s="42" t="s">
        <v>78</v>
      </c>
      <c r="E35">
        <v>1415605643151.3428</v>
      </c>
      <c r="F35">
        <v>7.8618888330338024</v>
      </c>
      <c r="G35">
        <v>1155.1016327381701</v>
      </c>
      <c r="H35">
        <v>416829118260.31561</v>
      </c>
      <c r="I35">
        <v>7.6768797468742775</v>
      </c>
      <c r="J35">
        <v>464953334</v>
      </c>
      <c r="K35">
        <v>7.6360000000000001</v>
      </c>
      <c r="L35">
        <v>17.143577667284617</v>
      </c>
      <c r="M35">
        <v>10.967629778823465</v>
      </c>
      <c r="N35">
        <v>218603701842.17108</v>
      </c>
      <c r="O35">
        <v>51.944426618063801</v>
      </c>
      <c r="P35">
        <v>21.5635579497653</v>
      </c>
      <c r="Q35">
        <v>26.4920231164018</v>
      </c>
      <c r="R35">
        <v>46.272869642883734</v>
      </c>
      <c r="S35">
        <v>273200800545.0488</v>
      </c>
      <c r="T35">
        <v>360612286798.89502</v>
      </c>
      <c r="U35">
        <v>273752124889.21069</v>
      </c>
      <c r="V35">
        <v>347177967968.3161</v>
      </c>
      <c r="W35">
        <v>6.84</v>
      </c>
      <c r="X35">
        <v>35581372929.664101</v>
      </c>
      <c r="Y35">
        <v>1341888016994.8982</v>
      </c>
    </row>
    <row r="36" spans="1:25" x14ac:dyDescent="0.25">
      <c r="A36" t="s">
        <v>40</v>
      </c>
      <c r="B36" s="42" t="s">
        <v>41</v>
      </c>
      <c r="C36">
        <v>2010</v>
      </c>
      <c r="D36" s="42" t="s">
        <v>79</v>
      </c>
      <c r="E36">
        <v>1535897931719.5537</v>
      </c>
      <c r="F36">
        <v>8.4975847016562511</v>
      </c>
      <c r="G36">
        <v>1235.1593913293866</v>
      </c>
      <c r="H36">
        <v>462872670734.46613</v>
      </c>
      <c r="I36">
        <v>11.046145880191531</v>
      </c>
      <c r="J36">
        <v>467561989</v>
      </c>
      <c r="K36">
        <v>7.6310000000000002</v>
      </c>
      <c r="L36">
        <v>17.029934249862396</v>
      </c>
      <c r="M36">
        <v>7.6951064643586449</v>
      </c>
      <c r="N36">
        <v>235425489433.95529</v>
      </c>
      <c r="O36">
        <v>51.056070239904997</v>
      </c>
      <c r="P36">
        <v>22.377888837294201</v>
      </c>
      <c r="Q36">
        <v>26.5660351341417</v>
      </c>
      <c r="R36">
        <v>49.255206497416133</v>
      </c>
      <c r="S36">
        <v>326415222546.8512</v>
      </c>
      <c r="T36">
        <v>417631910196.73767</v>
      </c>
      <c r="U36">
        <v>375353514026.26672</v>
      </c>
      <c r="V36">
        <v>449974370198.80188</v>
      </c>
      <c r="W36">
        <v>6.1</v>
      </c>
      <c r="X36">
        <v>27396885033.783798</v>
      </c>
      <c r="Y36">
        <v>1675615519484.959</v>
      </c>
    </row>
    <row r="37" spans="1:25" x14ac:dyDescent="0.25">
      <c r="A37" t="s">
        <v>40</v>
      </c>
      <c r="B37" s="42" t="s">
        <v>41</v>
      </c>
      <c r="C37">
        <v>2011</v>
      </c>
      <c r="D37" s="42" t="s">
        <v>80</v>
      </c>
      <c r="E37">
        <v>1616399198833.9668</v>
      </c>
      <c r="F37">
        <v>5.2413162002429345</v>
      </c>
      <c r="G37">
        <v>1281.610543549368</v>
      </c>
      <c r="H37">
        <v>518847632198.9339</v>
      </c>
      <c r="I37">
        <v>12.09295017907391</v>
      </c>
      <c r="J37">
        <v>471891929</v>
      </c>
      <c r="K37">
        <v>7.609</v>
      </c>
      <c r="L37">
        <v>16.139337444628858</v>
      </c>
      <c r="M37">
        <v>3.1250562390001875</v>
      </c>
      <c r="N37">
        <v>242782668379.70786</v>
      </c>
      <c r="O37">
        <v>49.075305915587599</v>
      </c>
      <c r="P37">
        <v>23.547382125569602</v>
      </c>
      <c r="Q37">
        <v>27.3773195279181</v>
      </c>
      <c r="R37">
        <v>55.623880013529771</v>
      </c>
      <c r="S37">
        <v>376986672436.83746</v>
      </c>
      <c r="T37">
        <v>502877815932.63135</v>
      </c>
      <c r="U37">
        <v>447384417625.09271</v>
      </c>
      <c r="V37">
        <v>566667744819.90845</v>
      </c>
      <c r="W37">
        <v>7.33</v>
      </c>
      <c r="X37">
        <v>36498654597.858902</v>
      </c>
      <c r="Y37">
        <v>1823051829894.5461</v>
      </c>
    </row>
    <row r="38" spans="1:25" x14ac:dyDescent="0.25">
      <c r="A38" t="s">
        <v>40</v>
      </c>
      <c r="B38" s="42" t="s">
        <v>41</v>
      </c>
      <c r="C38">
        <v>2012</v>
      </c>
      <c r="D38" s="42" t="s">
        <v>81</v>
      </c>
      <c r="E38">
        <v>1704596203504.0764</v>
      </c>
      <c r="F38">
        <v>5.4563875516477225</v>
      </c>
      <c r="G38">
        <v>1333.0962655764886</v>
      </c>
      <c r="H38">
        <v>544473914757.74652</v>
      </c>
      <c r="I38">
        <v>4.9390767093232313</v>
      </c>
      <c r="J38">
        <v>476101422</v>
      </c>
      <c r="K38">
        <v>7.6449999999999996</v>
      </c>
      <c r="L38">
        <v>15.816923007106634</v>
      </c>
      <c r="M38">
        <v>5.4530833068635332</v>
      </c>
      <c r="N38">
        <v>256021809541.07962</v>
      </c>
      <c r="O38">
        <v>47.088154462332199</v>
      </c>
      <c r="P38">
        <v>24.692037963598398</v>
      </c>
      <c r="Q38">
        <v>28.219815079124601</v>
      </c>
      <c r="R38">
        <v>55.793721728751144</v>
      </c>
      <c r="S38">
        <v>402642458200.65753</v>
      </c>
      <c r="T38">
        <v>533160095341.88763</v>
      </c>
      <c r="U38">
        <v>448400477361.25354</v>
      </c>
      <c r="V38">
        <v>571306554042.38562</v>
      </c>
      <c r="W38">
        <v>6.32</v>
      </c>
      <c r="X38">
        <v>23995685014.2141</v>
      </c>
      <c r="Y38">
        <v>1827637590410.4143</v>
      </c>
    </row>
    <row r="39" spans="1:25" x14ac:dyDescent="0.25">
      <c r="A39" t="s">
        <v>40</v>
      </c>
      <c r="B39" s="42" t="s">
        <v>41</v>
      </c>
      <c r="C39">
        <v>2013</v>
      </c>
      <c r="D39" s="42" t="s">
        <v>82</v>
      </c>
      <c r="E39">
        <v>1813453530765.8406</v>
      </c>
      <c r="F39">
        <v>6.3861064009171287</v>
      </c>
      <c r="G39">
        <v>1399.4537980280961</v>
      </c>
      <c r="H39">
        <v>552977528627.17017</v>
      </c>
      <c r="I39">
        <v>1.5618037226277721</v>
      </c>
      <c r="J39">
        <v>484466830</v>
      </c>
      <c r="K39">
        <v>7.6779999999999999</v>
      </c>
      <c r="L39">
        <v>15.253022692585985</v>
      </c>
      <c r="M39">
        <v>4.9658474395659624</v>
      </c>
      <c r="N39">
        <v>268735462014.90576</v>
      </c>
      <c r="O39">
        <v>46.241883981632697</v>
      </c>
      <c r="P39">
        <v>24.754673840533499</v>
      </c>
      <c r="Q39">
        <v>29.003443966457802</v>
      </c>
      <c r="R39">
        <v>53.844131946677734</v>
      </c>
      <c r="S39">
        <v>434017925781.46588</v>
      </c>
      <c r="T39">
        <v>489729935219.33954</v>
      </c>
      <c r="U39">
        <v>472180271340.14923</v>
      </c>
      <c r="V39">
        <v>527555307105.9563</v>
      </c>
      <c r="W39">
        <v>6.34</v>
      </c>
      <c r="X39">
        <v>28153031270.320202</v>
      </c>
      <c r="Y39">
        <v>1856721507621.5764</v>
      </c>
    </row>
    <row r="40" spans="1:25" x14ac:dyDescent="0.25">
      <c r="A40" t="s">
        <v>40</v>
      </c>
      <c r="B40" s="42" t="s">
        <v>41</v>
      </c>
      <c r="C40">
        <v>2014</v>
      </c>
      <c r="D40" s="42" t="s">
        <v>83</v>
      </c>
      <c r="E40">
        <v>1947834564909.5762</v>
      </c>
      <c r="F40">
        <v>7.4102276051697658</v>
      </c>
      <c r="G40">
        <v>1484.3164068296119</v>
      </c>
      <c r="H40">
        <v>567372901989.4071</v>
      </c>
      <c r="I40">
        <v>2.6032474408092128</v>
      </c>
      <c r="J40">
        <v>492680645</v>
      </c>
      <c r="K40">
        <v>7.6559999999999997</v>
      </c>
      <c r="L40">
        <v>15.065570110758902</v>
      </c>
      <c r="M40">
        <v>7.8956697662977433</v>
      </c>
      <c r="N40">
        <v>289953926640.53723</v>
      </c>
      <c r="O40">
        <v>45.254711115223699</v>
      </c>
      <c r="P40">
        <v>24.896015202228199</v>
      </c>
      <c r="Q40">
        <v>29.849273682548102</v>
      </c>
      <c r="R40">
        <v>48.922185747066905</v>
      </c>
      <c r="S40">
        <v>441732988212.41595</v>
      </c>
      <c r="T40">
        <v>493996613076.41559</v>
      </c>
      <c r="U40">
        <v>468345815420.93292</v>
      </c>
      <c r="V40">
        <v>529239428328.66528</v>
      </c>
      <c r="W40" t="s">
        <v>84</v>
      </c>
      <c r="X40">
        <v>34576643694.138199</v>
      </c>
      <c r="Y40">
        <v>2039126479154.5168</v>
      </c>
    </row>
    <row r="41" spans="1:25" x14ac:dyDescent="0.25">
      <c r="A41" t="s">
        <v>40</v>
      </c>
      <c r="B41" s="42" t="s">
        <v>41</v>
      </c>
      <c r="C41">
        <v>2015</v>
      </c>
      <c r="D41" s="42" t="s">
        <v>85</v>
      </c>
      <c r="E41">
        <v>2103588360044.9392</v>
      </c>
      <c r="F41">
        <v>7.996253785679869</v>
      </c>
      <c r="G41">
        <v>1583.9981590798479</v>
      </c>
      <c r="H41">
        <v>604427075366.9364</v>
      </c>
      <c r="I41">
        <v>6.5308324115593877</v>
      </c>
      <c r="J41">
        <v>500640619</v>
      </c>
      <c r="K41">
        <v>7.6289999999999996</v>
      </c>
      <c r="L41">
        <v>15.583854586371334</v>
      </c>
      <c r="M41">
        <v>13.059393581395867</v>
      </c>
      <c r="N41">
        <v>327820151125.23682</v>
      </c>
      <c r="O41">
        <v>44.2796936892031</v>
      </c>
      <c r="P41">
        <v>24.9480704919335</v>
      </c>
      <c r="Q41">
        <v>30.7722358188634</v>
      </c>
      <c r="R41">
        <v>41.922913865864722</v>
      </c>
      <c r="S41">
        <v>416787940847.81219</v>
      </c>
      <c r="T41">
        <v>465097595426.1839</v>
      </c>
      <c r="U41">
        <v>416787940847.81219</v>
      </c>
      <c r="V41">
        <v>465097595426.1839</v>
      </c>
      <c r="W41">
        <v>7.32</v>
      </c>
      <c r="X41">
        <v>44009492129.531898</v>
      </c>
      <c r="Y41">
        <v>2103588360044.9392</v>
      </c>
    </row>
    <row r="42" spans="1:25" x14ac:dyDescent="0.25">
      <c r="A42" t="s">
        <v>40</v>
      </c>
      <c r="B42" s="42" t="s">
        <v>41</v>
      </c>
      <c r="C42">
        <v>2016</v>
      </c>
      <c r="D42" s="42" t="s">
        <v>86</v>
      </c>
      <c r="E42">
        <v>2277267041549.8516</v>
      </c>
      <c r="F42">
        <v>8.2563055017666187</v>
      </c>
      <c r="G42">
        <v>1694.465349737867</v>
      </c>
      <c r="H42">
        <v>655552238064.46387</v>
      </c>
      <c r="I42">
        <v>8.458450122620718</v>
      </c>
      <c r="J42">
        <v>508681288</v>
      </c>
      <c r="K42">
        <v>7.6109999999999998</v>
      </c>
      <c r="L42">
        <v>15.162237133252901</v>
      </c>
      <c r="M42">
        <v>7.9268214208403975</v>
      </c>
      <c r="N42">
        <v>353805869086.46344</v>
      </c>
      <c r="O42">
        <v>43.204850592630699</v>
      </c>
      <c r="P42">
        <v>25.189478375845301</v>
      </c>
      <c r="Q42">
        <v>31.605663371419499</v>
      </c>
      <c r="R42">
        <v>40.082485713276021</v>
      </c>
      <c r="S42">
        <v>437561725552.71082</v>
      </c>
      <c r="T42">
        <v>485477678606.36224</v>
      </c>
      <c r="U42">
        <v>439642578076.35834</v>
      </c>
      <c r="V42">
        <v>480169055768.2821</v>
      </c>
      <c r="W42">
        <v>6.35</v>
      </c>
      <c r="X42">
        <v>44458571545.797997</v>
      </c>
      <c r="Y42">
        <v>2294796885663.1631</v>
      </c>
    </row>
    <row r="43" spans="1:25" x14ac:dyDescent="0.25">
      <c r="A43" t="s">
        <v>40</v>
      </c>
      <c r="B43" s="42" t="s">
        <v>41</v>
      </c>
      <c r="C43">
        <v>2017</v>
      </c>
      <c r="D43" s="42" t="s">
        <v>87</v>
      </c>
      <c r="E43">
        <v>2432016068498.2334</v>
      </c>
      <c r="F43">
        <v>6.7953834190242191</v>
      </c>
      <c r="G43">
        <v>1788.6977031848121</v>
      </c>
      <c r="H43">
        <v>706699366177.94397</v>
      </c>
      <c r="I43">
        <v>7.8021437718668096</v>
      </c>
      <c r="J43">
        <v>516713963</v>
      </c>
      <c r="K43">
        <v>7.6260000000000003</v>
      </c>
      <c r="L43">
        <v>15.018238750171792</v>
      </c>
      <c r="M43">
        <v>7.5270636029121931</v>
      </c>
      <c r="N43">
        <v>380437061883.43781</v>
      </c>
      <c r="O43">
        <v>42.267106468212397</v>
      </c>
      <c r="P43">
        <v>25.265722733605099</v>
      </c>
      <c r="Q43">
        <v>32.467165141529698</v>
      </c>
      <c r="R43">
        <v>40.74249695452253</v>
      </c>
      <c r="S43">
        <v>457535139607.76917</v>
      </c>
      <c r="T43">
        <v>570047809511.49963</v>
      </c>
      <c r="U43">
        <v>498258808231.521</v>
      </c>
      <c r="V43">
        <v>582018012521.56775</v>
      </c>
      <c r="W43">
        <v>5.78</v>
      </c>
      <c r="X43">
        <v>39966091358.738403</v>
      </c>
      <c r="Y43">
        <v>2651474262755.4521</v>
      </c>
    </row>
    <row r="44" spans="1:25" x14ac:dyDescent="0.25">
      <c r="A44" t="s">
        <v>40</v>
      </c>
      <c r="B44" s="42" t="s">
        <v>41</v>
      </c>
      <c r="C44">
        <v>2018</v>
      </c>
      <c r="D44" s="42" t="s">
        <v>88</v>
      </c>
      <c r="E44">
        <v>2588974770244.4785</v>
      </c>
      <c r="F44">
        <v>6.4538513449529518</v>
      </c>
      <c r="G44">
        <v>1883.3577270505514</v>
      </c>
      <c r="H44">
        <v>785871380821.78479</v>
      </c>
      <c r="I44">
        <v>11.203068579504787</v>
      </c>
      <c r="J44">
        <v>524292869</v>
      </c>
      <c r="K44">
        <v>7.6520000000000001</v>
      </c>
      <c r="L44">
        <v>14.881530667301684</v>
      </c>
      <c r="M44">
        <v>5.4115568850371574</v>
      </c>
      <c r="N44">
        <v>401024629899.02405</v>
      </c>
      <c r="O44">
        <v>41.294998924914097</v>
      </c>
      <c r="P44">
        <v>25.3658737784355</v>
      </c>
      <c r="Q44">
        <v>33.339127296650503</v>
      </c>
      <c r="R44">
        <v>43.616969332388891</v>
      </c>
      <c r="S44">
        <v>512127641086.62427</v>
      </c>
      <c r="T44">
        <v>620341399086.23462</v>
      </c>
      <c r="U44">
        <v>538635186135.43817</v>
      </c>
      <c r="V44">
        <v>640300806738.54187</v>
      </c>
      <c r="W44">
        <v>4.88</v>
      </c>
      <c r="X44">
        <v>42117450737.264397</v>
      </c>
      <c r="Y44">
        <v>2702929641648.7407</v>
      </c>
    </row>
    <row r="45" spans="1:25" x14ac:dyDescent="0.25">
      <c r="A45" t="s">
        <v>40</v>
      </c>
      <c r="B45" s="42" t="s">
        <v>41</v>
      </c>
      <c r="C45">
        <v>2019</v>
      </c>
      <c r="D45" s="42" t="s">
        <v>89</v>
      </c>
      <c r="E45">
        <v>2689205295885.2617</v>
      </c>
      <c r="F45">
        <v>3.8714369407052374</v>
      </c>
      <c r="G45">
        <v>1936.0306774106321</v>
      </c>
      <c r="H45">
        <v>794883609043.54114</v>
      </c>
      <c r="I45">
        <v>1.1467815779641057</v>
      </c>
      <c r="J45">
        <v>531373378</v>
      </c>
      <c r="K45">
        <v>6.51</v>
      </c>
      <c r="L45">
        <v>13.455807563339416</v>
      </c>
      <c r="M45">
        <v>-2.9749629420838488</v>
      </c>
      <c r="N45">
        <v>389094295770.89917</v>
      </c>
      <c r="O45">
        <v>40.651814999322703</v>
      </c>
      <c r="P45">
        <v>25.251113046720999</v>
      </c>
      <c r="Q45">
        <v>34.097073966908198</v>
      </c>
      <c r="R45">
        <v>39.905403530644193</v>
      </c>
      <c r="S45">
        <v>494792232272.37469</v>
      </c>
      <c r="T45">
        <v>615137005953.59619</v>
      </c>
      <c r="U45">
        <v>529245063167.21539</v>
      </c>
      <c r="V45">
        <v>602315056052.52625</v>
      </c>
      <c r="W45">
        <v>6.59</v>
      </c>
      <c r="X45">
        <v>50610647353.591103</v>
      </c>
      <c r="Y45">
        <v>2835606256558.1948</v>
      </c>
    </row>
    <row r="46" spans="1:25" x14ac:dyDescent="0.25">
      <c r="A46" t="s">
        <v>40</v>
      </c>
      <c r="B46" s="42" t="s">
        <v>41</v>
      </c>
      <c r="C46">
        <v>2020</v>
      </c>
      <c r="D46" s="42" t="s">
        <v>90</v>
      </c>
      <c r="E46">
        <v>2533830417086.3608</v>
      </c>
      <c r="F46">
        <v>-5.7777247068730304</v>
      </c>
      <c r="G46">
        <v>1806.5011058386517</v>
      </c>
      <c r="H46">
        <v>738477753555.94299</v>
      </c>
      <c r="I46">
        <v>-7.0961150595959026</v>
      </c>
      <c r="J46">
        <v>532528354</v>
      </c>
      <c r="K46">
        <v>7.859</v>
      </c>
      <c r="L46">
        <v>14.120485357692278</v>
      </c>
      <c r="M46">
        <v>3.0736109935103286</v>
      </c>
      <c r="N46">
        <v>401053540820.83514</v>
      </c>
      <c r="O46">
        <v>44.6754951957099</v>
      </c>
      <c r="P46">
        <v>23.703647531851601</v>
      </c>
      <c r="Q46">
        <v>31.620857272438499</v>
      </c>
      <c r="R46">
        <v>37.758105329276752</v>
      </c>
      <c r="S46">
        <v>460373305611.34979</v>
      </c>
      <c r="T46">
        <v>537490415296.71191</v>
      </c>
      <c r="U46">
        <v>499728529072.62909</v>
      </c>
      <c r="V46">
        <v>510244747372.17383</v>
      </c>
      <c r="W46">
        <v>6.19</v>
      </c>
      <c r="X46">
        <v>64362364994.375397</v>
      </c>
      <c r="Y46">
        <v>2674851578587.2686</v>
      </c>
    </row>
    <row r="47" spans="1:25" x14ac:dyDescent="0.25">
      <c r="A47" t="s">
        <v>40</v>
      </c>
      <c r="B47" s="42" t="s">
        <v>41</v>
      </c>
      <c r="C47">
        <v>2021</v>
      </c>
      <c r="D47" s="42" t="s">
        <v>91</v>
      </c>
      <c r="E47">
        <v>2779348258938.2803</v>
      </c>
      <c r="F47">
        <v>9.6895924919174092</v>
      </c>
      <c r="G47">
        <v>1965.3094343747164</v>
      </c>
      <c r="H47">
        <v>867868706472.12244</v>
      </c>
      <c r="I47">
        <v>17.521306808923057</v>
      </c>
      <c r="J47">
        <v>550352877</v>
      </c>
      <c r="K47">
        <v>6.38</v>
      </c>
      <c r="L47">
        <v>14.377028853128614</v>
      </c>
      <c r="M47">
        <v>9.9552196717495889</v>
      </c>
      <c r="N47">
        <v>440979301810.87921</v>
      </c>
      <c r="O47">
        <v>44.079186886638198</v>
      </c>
      <c r="P47">
        <v>24.4704786231875</v>
      </c>
      <c r="Q47">
        <v>31.450327114961201</v>
      </c>
      <c r="R47">
        <v>45.423088784044594</v>
      </c>
      <c r="S47">
        <v>596640556155.27429</v>
      </c>
      <c r="T47">
        <v>656245818343.69556</v>
      </c>
      <c r="U47">
        <v>677769255428.55212</v>
      </c>
      <c r="V47">
        <v>760902891806.01318</v>
      </c>
      <c r="W47">
        <v>5.87</v>
      </c>
      <c r="X47">
        <v>44727277562.880997</v>
      </c>
      <c r="Y47">
        <v>3167270623260.4688</v>
      </c>
    </row>
    <row r="48" spans="1:25" x14ac:dyDescent="0.25">
      <c r="A48" t="s">
        <v>40</v>
      </c>
      <c r="B48" s="42" t="s">
        <v>41</v>
      </c>
      <c r="C48">
        <v>2022</v>
      </c>
      <c r="D48" s="42" t="s">
        <v>92</v>
      </c>
      <c r="E48">
        <v>2990839011962.0557</v>
      </c>
      <c r="F48">
        <v>7.609364977693204</v>
      </c>
      <c r="G48">
        <v>2098.2112447612194</v>
      </c>
      <c r="H48">
        <v>941161453067.49158</v>
      </c>
      <c r="I48">
        <v>8.4451422258677127</v>
      </c>
      <c r="J48">
        <v>569155867</v>
      </c>
      <c r="K48">
        <v>4.8220000000000001</v>
      </c>
      <c r="L48">
        <v>13.332720262397361</v>
      </c>
      <c r="M48">
        <v>-1.744196563454409</v>
      </c>
      <c r="N48">
        <v>433287755983.14862</v>
      </c>
      <c r="O48">
        <v>42.8609991503088</v>
      </c>
      <c r="P48">
        <v>26.1203341573875</v>
      </c>
      <c r="Q48">
        <v>31.0186666923037</v>
      </c>
      <c r="R48">
        <v>50.697938275804233</v>
      </c>
      <c r="S48">
        <v>658219877491.87012</v>
      </c>
      <c r="T48">
        <v>714786868775.4751</v>
      </c>
      <c r="U48">
        <v>781290791563.82654</v>
      </c>
      <c r="V48">
        <v>866361019118.76611</v>
      </c>
      <c r="W48">
        <v>4.59</v>
      </c>
      <c r="X48">
        <v>49940258404.2659</v>
      </c>
      <c r="Y48">
        <v>3249938492013.4712</v>
      </c>
    </row>
    <row r="49" spans="1:25" x14ac:dyDescent="0.25">
      <c r="A49" t="s">
        <v>40</v>
      </c>
      <c r="B49" s="42" t="s">
        <v>41</v>
      </c>
      <c r="C49">
        <v>2023</v>
      </c>
      <c r="D49" s="42" t="s">
        <v>93</v>
      </c>
      <c r="E49">
        <v>3206485223026.3037</v>
      </c>
      <c r="F49">
        <v>7.2102246293350021</v>
      </c>
      <c r="G49">
        <v>2229.7149122303699</v>
      </c>
      <c r="H49">
        <v>1009423253895.8359</v>
      </c>
      <c r="I49">
        <v>7.2529320666354664</v>
      </c>
      <c r="J49">
        <v>589486854</v>
      </c>
      <c r="K49">
        <v>4.1719999999999997</v>
      </c>
      <c r="L49">
        <v>13.312843875072023</v>
      </c>
      <c r="M49">
        <v>12.707025648704672</v>
      </c>
      <c r="N49">
        <v>488345742268.62421</v>
      </c>
      <c r="O49">
        <v>43.513581124579296</v>
      </c>
      <c r="P49">
        <v>25.029211598620101</v>
      </c>
      <c r="Q49">
        <v>31.457207276800599</v>
      </c>
      <c r="R49">
        <v>46.322952058233838</v>
      </c>
      <c r="S49">
        <v>662886943836.82874</v>
      </c>
      <c r="T49">
        <v>707406852191.65955</v>
      </c>
      <c r="U49">
        <v>782620610192.05066</v>
      </c>
      <c r="V49">
        <v>839102411987.34082</v>
      </c>
      <c r="W49" t="s">
        <v>84</v>
      </c>
      <c r="X49">
        <v>28086193530.3979</v>
      </c>
      <c r="Y49">
        <v>3500906030644.7642</v>
      </c>
    </row>
    <row r="50" spans="1:25" x14ac:dyDescent="0.25">
      <c r="A50" t="s">
        <v>40</v>
      </c>
      <c r="B50" s="42" t="s">
        <v>41</v>
      </c>
      <c r="C50">
        <v>2024</v>
      </c>
      <c r="D50" s="42" t="s">
        <v>94</v>
      </c>
      <c r="E50">
        <v>3434122552914.7739</v>
      </c>
      <c r="F50">
        <v>7.0992789317651841</v>
      </c>
      <c r="G50">
        <v>2366.8328910323048</v>
      </c>
      <c r="H50">
        <v>1074125919425.715</v>
      </c>
      <c r="I50">
        <v>6.4098647698238835</v>
      </c>
      <c r="J50">
        <v>608500805</v>
      </c>
      <c r="K50">
        <v>4.173</v>
      </c>
      <c r="L50">
        <v>13.139219949132599</v>
      </c>
      <c r="M50">
        <v>9.2890336559855626</v>
      </c>
      <c r="N50">
        <v>533708342625.52924</v>
      </c>
      <c r="O50">
        <v>42.3547738876441</v>
      </c>
      <c r="P50">
        <v>25.370925971161199</v>
      </c>
      <c r="Q50">
        <v>32.274309744917801</v>
      </c>
      <c r="R50">
        <v>45.916690767874819</v>
      </c>
      <c r="S50">
        <v>706367121491.2843</v>
      </c>
      <c r="T50">
        <v>744951456636.97205</v>
      </c>
      <c r="U50">
        <v>829785193474.45898</v>
      </c>
      <c r="V50">
        <v>897055898132.00037</v>
      </c>
      <c r="W50" t="s">
        <v>84</v>
      </c>
      <c r="X50">
        <v>27139853378.140202</v>
      </c>
      <c r="Y50">
        <v>3760813470500.8564</v>
      </c>
    </row>
    <row r="51" spans="1:25" x14ac:dyDescent="0.25">
      <c r="A51" t="s">
        <v>40</v>
      </c>
      <c r="B51" s="42" t="s">
        <v>41</v>
      </c>
      <c r="C51">
        <v>2025</v>
      </c>
      <c r="D51" s="42" t="s">
        <v>95</v>
      </c>
      <c r="E51">
        <v>3693970992045.5615</v>
      </c>
      <c r="F51">
        <v>7.5666617928424387</v>
      </c>
      <c r="G51">
        <v>2523.4360185137643</v>
      </c>
      <c r="H51">
        <v>1150204050793.3862</v>
      </c>
      <c r="I51">
        <v>7.0827944835691881</v>
      </c>
      <c r="J51">
        <v>617625336</v>
      </c>
      <c r="K51">
        <v>4.2190000000000003</v>
      </c>
      <c r="L51">
        <v>13.471055068464782</v>
      </c>
      <c r="M51">
        <v>11.531872924542057</v>
      </c>
      <c r="N51">
        <v>595254910484.78479</v>
      </c>
      <c r="O51">
        <v>41.625128087757297</v>
      </c>
      <c r="P51">
        <v>25.817307380638098</v>
      </c>
      <c r="Q51">
        <v>32.557562503110901</v>
      </c>
      <c r="R51">
        <v>46.268200685990735</v>
      </c>
      <c r="S51">
        <v>751980993994.73242</v>
      </c>
      <c r="T51">
        <v>792599628325.21509</v>
      </c>
      <c r="U51">
        <v>880740846621.54529</v>
      </c>
      <c r="V51">
        <v>949660225776.15845</v>
      </c>
      <c r="W51" t="s">
        <v>84</v>
      </c>
      <c r="X51">
        <v>39097233086.213303</v>
      </c>
      <c r="Y51">
        <v>3956067115771.6313</v>
      </c>
    </row>
    <row r="52" spans="1:25" x14ac:dyDescent="0.25">
      <c r="B52" s="42"/>
      <c r="D52" s="42"/>
    </row>
    <row r="53" spans="1:25" x14ac:dyDescent="0.25">
      <c r="B53" s="42"/>
      <c r="D53" s="42"/>
    </row>
    <row r="54" spans="1:25" x14ac:dyDescent="0.25">
      <c r="B54" s="42"/>
      <c r="D54" s="42"/>
    </row>
    <row r="55" spans="1:25" x14ac:dyDescent="0.25">
      <c r="A55" t="s">
        <v>96</v>
      </c>
      <c r="B55" s="42"/>
      <c r="D55" s="42"/>
    </row>
    <row r="56" spans="1:25" x14ac:dyDescent="0.25">
      <c r="A56" t="s">
        <v>97</v>
      </c>
    </row>
    <row r="57" spans="1:25" x14ac:dyDescent="0.25"/>
    <row r="58" spans="1:25" x14ac:dyDescent="0.25"/>
    <row r="59" spans="1:25" x14ac:dyDescent="0.25"/>
    <row r="60" spans="1:25" x14ac:dyDescent="0.25"/>
    <row r="61" spans="1:25" x14ac:dyDescent="0.25"/>
    <row r="62" spans="1:25" x14ac:dyDescent="0.25"/>
    <row r="63" spans="1:25" x14ac:dyDescent="0.25"/>
    <row r="64" spans="1:25" x14ac:dyDescent="0.25"/>
    <row r="65" x14ac:dyDescent="0.25"/>
    <row r="66" x14ac:dyDescent="0.25"/>
    <row r="67" x14ac:dyDescent="0.25"/>
    <row r="68" x14ac:dyDescent="0.25"/>
    <row r="69" x14ac:dyDescent="0.25"/>
    <row r="70" x14ac:dyDescent="0.25"/>
    <row r="71" x14ac:dyDescent="0.25"/>
    <row r="72" x14ac:dyDescent="0.25"/>
    <row r="73" x14ac:dyDescent="0.25"/>
    <row r="74" x14ac:dyDescent="0.25"/>
    <row r="75" x14ac:dyDescent="0.25"/>
    <row r="76" x14ac:dyDescent="0.25"/>
    <row r="77" x14ac:dyDescent="0.25"/>
    <row r="78" x14ac:dyDescent="0.25"/>
    <row r="79" x14ac:dyDescent="0.25"/>
    <row r="80" x14ac:dyDescent="0.25"/>
    <row r="81" x14ac:dyDescent="0.25"/>
    <row r="82" x14ac:dyDescent="0.25"/>
    <row r="83" x14ac:dyDescent="0.25"/>
    <row r="84" x14ac:dyDescent="0.25"/>
    <row r="85" x14ac:dyDescent="0.25"/>
    <row r="86" x14ac:dyDescent="0.25"/>
    <row r="87" x14ac:dyDescent="0.25"/>
    <row r="88" x14ac:dyDescent="0.25"/>
    <row r="89" x14ac:dyDescent="0.25"/>
    <row r="90" x14ac:dyDescent="0.25"/>
    <row r="91" x14ac:dyDescent="0.25"/>
    <row r="92" x14ac:dyDescent="0.25"/>
    <row r="93" x14ac:dyDescent="0.25"/>
    <row r="94" x14ac:dyDescent="0.25"/>
    <row r="95" x14ac:dyDescent="0.25"/>
    <row r="96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  <row r="461" x14ac:dyDescent="0.25"/>
    <row r="462" x14ac:dyDescent="0.25"/>
    <row r="463" x14ac:dyDescent="0.25"/>
    <row r="464" x14ac:dyDescent="0.25"/>
    <row r="465" x14ac:dyDescent="0.25"/>
    <row r="466" x14ac:dyDescent="0.25"/>
    <row r="467" x14ac:dyDescent="0.25"/>
    <row r="468" x14ac:dyDescent="0.25"/>
    <row r="469" x14ac:dyDescent="0.25"/>
    <row r="470" x14ac:dyDescent="0.25"/>
    <row r="471" x14ac:dyDescent="0.25"/>
    <row r="472" x14ac:dyDescent="0.25"/>
    <row r="473" x14ac:dyDescent="0.25"/>
    <row r="474" x14ac:dyDescent="0.25"/>
    <row r="475" x14ac:dyDescent="0.25"/>
    <row r="476" x14ac:dyDescent="0.25"/>
    <row r="477" x14ac:dyDescent="0.25"/>
    <row r="478" x14ac:dyDescent="0.25"/>
    <row r="479" x14ac:dyDescent="0.25"/>
    <row r="480" x14ac:dyDescent="0.25"/>
    <row r="481" x14ac:dyDescent="0.25"/>
    <row r="482" x14ac:dyDescent="0.25"/>
    <row r="483" x14ac:dyDescent="0.25"/>
    <row r="484" x14ac:dyDescent="0.25"/>
    <row r="485" x14ac:dyDescent="0.25"/>
    <row r="486" x14ac:dyDescent="0.25"/>
    <row r="487" x14ac:dyDescent="0.25"/>
    <row r="488" x14ac:dyDescent="0.25"/>
    <row r="489" x14ac:dyDescent="0.25"/>
    <row r="490" x14ac:dyDescent="0.25"/>
    <row r="491" x14ac:dyDescent="0.25"/>
    <row r="492" x14ac:dyDescent="0.25"/>
    <row r="493" x14ac:dyDescent="0.25"/>
    <row r="494" x14ac:dyDescent="0.25"/>
    <row r="495" x14ac:dyDescent="0.25"/>
    <row r="496" x14ac:dyDescent="0.25"/>
    <row r="497" x14ac:dyDescent="0.25"/>
    <row r="498" x14ac:dyDescent="0.25"/>
    <row r="499" x14ac:dyDescent="0.25"/>
    <row r="500" x14ac:dyDescent="0.25"/>
    <row r="501" x14ac:dyDescent="0.25"/>
    <row r="502" x14ac:dyDescent="0.25"/>
    <row r="503" x14ac:dyDescent="0.25"/>
    <row r="504" x14ac:dyDescent="0.25"/>
    <row r="505" x14ac:dyDescent="0.25"/>
    <row r="506" x14ac:dyDescent="0.25"/>
    <row r="507" x14ac:dyDescent="0.25"/>
    <row r="508" x14ac:dyDescent="0.25"/>
    <row r="509" x14ac:dyDescent="0.25"/>
    <row r="510" x14ac:dyDescent="0.25"/>
    <row r="511" x14ac:dyDescent="0.25"/>
    <row r="512" x14ac:dyDescent="0.25"/>
    <row r="513" x14ac:dyDescent="0.25"/>
    <row r="514" x14ac:dyDescent="0.25"/>
    <row r="515" x14ac:dyDescent="0.25"/>
    <row r="516" x14ac:dyDescent="0.25"/>
    <row r="517" x14ac:dyDescent="0.25"/>
    <row r="518" x14ac:dyDescent="0.25"/>
    <row r="519" x14ac:dyDescent="0.25"/>
    <row r="520" x14ac:dyDescent="0.25"/>
    <row r="521" x14ac:dyDescent="0.25"/>
    <row r="522" x14ac:dyDescent="0.25"/>
    <row r="523" x14ac:dyDescent="0.25"/>
    <row r="524" x14ac:dyDescent="0.25"/>
    <row r="525" x14ac:dyDescent="0.25"/>
    <row r="526" x14ac:dyDescent="0.25"/>
    <row r="527" x14ac:dyDescent="0.25"/>
    <row r="528" x14ac:dyDescent="0.25"/>
    <row r="529" x14ac:dyDescent="0.25"/>
    <row r="530" x14ac:dyDescent="0.25"/>
    <row r="531" x14ac:dyDescent="0.25"/>
    <row r="532" x14ac:dyDescent="0.25"/>
    <row r="533" x14ac:dyDescent="0.25"/>
    <row r="534" x14ac:dyDescent="0.25"/>
    <row r="535" x14ac:dyDescent="0.25"/>
    <row r="536" x14ac:dyDescent="0.25"/>
    <row r="537" x14ac:dyDescent="0.25"/>
    <row r="538" x14ac:dyDescent="0.25"/>
    <row r="539" x14ac:dyDescent="0.25"/>
    <row r="540" x14ac:dyDescent="0.25"/>
    <row r="541" x14ac:dyDescent="0.25"/>
    <row r="542" x14ac:dyDescent="0.25"/>
    <row r="543" x14ac:dyDescent="0.25"/>
    <row r="544" x14ac:dyDescent="0.25"/>
    <row r="545" x14ac:dyDescent="0.25"/>
    <row r="546" x14ac:dyDescent="0.25"/>
    <row r="547" x14ac:dyDescent="0.25"/>
    <row r="548" x14ac:dyDescent="0.25"/>
    <row r="549" x14ac:dyDescent="0.25"/>
    <row r="550" x14ac:dyDescent="0.25"/>
    <row r="551" x14ac:dyDescent="0.25"/>
    <row r="552" x14ac:dyDescent="0.25"/>
    <row r="553" x14ac:dyDescent="0.25"/>
    <row r="554" x14ac:dyDescent="0.25"/>
    <row r="555" x14ac:dyDescent="0.25"/>
    <row r="556" x14ac:dyDescent="0.25"/>
    <row r="557" x14ac:dyDescent="0.25"/>
    <row r="558" x14ac:dyDescent="0.25"/>
    <row r="559" x14ac:dyDescent="0.25"/>
    <row r="560" x14ac:dyDescent="0.25"/>
    <row r="561" x14ac:dyDescent="0.25"/>
    <row r="562" x14ac:dyDescent="0.25"/>
    <row r="563" x14ac:dyDescent="0.25"/>
    <row r="564" x14ac:dyDescent="0.25"/>
    <row r="565" x14ac:dyDescent="0.25"/>
    <row r="566" x14ac:dyDescent="0.25"/>
    <row r="567" x14ac:dyDescent="0.25"/>
    <row r="568" x14ac:dyDescent="0.25"/>
    <row r="569" x14ac:dyDescent="0.25"/>
    <row r="570" x14ac:dyDescent="0.25"/>
    <row r="571" x14ac:dyDescent="0.25"/>
    <row r="572" x14ac:dyDescent="0.25"/>
    <row r="573" x14ac:dyDescent="0.25"/>
    <row r="574" x14ac:dyDescent="0.25"/>
    <row r="575" x14ac:dyDescent="0.25"/>
    <row r="576" x14ac:dyDescent="0.25"/>
    <row r="577" x14ac:dyDescent="0.25"/>
    <row r="578" x14ac:dyDescent="0.25"/>
    <row r="579" x14ac:dyDescent="0.25"/>
    <row r="580" x14ac:dyDescent="0.25"/>
    <row r="581" x14ac:dyDescent="0.25"/>
    <row r="582" x14ac:dyDescent="0.25"/>
    <row r="583" x14ac:dyDescent="0.25"/>
    <row r="584" x14ac:dyDescent="0.25"/>
    <row r="585" x14ac:dyDescent="0.25"/>
    <row r="586" x14ac:dyDescent="0.25"/>
    <row r="587" x14ac:dyDescent="0.25"/>
    <row r="588" x14ac:dyDescent="0.25"/>
    <row r="589" x14ac:dyDescent="0.25"/>
    <row r="590" x14ac:dyDescent="0.25"/>
    <row r="591" x14ac:dyDescent="0.25"/>
    <row r="592" x14ac:dyDescent="0.25"/>
    <row r="593" x14ac:dyDescent="0.25"/>
    <row r="594" x14ac:dyDescent="0.25"/>
    <row r="595" x14ac:dyDescent="0.25"/>
    <row r="596" x14ac:dyDescent="0.25"/>
    <row r="597" x14ac:dyDescent="0.25"/>
    <row r="598" x14ac:dyDescent="0.25"/>
    <row r="599" x14ac:dyDescent="0.25"/>
    <row r="600" x14ac:dyDescent="0.25"/>
    <row r="601" x14ac:dyDescent="0.25"/>
    <row r="602" x14ac:dyDescent="0.25"/>
    <row r="603" x14ac:dyDescent="0.25"/>
    <row r="604" x14ac:dyDescent="0.25"/>
    <row r="605" x14ac:dyDescent="0.25"/>
    <row r="606" x14ac:dyDescent="0.25"/>
    <row r="607" x14ac:dyDescent="0.25"/>
    <row r="608" x14ac:dyDescent="0.25"/>
    <row r="609" x14ac:dyDescent="0.25"/>
    <row r="610" x14ac:dyDescent="0.25"/>
    <row r="611" x14ac:dyDescent="0.25"/>
    <row r="612" x14ac:dyDescent="0.25"/>
    <row r="613" x14ac:dyDescent="0.25"/>
    <row r="614" x14ac:dyDescent="0.25"/>
    <row r="615" x14ac:dyDescent="0.25"/>
    <row r="616" x14ac:dyDescent="0.25"/>
    <row r="617" x14ac:dyDescent="0.25"/>
    <row r="618" x14ac:dyDescent="0.25"/>
    <row r="619" x14ac:dyDescent="0.25"/>
    <row r="620" x14ac:dyDescent="0.25"/>
    <row r="621" x14ac:dyDescent="0.25"/>
    <row r="622" x14ac:dyDescent="0.25"/>
    <row r="623" x14ac:dyDescent="0.25"/>
    <row r="624" x14ac:dyDescent="0.25"/>
    <row r="625" x14ac:dyDescent="0.25"/>
    <row r="626" x14ac:dyDescent="0.25"/>
    <row r="627" x14ac:dyDescent="0.25"/>
    <row r="628" x14ac:dyDescent="0.25"/>
    <row r="629" x14ac:dyDescent="0.25"/>
    <row r="630" x14ac:dyDescent="0.25"/>
    <row r="631" x14ac:dyDescent="0.25"/>
    <row r="632" x14ac:dyDescent="0.25"/>
    <row r="633" x14ac:dyDescent="0.25"/>
    <row r="634" x14ac:dyDescent="0.25"/>
    <row r="635" x14ac:dyDescent="0.25"/>
    <row r="636" x14ac:dyDescent="0.25"/>
    <row r="637" x14ac:dyDescent="0.25"/>
    <row r="638" x14ac:dyDescent="0.25"/>
    <row r="639" x14ac:dyDescent="0.25"/>
    <row r="640" x14ac:dyDescent="0.25"/>
    <row r="641" x14ac:dyDescent="0.25"/>
    <row r="642" x14ac:dyDescent="0.25"/>
    <row r="643" x14ac:dyDescent="0.25"/>
    <row r="644" x14ac:dyDescent="0.25"/>
    <row r="645" x14ac:dyDescent="0.25"/>
    <row r="646" x14ac:dyDescent="0.25"/>
    <row r="647" x14ac:dyDescent="0.25"/>
    <row r="648" x14ac:dyDescent="0.25"/>
    <row r="649" x14ac:dyDescent="0.25"/>
    <row r="650" x14ac:dyDescent="0.25"/>
    <row r="651" x14ac:dyDescent="0.25"/>
    <row r="652" x14ac:dyDescent="0.25"/>
    <row r="653" x14ac:dyDescent="0.25"/>
    <row r="654" x14ac:dyDescent="0.25"/>
    <row r="655" x14ac:dyDescent="0.25"/>
    <row r="656" x14ac:dyDescent="0.25"/>
    <row r="657" x14ac:dyDescent="0.25"/>
    <row r="658" x14ac:dyDescent="0.25"/>
    <row r="659" x14ac:dyDescent="0.25"/>
    <row r="660" x14ac:dyDescent="0.25"/>
    <row r="661" x14ac:dyDescent="0.25"/>
    <row r="662" x14ac:dyDescent="0.25"/>
    <row r="663" x14ac:dyDescent="0.25"/>
    <row r="664" x14ac:dyDescent="0.25"/>
    <row r="665" x14ac:dyDescent="0.25"/>
    <row r="666" x14ac:dyDescent="0.25"/>
    <row r="667" x14ac:dyDescent="0.25"/>
    <row r="668" x14ac:dyDescent="0.25"/>
    <row r="669" x14ac:dyDescent="0.25"/>
    <row r="670" x14ac:dyDescent="0.25"/>
    <row r="671" x14ac:dyDescent="0.25"/>
    <row r="672" x14ac:dyDescent="0.25"/>
    <row r="673" x14ac:dyDescent="0.25"/>
    <row r="674" x14ac:dyDescent="0.25"/>
    <row r="675" x14ac:dyDescent="0.25"/>
    <row r="676" x14ac:dyDescent="0.25"/>
    <row r="677" x14ac:dyDescent="0.25"/>
    <row r="678" x14ac:dyDescent="0.25"/>
    <row r="679" x14ac:dyDescent="0.25"/>
    <row r="680" x14ac:dyDescent="0.25"/>
    <row r="681" x14ac:dyDescent="0.25"/>
    <row r="682" x14ac:dyDescent="0.25"/>
    <row r="683" x14ac:dyDescent="0.25"/>
    <row r="684" x14ac:dyDescent="0.25"/>
    <row r="685" x14ac:dyDescent="0.25"/>
    <row r="686" x14ac:dyDescent="0.25"/>
    <row r="687" x14ac:dyDescent="0.25"/>
    <row r="688" x14ac:dyDescent="0.25"/>
    <row r="689" x14ac:dyDescent="0.25"/>
    <row r="690" x14ac:dyDescent="0.25"/>
    <row r="691" x14ac:dyDescent="0.25"/>
    <row r="692" x14ac:dyDescent="0.25"/>
    <row r="693" x14ac:dyDescent="0.25"/>
    <row r="694" x14ac:dyDescent="0.25"/>
    <row r="695" x14ac:dyDescent="0.25"/>
    <row r="696" x14ac:dyDescent="0.25"/>
    <row r="697" x14ac:dyDescent="0.25"/>
    <row r="698" x14ac:dyDescent="0.25"/>
    <row r="699" x14ac:dyDescent="0.25"/>
    <row r="700" x14ac:dyDescent="0.25"/>
    <row r="701" x14ac:dyDescent="0.25"/>
    <row r="702" x14ac:dyDescent="0.25"/>
    <row r="703" x14ac:dyDescent="0.25"/>
    <row r="704" x14ac:dyDescent="0.25"/>
    <row r="705" x14ac:dyDescent="0.25"/>
    <row r="706" x14ac:dyDescent="0.25"/>
    <row r="707" x14ac:dyDescent="0.25"/>
    <row r="708" x14ac:dyDescent="0.25"/>
    <row r="709" x14ac:dyDescent="0.25"/>
    <row r="710" x14ac:dyDescent="0.25"/>
    <row r="711" x14ac:dyDescent="0.25"/>
    <row r="712" x14ac:dyDescent="0.25"/>
    <row r="713" x14ac:dyDescent="0.25"/>
    <row r="714" x14ac:dyDescent="0.25"/>
    <row r="715" x14ac:dyDescent="0.25"/>
    <row r="716" x14ac:dyDescent="0.25"/>
    <row r="717" x14ac:dyDescent="0.25"/>
    <row r="718" x14ac:dyDescent="0.25"/>
    <row r="719" x14ac:dyDescent="0.25"/>
    <row r="720" x14ac:dyDescent="0.25"/>
    <row r="721" x14ac:dyDescent="0.25"/>
    <row r="722" x14ac:dyDescent="0.25"/>
    <row r="723" x14ac:dyDescent="0.25"/>
    <row r="724" x14ac:dyDescent="0.25"/>
    <row r="725" x14ac:dyDescent="0.25"/>
    <row r="726" x14ac:dyDescent="0.25"/>
    <row r="727" x14ac:dyDescent="0.25"/>
    <row r="728" x14ac:dyDescent="0.25"/>
    <row r="729" x14ac:dyDescent="0.25"/>
    <row r="730" x14ac:dyDescent="0.25"/>
    <row r="731" x14ac:dyDescent="0.25"/>
    <row r="732" x14ac:dyDescent="0.25"/>
    <row r="733" x14ac:dyDescent="0.25"/>
    <row r="734" x14ac:dyDescent="0.25"/>
    <row r="735" x14ac:dyDescent="0.25"/>
    <row r="736" x14ac:dyDescent="0.25"/>
    <row r="737" x14ac:dyDescent="0.25"/>
    <row r="738" x14ac:dyDescent="0.25"/>
    <row r="739" x14ac:dyDescent="0.25"/>
    <row r="740" x14ac:dyDescent="0.25"/>
    <row r="741" x14ac:dyDescent="0.25"/>
    <row r="742" x14ac:dyDescent="0.25"/>
    <row r="743" x14ac:dyDescent="0.25"/>
    <row r="744" x14ac:dyDescent="0.25"/>
    <row r="745" x14ac:dyDescent="0.25"/>
    <row r="746" x14ac:dyDescent="0.25"/>
    <row r="747" x14ac:dyDescent="0.25"/>
    <row r="748" x14ac:dyDescent="0.25"/>
    <row r="749" x14ac:dyDescent="0.25"/>
    <row r="750" x14ac:dyDescent="0.25"/>
    <row r="751" x14ac:dyDescent="0.25"/>
    <row r="752" x14ac:dyDescent="0.25"/>
    <row r="753" x14ac:dyDescent="0.25"/>
    <row r="754" x14ac:dyDescent="0.25"/>
    <row r="755" x14ac:dyDescent="0.25"/>
    <row r="756" x14ac:dyDescent="0.25"/>
    <row r="757" x14ac:dyDescent="0.25"/>
    <row r="758" x14ac:dyDescent="0.25"/>
    <row r="759" x14ac:dyDescent="0.25"/>
    <row r="760" x14ac:dyDescent="0.25"/>
    <row r="761" x14ac:dyDescent="0.25"/>
    <row r="762" x14ac:dyDescent="0.25"/>
    <row r="763" x14ac:dyDescent="0.25"/>
    <row r="764" x14ac:dyDescent="0.25"/>
    <row r="765" x14ac:dyDescent="0.25"/>
    <row r="766" x14ac:dyDescent="0.25"/>
    <row r="767" x14ac:dyDescent="0.25"/>
    <row r="768" x14ac:dyDescent="0.25"/>
    <row r="769" x14ac:dyDescent="0.25"/>
    <row r="770" x14ac:dyDescent="0.25"/>
    <row r="771" x14ac:dyDescent="0.25"/>
    <row r="772" x14ac:dyDescent="0.25"/>
    <row r="773" x14ac:dyDescent="0.25"/>
    <row r="774" x14ac:dyDescent="0.25"/>
    <row r="775" x14ac:dyDescent="0.25"/>
    <row r="776" x14ac:dyDescent="0.25"/>
    <row r="777" x14ac:dyDescent="0.25"/>
    <row r="778" x14ac:dyDescent="0.25"/>
    <row r="779" x14ac:dyDescent="0.25"/>
    <row r="780" x14ac:dyDescent="0.25"/>
    <row r="781" x14ac:dyDescent="0.25"/>
    <row r="782" x14ac:dyDescent="0.25"/>
    <row r="783" x14ac:dyDescent="0.25"/>
    <row r="784" x14ac:dyDescent="0.25"/>
    <row r="785" x14ac:dyDescent="0.25"/>
    <row r="786" x14ac:dyDescent="0.25"/>
    <row r="787" x14ac:dyDescent="0.25"/>
    <row r="788" x14ac:dyDescent="0.25"/>
    <row r="789" x14ac:dyDescent="0.25"/>
    <row r="790" x14ac:dyDescent="0.25"/>
    <row r="791" x14ac:dyDescent="0.25"/>
    <row r="792" x14ac:dyDescent="0.25"/>
    <row r="793" x14ac:dyDescent="0.25"/>
    <row r="794" x14ac:dyDescent="0.25"/>
    <row r="795" x14ac:dyDescent="0.25"/>
    <row r="796" x14ac:dyDescent="0.25"/>
    <row r="797" x14ac:dyDescent="0.25"/>
    <row r="798" x14ac:dyDescent="0.25"/>
    <row r="799" x14ac:dyDescent="0.25"/>
    <row r="800" x14ac:dyDescent="0.25"/>
    <row r="801" x14ac:dyDescent="0.25"/>
    <row r="802" x14ac:dyDescent="0.25"/>
    <row r="803" x14ac:dyDescent="0.25"/>
    <row r="804" x14ac:dyDescent="0.25"/>
    <row r="805" x14ac:dyDescent="0.25"/>
    <row r="806" x14ac:dyDescent="0.25"/>
    <row r="807" x14ac:dyDescent="0.25"/>
    <row r="808" x14ac:dyDescent="0.25"/>
    <row r="809" x14ac:dyDescent="0.25"/>
    <row r="810" x14ac:dyDescent="0.25"/>
    <row r="811" x14ac:dyDescent="0.25"/>
    <row r="812" x14ac:dyDescent="0.25"/>
    <row r="813" x14ac:dyDescent="0.25"/>
    <row r="814" x14ac:dyDescent="0.25"/>
    <row r="815" x14ac:dyDescent="0.25"/>
    <row r="816" x14ac:dyDescent="0.25"/>
    <row r="817" x14ac:dyDescent="0.25"/>
    <row r="818" x14ac:dyDescent="0.25"/>
    <row r="819" x14ac:dyDescent="0.25"/>
    <row r="820" x14ac:dyDescent="0.25"/>
    <row r="821" x14ac:dyDescent="0.25"/>
    <row r="822" x14ac:dyDescent="0.25"/>
    <row r="823" x14ac:dyDescent="0.25"/>
    <row r="824" x14ac:dyDescent="0.25"/>
    <row r="825" x14ac:dyDescent="0.25"/>
    <row r="826" x14ac:dyDescent="0.25"/>
    <row r="827" x14ac:dyDescent="0.25"/>
    <row r="828" x14ac:dyDescent="0.25"/>
    <row r="829" x14ac:dyDescent="0.25"/>
    <row r="830" x14ac:dyDescent="0.25"/>
    <row r="831" x14ac:dyDescent="0.25"/>
    <row r="832" x14ac:dyDescent="0.25"/>
    <row r="833" x14ac:dyDescent="0.25"/>
    <row r="834" x14ac:dyDescent="0.25"/>
    <row r="835" x14ac:dyDescent="0.25"/>
    <row r="836" x14ac:dyDescent="0.25"/>
    <row r="837" x14ac:dyDescent="0.25"/>
    <row r="838" x14ac:dyDescent="0.25"/>
    <row r="839" x14ac:dyDescent="0.25"/>
    <row r="840" x14ac:dyDescent="0.25"/>
    <row r="841" x14ac:dyDescent="0.25"/>
    <row r="842" x14ac:dyDescent="0.25"/>
    <row r="843" x14ac:dyDescent="0.25"/>
    <row r="844" x14ac:dyDescent="0.25"/>
    <row r="845" x14ac:dyDescent="0.25"/>
    <row r="846" x14ac:dyDescent="0.25"/>
    <row r="847" x14ac:dyDescent="0.25"/>
    <row r="848" x14ac:dyDescent="0.25"/>
    <row r="849" x14ac:dyDescent="0.25"/>
    <row r="850" x14ac:dyDescent="0.25"/>
    <row r="851" x14ac:dyDescent="0.25"/>
    <row r="852" x14ac:dyDescent="0.25"/>
    <row r="853" x14ac:dyDescent="0.25"/>
    <row r="854" x14ac:dyDescent="0.25"/>
    <row r="855" x14ac:dyDescent="0.25"/>
    <row r="856" x14ac:dyDescent="0.25"/>
    <row r="857" x14ac:dyDescent="0.25"/>
    <row r="858" x14ac:dyDescent="0.25"/>
    <row r="859" x14ac:dyDescent="0.25"/>
    <row r="860" x14ac:dyDescent="0.25"/>
    <row r="861" x14ac:dyDescent="0.25"/>
    <row r="862" x14ac:dyDescent="0.25"/>
    <row r="863" x14ac:dyDescent="0.25"/>
    <row r="864" x14ac:dyDescent="0.25"/>
    <row r="865" x14ac:dyDescent="0.25"/>
    <row r="866" x14ac:dyDescent="0.25"/>
    <row r="867" x14ac:dyDescent="0.25"/>
    <row r="868" x14ac:dyDescent="0.25"/>
    <row r="869" x14ac:dyDescent="0.25"/>
    <row r="870" x14ac:dyDescent="0.25"/>
    <row r="871" x14ac:dyDescent="0.25"/>
    <row r="872" x14ac:dyDescent="0.25"/>
    <row r="873" x14ac:dyDescent="0.25"/>
    <row r="874" x14ac:dyDescent="0.25"/>
    <row r="875" x14ac:dyDescent="0.25"/>
    <row r="876" x14ac:dyDescent="0.25"/>
    <row r="877" x14ac:dyDescent="0.25"/>
    <row r="878" x14ac:dyDescent="0.25"/>
    <row r="879" x14ac:dyDescent="0.25"/>
    <row r="880" x14ac:dyDescent="0.25"/>
    <row r="881" x14ac:dyDescent="0.25"/>
    <row r="882" x14ac:dyDescent="0.25"/>
    <row r="883" x14ac:dyDescent="0.25"/>
    <row r="884" x14ac:dyDescent="0.25"/>
    <row r="885" x14ac:dyDescent="0.25"/>
    <row r="886" x14ac:dyDescent="0.25"/>
    <row r="887" x14ac:dyDescent="0.25"/>
    <row r="888" x14ac:dyDescent="0.25"/>
    <row r="889" x14ac:dyDescent="0.25"/>
    <row r="890" x14ac:dyDescent="0.25"/>
    <row r="891" x14ac:dyDescent="0.25"/>
    <row r="892" x14ac:dyDescent="0.25"/>
    <row r="893" x14ac:dyDescent="0.25"/>
    <row r="894" x14ac:dyDescent="0.25"/>
    <row r="895" x14ac:dyDescent="0.25"/>
    <row r="896" x14ac:dyDescent="0.25"/>
    <row r="897" x14ac:dyDescent="0.25"/>
    <row r="898" x14ac:dyDescent="0.25"/>
    <row r="899" x14ac:dyDescent="0.25"/>
    <row r="900" x14ac:dyDescent="0.25"/>
    <row r="901" x14ac:dyDescent="0.25"/>
    <row r="902" x14ac:dyDescent="0.25"/>
    <row r="903" x14ac:dyDescent="0.25"/>
    <row r="904" x14ac:dyDescent="0.25"/>
    <row r="905" x14ac:dyDescent="0.25"/>
    <row r="906" x14ac:dyDescent="0.25"/>
    <row r="907" x14ac:dyDescent="0.25"/>
    <row r="908" x14ac:dyDescent="0.25"/>
    <row r="909" x14ac:dyDescent="0.25"/>
    <row r="910" x14ac:dyDescent="0.25"/>
    <row r="911" x14ac:dyDescent="0.25"/>
    <row r="912" x14ac:dyDescent="0.25"/>
    <row r="913" x14ac:dyDescent="0.25"/>
    <row r="914" x14ac:dyDescent="0.25"/>
    <row r="915" x14ac:dyDescent="0.25"/>
    <row r="916" x14ac:dyDescent="0.25"/>
    <row r="917" x14ac:dyDescent="0.25"/>
    <row r="918" x14ac:dyDescent="0.25"/>
    <row r="919" x14ac:dyDescent="0.25"/>
    <row r="920" x14ac:dyDescent="0.25"/>
    <row r="921" x14ac:dyDescent="0.25"/>
    <row r="922" x14ac:dyDescent="0.25"/>
    <row r="923" x14ac:dyDescent="0.25"/>
    <row r="924" x14ac:dyDescent="0.25"/>
    <row r="925" x14ac:dyDescent="0.25"/>
    <row r="926" x14ac:dyDescent="0.25"/>
    <row r="927" x14ac:dyDescent="0.25"/>
    <row r="928" x14ac:dyDescent="0.25"/>
    <row r="929" x14ac:dyDescent="0.25"/>
    <row r="930" x14ac:dyDescent="0.25"/>
    <row r="931" x14ac:dyDescent="0.25"/>
    <row r="932" x14ac:dyDescent="0.25"/>
    <row r="933" x14ac:dyDescent="0.25"/>
    <row r="934" x14ac:dyDescent="0.25"/>
    <row r="935" x14ac:dyDescent="0.25"/>
    <row r="936" x14ac:dyDescent="0.25"/>
    <row r="937" x14ac:dyDescent="0.25"/>
    <row r="938" x14ac:dyDescent="0.25"/>
    <row r="939" x14ac:dyDescent="0.25"/>
    <row r="940" x14ac:dyDescent="0.25"/>
    <row r="941" x14ac:dyDescent="0.25"/>
    <row r="942" x14ac:dyDescent="0.25"/>
    <row r="943" x14ac:dyDescent="0.25"/>
    <row r="944" x14ac:dyDescent="0.25"/>
    <row r="945" x14ac:dyDescent="0.25"/>
    <row r="946" x14ac:dyDescent="0.25"/>
    <row r="947" x14ac:dyDescent="0.25"/>
    <row r="948" x14ac:dyDescent="0.25"/>
    <row r="949" x14ac:dyDescent="0.25"/>
    <row r="950" x14ac:dyDescent="0.25"/>
    <row r="951" x14ac:dyDescent="0.25"/>
    <row r="952" x14ac:dyDescent="0.25"/>
    <row r="953" x14ac:dyDescent="0.25"/>
    <row r="954" x14ac:dyDescent="0.25"/>
    <row r="955" x14ac:dyDescent="0.25"/>
    <row r="956" x14ac:dyDescent="0.25"/>
    <row r="957" x14ac:dyDescent="0.25"/>
    <row r="958" x14ac:dyDescent="0.25"/>
    <row r="959" x14ac:dyDescent="0.25"/>
    <row r="960" x14ac:dyDescent="0.25"/>
    <row r="961" x14ac:dyDescent="0.25"/>
    <row r="962" x14ac:dyDescent="0.25"/>
    <row r="963" x14ac:dyDescent="0.25"/>
    <row r="964" x14ac:dyDescent="0.25"/>
    <row r="965" x14ac:dyDescent="0.25"/>
    <row r="966" x14ac:dyDescent="0.25"/>
    <row r="967" x14ac:dyDescent="0.25"/>
    <row r="968" x14ac:dyDescent="0.25"/>
    <row r="969" x14ac:dyDescent="0.25"/>
    <row r="970" x14ac:dyDescent="0.25"/>
    <row r="971" x14ac:dyDescent="0.25"/>
    <row r="972" x14ac:dyDescent="0.25"/>
    <row r="973" x14ac:dyDescent="0.25"/>
    <row r="974" x14ac:dyDescent="0.25"/>
    <row r="975" x14ac:dyDescent="0.25"/>
    <row r="976" x14ac:dyDescent="0.25"/>
    <row r="977" x14ac:dyDescent="0.25"/>
    <row r="978" x14ac:dyDescent="0.25"/>
    <row r="979" x14ac:dyDescent="0.25"/>
    <row r="980" x14ac:dyDescent="0.25"/>
    <row r="981" x14ac:dyDescent="0.25"/>
    <row r="982" x14ac:dyDescent="0.25"/>
    <row r="983" x14ac:dyDescent="0.25"/>
    <row r="984" x14ac:dyDescent="0.25"/>
    <row r="985" x14ac:dyDescent="0.25"/>
    <row r="986" x14ac:dyDescent="0.25"/>
    <row r="987" x14ac:dyDescent="0.25"/>
    <row r="988" x14ac:dyDescent="0.25"/>
    <row r="989" x14ac:dyDescent="0.25"/>
    <row r="990" x14ac:dyDescent="0.25"/>
    <row r="991" x14ac:dyDescent="0.25"/>
    <row r="992" x14ac:dyDescent="0.25"/>
    <row r="993" x14ac:dyDescent="0.25"/>
    <row r="994" x14ac:dyDescent="0.25"/>
    <row r="995" x14ac:dyDescent="0.25"/>
    <row r="996" x14ac:dyDescent="0.25"/>
    <row r="997" x14ac:dyDescent="0.25"/>
    <row r="998" x14ac:dyDescent="0.25"/>
    <row r="999" x14ac:dyDescent="0.25"/>
    <row r="1000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1024"/>
  <sheetViews>
    <sheetView topLeftCell="A11" zoomScale="85" zoomScaleNormal="85" workbookViewId="0">
      <selection activeCell="S14" sqref="S14"/>
    </sheetView>
  </sheetViews>
  <sheetFormatPr defaultColWidth="12.5703125" defaultRowHeight="15" customHeight="1" x14ac:dyDescent="0.25"/>
  <cols>
    <col min="1" max="2" width="9" customWidth="1"/>
    <col min="3" max="3" width="1.42578125" customWidth="1"/>
    <col min="4" max="4" width="18.140625" customWidth="1"/>
    <col min="5" max="6" width="9" customWidth="1"/>
    <col min="7" max="7" width="16.85546875" customWidth="1"/>
    <col min="8" max="8" width="1.140625" customWidth="1"/>
    <col min="9" max="10" width="9" customWidth="1"/>
    <col min="11" max="11" width="1.42578125" customWidth="1"/>
    <col min="12" max="12" width="11.42578125" customWidth="1"/>
    <col min="13" max="13" width="11.5703125" customWidth="1"/>
    <col min="14" max="14" width="14" customWidth="1"/>
    <col min="15" max="15" width="16.140625" customWidth="1"/>
    <col min="16" max="16" width="11.5703125" customWidth="1"/>
    <col min="17" max="17" width="12" customWidth="1"/>
    <col min="18" max="18" width="9" customWidth="1"/>
    <col min="19" max="19" width="13.42578125" customWidth="1"/>
    <col min="20" max="20" width="1.42578125" customWidth="1"/>
    <col min="21" max="21" width="9" customWidth="1"/>
    <col min="22" max="22" width="12.42578125" customWidth="1"/>
    <col min="23" max="23" width="13.42578125" customWidth="1"/>
    <col min="24" max="26" width="9" customWidth="1"/>
    <col min="27" max="27" width="1.42578125" customWidth="1"/>
    <col min="28" max="31" width="9" customWidth="1"/>
    <col min="32" max="32" width="2" customWidth="1"/>
    <col min="33" max="35" width="9" customWidth="1"/>
    <col min="36" max="36" width="11.42578125" style="41" customWidth="1"/>
    <col min="37" max="37" width="53" customWidth="1"/>
    <col min="38" max="38" width="39.7109375" customWidth="1"/>
  </cols>
  <sheetData>
    <row r="1" spans="1:38" ht="150.75" customHeight="1" x14ac:dyDescent="0.25">
      <c r="A1" s="2" t="s">
        <v>1</v>
      </c>
      <c r="B1" s="2" t="s">
        <v>4</v>
      </c>
      <c r="C1" s="5"/>
      <c r="D1" s="7" t="s">
        <v>13</v>
      </c>
      <c r="E1" s="2" t="s">
        <v>23</v>
      </c>
      <c r="F1" s="2" t="s">
        <v>24</v>
      </c>
      <c r="G1" s="2" t="s">
        <v>25</v>
      </c>
      <c r="H1" s="8"/>
      <c r="I1" s="7" t="s">
        <v>30</v>
      </c>
      <c r="J1" s="2" t="s">
        <v>32</v>
      </c>
      <c r="K1" s="9"/>
      <c r="L1" s="2" t="s">
        <v>34</v>
      </c>
      <c r="M1" s="2" t="s">
        <v>36</v>
      </c>
      <c r="N1" s="10" t="s">
        <v>38</v>
      </c>
      <c r="O1" s="10" t="s">
        <v>42</v>
      </c>
      <c r="P1" s="12" t="s">
        <v>43</v>
      </c>
      <c r="Q1" s="10" t="s">
        <v>46</v>
      </c>
      <c r="R1" s="10" t="s">
        <v>47</v>
      </c>
      <c r="S1" s="10" t="s">
        <v>48</v>
      </c>
      <c r="T1" s="14"/>
      <c r="U1" s="2" t="s">
        <v>49</v>
      </c>
      <c r="V1" s="2" t="s">
        <v>50</v>
      </c>
      <c r="W1" s="2" t="s">
        <v>51</v>
      </c>
      <c r="X1" s="2" t="s">
        <v>52</v>
      </c>
      <c r="Y1" s="2" t="s">
        <v>54</v>
      </c>
      <c r="Z1" s="2" t="s">
        <v>55</v>
      </c>
      <c r="AA1" s="8"/>
      <c r="AB1" s="2" t="s">
        <v>56</v>
      </c>
      <c r="AC1" s="38" t="s">
        <v>99</v>
      </c>
      <c r="AD1" s="38" t="s">
        <v>100</v>
      </c>
      <c r="AE1" s="2" t="s">
        <v>57</v>
      </c>
      <c r="AF1" s="9"/>
      <c r="AG1" s="38" t="s">
        <v>101</v>
      </c>
      <c r="AH1" s="2" t="s">
        <v>58</v>
      </c>
      <c r="AI1" s="15" t="s">
        <v>59</v>
      </c>
      <c r="AJ1" s="39" t="s">
        <v>103</v>
      </c>
      <c r="AK1" s="16" t="s">
        <v>60</v>
      </c>
      <c r="AL1" s="37" t="s">
        <v>98</v>
      </c>
    </row>
    <row r="2" spans="1:38" ht="134.25" customHeight="1" x14ac:dyDescent="0.25">
      <c r="A2" s="17"/>
      <c r="B2" s="17"/>
      <c r="C2" s="18"/>
      <c r="D2" s="19" t="s">
        <v>62</v>
      </c>
      <c r="E2" s="19"/>
      <c r="F2" s="19"/>
      <c r="G2" s="20" t="s">
        <v>63</v>
      </c>
      <c r="H2" s="22"/>
      <c r="I2" s="19" t="s">
        <v>65</v>
      </c>
      <c r="J2" s="17"/>
      <c r="K2" s="23"/>
      <c r="L2" s="17"/>
      <c r="M2" s="17" t="s">
        <v>66</v>
      </c>
      <c r="N2" s="24" t="s">
        <v>67</v>
      </c>
      <c r="O2" s="25" t="s">
        <v>68</v>
      </c>
      <c r="P2" s="25" t="s">
        <v>69</v>
      </c>
      <c r="Q2" s="20" t="s">
        <v>63</v>
      </c>
      <c r="R2" s="24" t="s">
        <v>70</v>
      </c>
      <c r="S2" s="25" t="s">
        <v>71</v>
      </c>
      <c r="T2" s="26"/>
      <c r="U2" s="17"/>
      <c r="V2" s="17"/>
      <c r="W2" s="17"/>
      <c r="X2" s="17"/>
      <c r="Y2" s="17"/>
      <c r="Z2" s="17"/>
      <c r="AA2" s="22"/>
      <c r="AB2" s="17" t="s">
        <v>73</v>
      </c>
      <c r="AC2" s="17"/>
      <c r="AD2" s="17"/>
      <c r="AE2" s="17"/>
      <c r="AF2" s="23"/>
      <c r="AG2" s="17"/>
      <c r="AH2" s="25" t="s">
        <v>71</v>
      </c>
      <c r="AI2" s="40" t="s">
        <v>104</v>
      </c>
      <c r="AJ2" s="40"/>
      <c r="AK2" s="27"/>
      <c r="AL2" s="17"/>
    </row>
    <row r="3" spans="1:38" x14ac:dyDescent="0.25">
      <c r="A3" s="3" t="s">
        <v>40</v>
      </c>
      <c r="B3" s="3">
        <v>1976</v>
      </c>
      <c r="C3" s="28"/>
      <c r="D3">
        <v>236260373292.01569</v>
      </c>
      <c r="E3">
        <v>1.6631036366127887</v>
      </c>
      <c r="F3">
        <v>377.49602541622698</v>
      </c>
      <c r="G3" s="29"/>
      <c r="H3" s="30"/>
      <c r="I3">
        <v>41960903331.347496</v>
      </c>
      <c r="J3">
        <v>10.931913537916316</v>
      </c>
      <c r="K3" s="31"/>
      <c r="L3" t="s">
        <v>84</v>
      </c>
      <c r="M3" t="s">
        <v>84</v>
      </c>
      <c r="N3" s="29"/>
      <c r="O3" s="29"/>
      <c r="P3" s="29"/>
      <c r="Q3" s="29"/>
      <c r="R3" s="29"/>
      <c r="S3" s="29"/>
      <c r="T3" s="32"/>
      <c r="U3">
        <v>16.265888832790733</v>
      </c>
      <c r="V3">
        <v>8.7699912765336876</v>
      </c>
      <c r="W3">
        <v>29006533388.012371</v>
      </c>
      <c r="X3" t="s">
        <v>84</v>
      </c>
      <c r="Y3" t="s">
        <v>84</v>
      </c>
      <c r="Z3" t="s">
        <v>84</v>
      </c>
      <c r="AA3" s="30"/>
      <c r="AB3">
        <v>12.801203072683698</v>
      </c>
      <c r="AC3">
        <v>6868148772.6722193</v>
      </c>
      <c r="AD3">
        <v>6280792834.3023033</v>
      </c>
      <c r="AE3" t="s">
        <v>84</v>
      </c>
      <c r="AF3" s="31"/>
      <c r="AG3">
        <v>-7706430.5425742399</v>
      </c>
      <c r="AH3" s="34"/>
      <c r="AI3" s="29">
        <f>(AG3/AJ3)*100</f>
        <v>-7.5026253283152194E-3</v>
      </c>
      <c r="AJ3" s="41">
        <v>102716451979.68039</v>
      </c>
      <c r="AK3" s="29"/>
      <c r="AL3" s="29"/>
    </row>
    <row r="4" spans="1:38" x14ac:dyDescent="0.25">
      <c r="A4" s="3" t="s">
        <v>40</v>
      </c>
      <c r="B4" s="3">
        <v>1977</v>
      </c>
      <c r="C4" s="28"/>
      <c r="D4">
        <v>253400507183.96805</v>
      </c>
      <c r="E4">
        <v>7.2547645858356873</v>
      </c>
      <c r="F4">
        <v>395.4433068196015</v>
      </c>
      <c r="G4" s="36">
        <f>((F4-F3)/F3)*100</f>
        <v>4.7542967859292959</v>
      </c>
      <c r="H4" s="30"/>
      <c r="I4">
        <v>47635917089.87632</v>
      </c>
      <c r="J4">
        <v>13.524527138311697</v>
      </c>
      <c r="K4" s="31"/>
      <c r="L4" t="s">
        <v>84</v>
      </c>
      <c r="M4" t="s">
        <v>84</v>
      </c>
      <c r="N4" s="29"/>
      <c r="P4" s="29"/>
      <c r="Q4" s="29"/>
      <c r="R4" s="29"/>
      <c r="S4" s="29"/>
      <c r="T4" s="32"/>
      <c r="U4">
        <v>16.080868929358598</v>
      </c>
      <c r="V4">
        <v>6.2236004918999157</v>
      </c>
      <c r="W4">
        <v>30811784142.631824</v>
      </c>
      <c r="X4" t="s">
        <v>84</v>
      </c>
      <c r="Y4" t="s">
        <v>84</v>
      </c>
      <c r="Z4" t="s">
        <v>84</v>
      </c>
      <c r="AA4" s="30"/>
      <c r="AB4">
        <v>12.648101137552864</v>
      </c>
      <c r="AC4">
        <v>7754701053.9386177</v>
      </c>
      <c r="AD4">
        <v>7611052224.1743937</v>
      </c>
      <c r="AE4" t="s">
        <v>84</v>
      </c>
      <c r="AF4" s="31"/>
      <c r="AG4">
        <v>-36060000</v>
      </c>
      <c r="AH4" s="34">
        <f t="shared" ref="AH4:AH27" si="0">((AG4-AG3)/AG3)*100</f>
        <v>367.92091099486629</v>
      </c>
      <c r="AI4" s="29">
        <f t="shared" ref="AI4:AI52" si="1">(AG4/AJ4)*100</f>
        <v>-2.9682275822416854E-2</v>
      </c>
      <c r="AJ4" s="41">
        <v>121486641441.3093</v>
      </c>
      <c r="AK4" s="29"/>
      <c r="AL4" s="29"/>
    </row>
    <row r="5" spans="1:38" x14ac:dyDescent="0.25">
      <c r="A5" s="3" t="s">
        <v>40</v>
      </c>
      <c r="B5" s="3">
        <v>1978</v>
      </c>
      <c r="C5" s="28"/>
      <c r="D5">
        <v>267876092470.54575</v>
      </c>
      <c r="E5">
        <v>5.7125320890018827</v>
      </c>
      <c r="F5">
        <v>408.51694440402952</v>
      </c>
      <c r="G5" s="36">
        <f t="shared" ref="G5:G27" si="2">((F5-F4)/F4)*100</f>
        <v>3.3060712772139844</v>
      </c>
      <c r="H5" s="30"/>
      <c r="I5">
        <v>50099661173.817818</v>
      </c>
      <c r="J5">
        <v>5.1720303385637862</v>
      </c>
      <c r="K5" s="31"/>
      <c r="L5" t="s">
        <v>84</v>
      </c>
      <c r="M5" t="s">
        <v>84</v>
      </c>
      <c r="N5" s="29"/>
      <c r="O5" s="29"/>
      <c r="P5" s="29"/>
      <c r="Q5" s="29"/>
      <c r="R5" s="29"/>
      <c r="S5" s="29"/>
      <c r="T5" s="32"/>
      <c r="U5">
        <v>17.096440519717575</v>
      </c>
      <c r="V5">
        <v>12.35214174258823</v>
      </c>
      <c r="W5">
        <v>34617699393.350029</v>
      </c>
      <c r="X5" t="s">
        <v>84</v>
      </c>
      <c r="Y5" t="s">
        <v>84</v>
      </c>
      <c r="Z5" t="s">
        <v>84</v>
      </c>
      <c r="AA5" s="30"/>
      <c r="AB5">
        <v>12.903011842484915</v>
      </c>
      <c r="AC5">
        <v>8670401540.1265316</v>
      </c>
      <c r="AD5">
        <v>9045733047.4152145</v>
      </c>
      <c r="AE5" t="s">
        <v>84</v>
      </c>
      <c r="AF5" s="31"/>
      <c r="AG5">
        <v>18090000</v>
      </c>
      <c r="AH5" s="34">
        <f t="shared" si="0"/>
        <v>-150.16638935108153</v>
      </c>
      <c r="AI5" s="29">
        <f t="shared" si="1"/>
        <v>1.3175305430039657E-2</v>
      </c>
      <c r="AJ5" s="41">
        <v>137302319828.99506</v>
      </c>
      <c r="AK5" s="29"/>
      <c r="AL5" s="29"/>
    </row>
    <row r="6" spans="1:38" x14ac:dyDescent="0.25">
      <c r="A6" s="3" t="s">
        <v>40</v>
      </c>
      <c r="B6" s="3">
        <v>1979</v>
      </c>
      <c r="C6" s="28"/>
      <c r="D6">
        <v>253844253329.84518</v>
      </c>
      <c r="E6">
        <v>-5.2381827027895014</v>
      </c>
      <c r="F6">
        <v>378.21959279124701</v>
      </c>
      <c r="G6" s="36">
        <f t="shared" si="2"/>
        <v>-7.4164247108482142</v>
      </c>
      <c r="H6" s="30"/>
      <c r="I6">
        <v>50067110078.057487</v>
      </c>
      <c r="J6">
        <v>-6.4972686436732374E-2</v>
      </c>
      <c r="K6" s="31"/>
      <c r="L6" t="s">
        <v>84</v>
      </c>
      <c r="M6" t="s">
        <v>84</v>
      </c>
      <c r="N6" s="29"/>
      <c r="O6" s="29"/>
      <c r="P6" s="29"/>
      <c r="Q6" s="29"/>
      <c r="R6" s="29"/>
      <c r="S6" s="29"/>
      <c r="T6" s="32"/>
      <c r="U6">
        <v>17.852034489291022</v>
      </c>
      <c r="V6">
        <v>-3.2211818466920619</v>
      </c>
      <c r="W6">
        <v>33502600344.749012</v>
      </c>
      <c r="X6" t="s">
        <v>84</v>
      </c>
      <c r="Y6" t="s">
        <v>84</v>
      </c>
      <c r="Z6" t="s">
        <v>84</v>
      </c>
      <c r="AA6" s="30"/>
      <c r="AB6">
        <v>14.918804531376246</v>
      </c>
      <c r="AC6">
        <v>10326638765.756172</v>
      </c>
      <c r="AD6">
        <v>12498452242.391224</v>
      </c>
      <c r="AE6" t="s">
        <v>84</v>
      </c>
      <c r="AF6" s="31"/>
      <c r="AG6">
        <v>48570000</v>
      </c>
      <c r="AH6" s="34">
        <f t="shared" si="0"/>
        <v>168.49087893864015</v>
      </c>
      <c r="AI6" s="29">
        <f t="shared" si="1"/>
        <v>3.1746043677560655E-2</v>
      </c>
      <c r="AJ6" s="41">
        <v>152995442497.70932</v>
      </c>
      <c r="AK6" s="29"/>
      <c r="AL6" s="29"/>
    </row>
    <row r="7" spans="1:38" x14ac:dyDescent="0.25">
      <c r="A7" s="3" t="s">
        <v>40</v>
      </c>
      <c r="B7" s="3">
        <v>1980</v>
      </c>
      <c r="C7" s="28"/>
      <c r="D7">
        <v>270942749193.22394</v>
      </c>
      <c r="E7">
        <v>6.7358215279984961</v>
      </c>
      <c r="F7">
        <v>394.18223992101298</v>
      </c>
      <c r="G7" s="36">
        <f t="shared" si="2"/>
        <v>4.2204707090825746</v>
      </c>
      <c r="H7" s="30"/>
      <c r="I7">
        <v>51259917959.542053</v>
      </c>
      <c r="J7">
        <v>2.3824180777059212</v>
      </c>
      <c r="K7" s="31"/>
      <c r="L7" t="s">
        <v>84</v>
      </c>
      <c r="M7" t="s">
        <v>84</v>
      </c>
      <c r="N7" s="29"/>
      <c r="O7" s="29"/>
      <c r="P7" s="29"/>
      <c r="Q7" s="29"/>
      <c r="R7" s="29"/>
      <c r="S7" s="29"/>
      <c r="T7" s="32"/>
      <c r="U7">
        <v>16.75237579755089</v>
      </c>
      <c r="V7">
        <v>0.19442644199646963</v>
      </c>
      <c r="W7">
        <v>33567738258.575607</v>
      </c>
      <c r="X7" t="s">
        <v>84</v>
      </c>
      <c r="Y7" t="s">
        <v>84</v>
      </c>
      <c r="Z7" t="s">
        <v>84</v>
      </c>
      <c r="AA7" s="30"/>
      <c r="AB7">
        <v>15.384576848506088</v>
      </c>
      <c r="AC7">
        <v>11439738400.08119</v>
      </c>
      <c r="AD7">
        <v>17226125073.375107</v>
      </c>
      <c r="AE7" t="s">
        <v>84</v>
      </c>
      <c r="AF7" s="31"/>
      <c r="AG7">
        <v>79159999.900000006</v>
      </c>
      <c r="AH7" s="34">
        <f t="shared" si="0"/>
        <v>62.981263948939691</v>
      </c>
      <c r="AI7" s="29">
        <f t="shared" si="1"/>
        <v>4.2484089234464166E-2</v>
      </c>
      <c r="AJ7" s="41">
        <v>186328579302.06827</v>
      </c>
      <c r="AK7" s="29"/>
      <c r="AL7" s="29"/>
    </row>
    <row r="8" spans="1:38" x14ac:dyDescent="0.25">
      <c r="A8" s="3" t="s">
        <v>40</v>
      </c>
      <c r="B8" s="3">
        <v>1981</v>
      </c>
      <c r="C8" s="28"/>
      <c r="D8">
        <v>287216122413.73859</v>
      </c>
      <c r="E8">
        <v>6.0062036238176688</v>
      </c>
      <c r="F8">
        <v>408.15354979330726</v>
      </c>
      <c r="G8" s="36">
        <f t="shared" si="2"/>
        <v>3.5443783248818828</v>
      </c>
      <c r="H8" s="30"/>
      <c r="I8">
        <v>51195242722.651161</v>
      </c>
      <c r="J8">
        <v>-0.1261711673864454</v>
      </c>
      <c r="K8" s="31"/>
      <c r="L8" t="s">
        <v>84</v>
      </c>
      <c r="M8" t="s">
        <v>84</v>
      </c>
      <c r="N8" s="29"/>
      <c r="O8" s="29"/>
      <c r="P8" s="29"/>
      <c r="Q8" s="29"/>
      <c r="R8" s="29"/>
      <c r="S8" s="29"/>
      <c r="T8" s="32"/>
      <c r="U8">
        <v>16.770443752043775</v>
      </c>
      <c r="V8">
        <v>8.1696271797904672</v>
      </c>
      <c r="W8">
        <v>36310097326.98912</v>
      </c>
      <c r="X8" t="s">
        <v>84</v>
      </c>
      <c r="Y8" t="s">
        <v>84</v>
      </c>
      <c r="Z8" t="s">
        <v>84</v>
      </c>
      <c r="AA8" s="30"/>
      <c r="AB8">
        <v>14.507264761620434</v>
      </c>
      <c r="AC8">
        <v>11485699151.059452</v>
      </c>
      <c r="AD8">
        <v>16584605960.222254</v>
      </c>
      <c r="AE8" t="s">
        <v>84</v>
      </c>
      <c r="AF8" s="31"/>
      <c r="AG8">
        <v>91920000</v>
      </c>
      <c r="AH8" s="34">
        <f t="shared" si="0"/>
        <v>16.119252294238564</v>
      </c>
      <c r="AI8" s="29">
        <f t="shared" si="1"/>
        <v>4.7505995093448473E-2</v>
      </c>
      <c r="AJ8" s="41">
        <v>193491368445.57254</v>
      </c>
      <c r="AK8" s="29"/>
      <c r="AL8" s="29"/>
    </row>
    <row r="9" spans="1:38" x14ac:dyDescent="0.25">
      <c r="A9" s="3" t="s">
        <v>40</v>
      </c>
      <c r="B9" s="3">
        <v>1982</v>
      </c>
      <c r="C9" s="28"/>
      <c r="D9">
        <v>297198988652.00916</v>
      </c>
      <c r="E9">
        <v>3.4757332403123655</v>
      </c>
      <c r="F9">
        <v>412.59673710422067</v>
      </c>
      <c r="G9" s="36">
        <f t="shared" si="2"/>
        <v>1.0886068032884861</v>
      </c>
      <c r="H9" s="30"/>
      <c r="I9">
        <v>54085872663.774872</v>
      </c>
      <c r="J9">
        <v>5.6462862316790279</v>
      </c>
      <c r="K9" s="31"/>
      <c r="L9" t="s">
        <v>84</v>
      </c>
      <c r="M9" t="s">
        <v>84</v>
      </c>
      <c r="N9" s="29"/>
      <c r="O9" s="29"/>
      <c r="P9" s="29"/>
      <c r="Q9" s="29"/>
      <c r="R9" s="29"/>
      <c r="S9" s="29"/>
      <c r="T9" s="32"/>
      <c r="U9">
        <v>16.369995937370447</v>
      </c>
      <c r="V9">
        <v>3.2881527705993108</v>
      </c>
      <c r="W9">
        <v>37504028798.253815</v>
      </c>
      <c r="X9" t="s">
        <v>84</v>
      </c>
      <c r="Y9" t="s">
        <v>84</v>
      </c>
      <c r="Z9" t="s">
        <v>84</v>
      </c>
      <c r="AA9" s="30"/>
      <c r="AB9">
        <v>14.12592774954747</v>
      </c>
      <c r="AC9">
        <v>12009417676.703733</v>
      </c>
      <c r="AD9">
        <v>16343526468.962202</v>
      </c>
      <c r="AE9" t="s">
        <v>84</v>
      </c>
      <c r="AF9" s="31"/>
      <c r="AG9">
        <v>72079999.900000006</v>
      </c>
      <c r="AH9" s="34">
        <f t="shared" si="0"/>
        <v>-21.58398618363794</v>
      </c>
      <c r="AI9" s="29">
        <f t="shared" si="1"/>
        <v>3.5911504129648976E-2</v>
      </c>
      <c r="AJ9" s="41">
        <v>200715624830.9017</v>
      </c>
      <c r="AK9" s="29"/>
      <c r="AL9" s="29"/>
    </row>
    <row r="10" spans="1:38" x14ac:dyDescent="0.25">
      <c r="A10" s="3" t="s">
        <v>40</v>
      </c>
      <c r="B10" s="3">
        <v>1983</v>
      </c>
      <c r="C10" s="28"/>
      <c r="D10">
        <v>318861504638.43994</v>
      </c>
      <c r="E10">
        <v>7.288892901245859</v>
      </c>
      <c r="F10">
        <v>432.42923538475918</v>
      </c>
      <c r="G10" s="36">
        <f t="shared" si="2"/>
        <v>4.8067511196844217</v>
      </c>
      <c r="H10" s="30"/>
      <c r="I10">
        <v>58051099889.152153</v>
      </c>
      <c r="J10">
        <v>7.3313548068774566</v>
      </c>
      <c r="K10" s="31"/>
      <c r="L10" t="s">
        <v>84</v>
      </c>
      <c r="M10" t="s">
        <v>84</v>
      </c>
      <c r="N10" s="29"/>
      <c r="O10" s="29"/>
      <c r="P10" s="29"/>
      <c r="Q10" s="29"/>
      <c r="R10" s="29"/>
      <c r="S10" s="29"/>
      <c r="T10" s="32"/>
      <c r="U10">
        <v>16.664454692509604</v>
      </c>
      <c r="V10">
        <v>10.231988697374987</v>
      </c>
      <c r="W10">
        <v>41341436785.951401</v>
      </c>
      <c r="X10" t="s">
        <v>84</v>
      </c>
      <c r="Y10" t="s">
        <v>84</v>
      </c>
      <c r="Z10" t="s">
        <v>84</v>
      </c>
      <c r="AA10" s="30"/>
      <c r="AB10">
        <v>13.690593886880247</v>
      </c>
      <c r="AC10">
        <v>12741335281.076435</v>
      </c>
      <c r="AD10">
        <v>17140048793.136921</v>
      </c>
      <c r="AE10" t="s">
        <v>84</v>
      </c>
      <c r="AF10" s="31"/>
      <c r="AG10">
        <v>5639999.9000000004</v>
      </c>
      <c r="AH10" s="34">
        <f t="shared" si="0"/>
        <v>-92.175360838201115</v>
      </c>
      <c r="AI10" s="29">
        <f t="shared" si="1"/>
        <v>2.5840485822602559E-3</v>
      </c>
      <c r="AJ10" s="41">
        <v>218262146413.1575</v>
      </c>
      <c r="AK10" s="29"/>
      <c r="AL10" s="29"/>
    </row>
    <row r="11" spans="1:38" x14ac:dyDescent="0.25">
      <c r="A11" s="3" t="s">
        <v>40</v>
      </c>
      <c r="B11" s="3">
        <v>1984</v>
      </c>
      <c r="C11" s="28"/>
      <c r="D11">
        <v>331044366854.28754</v>
      </c>
      <c r="E11">
        <v>3.8207378559735048</v>
      </c>
      <c r="F11">
        <v>438.54170551291509</v>
      </c>
      <c r="G11" s="36">
        <f t="shared" si="2"/>
        <v>1.4135191675274363</v>
      </c>
      <c r="H11" s="30"/>
      <c r="I11">
        <v>59018585878.501671</v>
      </c>
      <c r="J11">
        <v>1.6666109534477727</v>
      </c>
      <c r="K11" s="31"/>
      <c r="L11" t="s">
        <v>84</v>
      </c>
      <c r="M11" t="s">
        <v>84</v>
      </c>
      <c r="N11" s="29"/>
      <c r="O11" s="29"/>
      <c r="P11" s="29"/>
      <c r="Q11" s="29"/>
      <c r="R11" s="29"/>
      <c r="S11" s="29"/>
      <c r="T11" s="32"/>
      <c r="U11">
        <v>16.707803600320943</v>
      </c>
      <c r="V11">
        <v>4.2079710127929388</v>
      </c>
      <c r="W11">
        <v>43081072462.176353</v>
      </c>
      <c r="X11" t="s">
        <v>84</v>
      </c>
      <c r="Y11" t="s">
        <v>84</v>
      </c>
      <c r="Z11" t="s">
        <v>84</v>
      </c>
      <c r="AA11" s="30"/>
      <c r="AB11">
        <v>14.009375944128916</v>
      </c>
      <c r="AC11">
        <v>13330716432.206964</v>
      </c>
      <c r="AD11">
        <v>16391245674.941341</v>
      </c>
      <c r="AE11" t="s">
        <v>84</v>
      </c>
      <c r="AF11" s="31"/>
      <c r="AG11">
        <v>19239999.899999999</v>
      </c>
      <c r="AH11" s="34">
        <f t="shared" si="0"/>
        <v>241.13475604848853</v>
      </c>
      <c r="AI11" s="29">
        <f t="shared" si="1"/>
        <v>9.0687280601598197E-3</v>
      </c>
      <c r="AJ11" s="41">
        <v>212157645177.65161</v>
      </c>
      <c r="AK11" s="29"/>
      <c r="AL11" s="29"/>
    </row>
    <row r="12" spans="1:38" x14ac:dyDescent="0.25">
      <c r="A12" s="3" t="s">
        <v>40</v>
      </c>
      <c r="B12" s="3">
        <v>1985</v>
      </c>
      <c r="C12" s="28"/>
      <c r="D12">
        <v>348438428450.72021</v>
      </c>
      <c r="E12">
        <v>5.254299223308891</v>
      </c>
      <c r="F12">
        <v>450.96670385586697</v>
      </c>
      <c r="G12" s="36">
        <f t="shared" si="2"/>
        <v>2.8332535279443252</v>
      </c>
      <c r="H12" s="30"/>
      <c r="I12">
        <v>61736925084.92981</v>
      </c>
      <c r="J12">
        <v>4.6059036589325189</v>
      </c>
      <c r="K12" s="31"/>
      <c r="L12" t="s">
        <v>84</v>
      </c>
      <c r="M12" t="s">
        <v>84</v>
      </c>
      <c r="N12" s="29"/>
      <c r="O12" s="29"/>
      <c r="P12" s="29"/>
      <c r="Q12" s="29"/>
      <c r="R12" s="29"/>
      <c r="S12" s="29"/>
      <c r="T12" s="32"/>
      <c r="U12">
        <v>16.418012862666259</v>
      </c>
      <c r="V12">
        <v>3.1874897641194053</v>
      </c>
      <c r="W12">
        <v>44454277237.181084</v>
      </c>
      <c r="X12" t="s">
        <v>84</v>
      </c>
      <c r="Y12" t="s">
        <v>84</v>
      </c>
      <c r="Z12" t="s">
        <v>84</v>
      </c>
      <c r="AA12" s="30"/>
      <c r="AB12">
        <v>12.900036194148711</v>
      </c>
      <c r="AC12">
        <v>12217447521.809546</v>
      </c>
      <c r="AD12">
        <v>17776627208.176365</v>
      </c>
      <c r="AE12" t="s">
        <v>84</v>
      </c>
      <c r="AF12" s="31"/>
      <c r="AG12">
        <v>106090000</v>
      </c>
      <c r="AH12" s="34">
        <f t="shared" si="0"/>
        <v>451.40332926924805</v>
      </c>
      <c r="AI12" s="29">
        <f t="shared" si="1"/>
        <v>4.562783990362751E-2</v>
      </c>
      <c r="AJ12" s="41">
        <v>232511554840.37195</v>
      </c>
      <c r="AK12" s="29"/>
      <c r="AL12" s="29"/>
    </row>
    <row r="13" spans="1:38" x14ac:dyDescent="0.25">
      <c r="A13" s="3" t="s">
        <v>40</v>
      </c>
      <c r="B13" s="3">
        <v>1986</v>
      </c>
      <c r="C13" s="28"/>
      <c r="D13">
        <v>365081813580.3139</v>
      </c>
      <c r="E13">
        <v>4.7765641704894648</v>
      </c>
      <c r="F13">
        <v>461.72561147640334</v>
      </c>
      <c r="G13" s="36">
        <f t="shared" si="2"/>
        <v>2.3857432330469837</v>
      </c>
      <c r="H13" s="30"/>
      <c r="I13">
        <v>67620333950.296837</v>
      </c>
      <c r="J13">
        <v>9.5298054726136456</v>
      </c>
      <c r="K13" s="31"/>
      <c r="L13" t="s">
        <v>84</v>
      </c>
      <c r="M13" t="s">
        <v>84</v>
      </c>
      <c r="N13" s="29"/>
      <c r="O13" s="29"/>
      <c r="P13" s="29"/>
      <c r="Q13" s="29"/>
      <c r="R13" s="29"/>
      <c r="S13" s="29"/>
      <c r="T13" s="32"/>
      <c r="U13">
        <v>16.221583809613467</v>
      </c>
      <c r="V13">
        <v>5.4942395120692424</v>
      </c>
      <c r="W13">
        <v>46896701701.951088</v>
      </c>
      <c r="X13" t="s">
        <v>84</v>
      </c>
      <c r="Y13" t="s">
        <v>84</v>
      </c>
      <c r="Z13" t="s">
        <v>84</v>
      </c>
      <c r="AA13" s="30"/>
      <c r="AB13">
        <v>12.219271899372565</v>
      </c>
      <c r="AC13">
        <v>12937864153.599499</v>
      </c>
      <c r="AD13">
        <v>17486411449.575726</v>
      </c>
      <c r="AE13" t="s">
        <v>84</v>
      </c>
      <c r="AF13" s="31"/>
      <c r="AG13">
        <v>117730000</v>
      </c>
      <c r="AH13" s="34">
        <f t="shared" si="0"/>
        <v>10.971816382316902</v>
      </c>
      <c r="AI13" s="29">
        <f t="shared" si="1"/>
        <v>4.7283784155669278E-2</v>
      </c>
      <c r="AJ13" s="41">
        <v>248985994040.58969</v>
      </c>
      <c r="AK13" s="29"/>
      <c r="AL13" s="29"/>
    </row>
    <row r="14" spans="1:38" x14ac:dyDescent="0.25">
      <c r="A14" s="3" t="s">
        <v>40</v>
      </c>
      <c r="B14" s="3">
        <v>1987</v>
      </c>
      <c r="C14" s="28"/>
      <c r="D14">
        <v>379558605843.48621</v>
      </c>
      <c r="E14">
        <v>3.9653556339057587</v>
      </c>
      <c r="F14">
        <v>469.20995629639367</v>
      </c>
      <c r="G14" s="36">
        <f t="shared" si="2"/>
        <v>1.6209507625229096</v>
      </c>
      <c r="H14" s="30"/>
      <c r="I14">
        <v>75089849878.027985</v>
      </c>
      <c r="J14">
        <v>11.046257081814304</v>
      </c>
      <c r="K14" s="31"/>
      <c r="L14" t="s">
        <v>84</v>
      </c>
      <c r="M14" t="s">
        <v>84</v>
      </c>
      <c r="N14" s="29"/>
      <c r="O14" s="29"/>
      <c r="P14" s="29"/>
      <c r="Q14" s="29"/>
      <c r="R14" s="29"/>
      <c r="S14" s="29"/>
      <c r="T14" s="32"/>
      <c r="U14">
        <v>16.209549353889148</v>
      </c>
      <c r="V14">
        <v>5.6000217184412548</v>
      </c>
      <c r="W14">
        <v>49522927182.492958</v>
      </c>
      <c r="X14" t="s">
        <v>84</v>
      </c>
      <c r="Y14" t="s">
        <v>84</v>
      </c>
      <c r="Z14" t="s">
        <v>84</v>
      </c>
      <c r="AA14" s="30"/>
      <c r="AB14">
        <v>12.584814035675782</v>
      </c>
      <c r="AC14">
        <v>15638662913.983883</v>
      </c>
      <c r="AD14">
        <v>19477194741.103443</v>
      </c>
      <c r="AE14" t="s">
        <v>84</v>
      </c>
      <c r="AF14" s="31"/>
      <c r="AG14">
        <v>212319999.90000001</v>
      </c>
      <c r="AH14" s="34">
        <f t="shared" si="0"/>
        <v>80.344856790962368</v>
      </c>
      <c r="AI14" s="29">
        <f t="shared" si="1"/>
        <v>7.6091199054313857E-2</v>
      </c>
      <c r="AJ14" s="41">
        <v>279033584092.22345</v>
      </c>
      <c r="AK14" s="29"/>
      <c r="AL14" s="29"/>
    </row>
    <row r="15" spans="1:38" x14ac:dyDescent="0.25">
      <c r="A15" s="3" t="s">
        <v>40</v>
      </c>
      <c r="B15" s="3">
        <v>1988</v>
      </c>
      <c r="C15" s="28"/>
      <c r="D15">
        <v>416101684467.69983</v>
      </c>
      <c r="E15">
        <v>9.6277829198483431</v>
      </c>
      <c r="F15">
        <v>502.93734218706538</v>
      </c>
      <c r="G15" s="36">
        <f t="shared" si="2"/>
        <v>7.1881223827583423</v>
      </c>
      <c r="H15" s="30"/>
      <c r="I15">
        <v>77689724127.833176</v>
      </c>
      <c r="J15">
        <v>3.4623511087427801</v>
      </c>
      <c r="K15" s="31"/>
      <c r="L15" t="s">
        <v>84</v>
      </c>
      <c r="M15" t="s">
        <v>84</v>
      </c>
      <c r="N15" s="29"/>
      <c r="O15" s="29"/>
      <c r="P15" s="29"/>
      <c r="Q15" s="29"/>
      <c r="R15" s="29"/>
      <c r="S15" s="29"/>
      <c r="T15" s="32"/>
      <c r="U15">
        <v>16.101534849260798</v>
      </c>
      <c r="V15">
        <v>8.4963123976081363</v>
      </c>
      <c r="W15">
        <v>53730549784.357552</v>
      </c>
      <c r="X15" t="s">
        <v>84</v>
      </c>
      <c r="Y15" t="s">
        <v>84</v>
      </c>
      <c r="Z15" t="s">
        <v>84</v>
      </c>
      <c r="AA15" s="30"/>
      <c r="AB15">
        <v>13.4904501163017</v>
      </c>
      <c r="AC15">
        <v>17899838408.937637</v>
      </c>
      <c r="AD15">
        <v>22111443193.381458</v>
      </c>
      <c r="AE15" t="s">
        <v>84</v>
      </c>
      <c r="AF15" s="31"/>
      <c r="AG15">
        <v>91250000</v>
      </c>
      <c r="AH15" s="34">
        <f t="shared" si="0"/>
        <v>-57.022418969961578</v>
      </c>
      <c r="AI15" s="29">
        <f t="shared" si="1"/>
        <v>3.0766411967198273E-2</v>
      </c>
      <c r="AJ15" s="41">
        <v>296589670895.93201</v>
      </c>
      <c r="AK15" s="29"/>
      <c r="AL15" s="29"/>
    </row>
    <row r="16" spans="1:38" x14ac:dyDescent="0.25">
      <c r="A16" s="3" t="s">
        <v>40</v>
      </c>
      <c r="B16" s="3">
        <v>1989</v>
      </c>
      <c r="C16" s="28"/>
      <c r="D16">
        <v>440848680237.68799</v>
      </c>
      <c r="E16">
        <v>5.9473433282650348</v>
      </c>
      <c r="F16">
        <v>521.07338383912315</v>
      </c>
      <c r="G16" s="36">
        <f t="shared" si="2"/>
        <v>3.6060240771129988</v>
      </c>
      <c r="H16" s="30"/>
      <c r="I16">
        <v>84471021509.695297</v>
      </c>
      <c r="J16">
        <v>8.7286928329208138</v>
      </c>
      <c r="K16" s="31"/>
      <c r="L16" t="s">
        <v>84</v>
      </c>
      <c r="M16" t="s">
        <v>84</v>
      </c>
      <c r="N16" s="29"/>
      <c r="O16" s="29"/>
      <c r="P16" s="29"/>
      <c r="Q16" s="29"/>
      <c r="R16" s="29"/>
      <c r="S16" s="29"/>
      <c r="T16" s="32"/>
      <c r="U16">
        <v>16.902845896566927</v>
      </c>
      <c r="V16">
        <v>8.8394172527327868</v>
      </c>
      <c r="W16">
        <v>58480017271.984222</v>
      </c>
      <c r="X16" t="s">
        <v>84</v>
      </c>
      <c r="Y16" t="s">
        <v>84</v>
      </c>
      <c r="Z16" t="s">
        <v>84</v>
      </c>
      <c r="AA16" s="30"/>
      <c r="AB16">
        <v>15.168132090669529</v>
      </c>
      <c r="AC16">
        <v>20770696112.094662</v>
      </c>
      <c r="AD16">
        <v>24133353522.481159</v>
      </c>
      <c r="AE16" t="s">
        <v>84</v>
      </c>
      <c r="AF16" s="31"/>
      <c r="AG16">
        <v>252099999.90000001</v>
      </c>
      <c r="AH16" s="34">
        <f t="shared" si="0"/>
        <v>176.27397249315069</v>
      </c>
      <c r="AI16" s="29">
        <f t="shared" si="1"/>
        <v>8.5156820591000951E-2</v>
      </c>
      <c r="AJ16" s="41">
        <v>296042052944.65979</v>
      </c>
      <c r="AK16" s="29"/>
      <c r="AL16" s="29"/>
    </row>
    <row r="17" spans="1:38" x14ac:dyDescent="0.25">
      <c r="A17" s="3" t="s">
        <v>40</v>
      </c>
      <c r="B17" s="3">
        <v>1990</v>
      </c>
      <c r="C17" s="28"/>
      <c r="D17">
        <v>465242841650.51196</v>
      </c>
      <c r="E17">
        <v>5.5334545630649501</v>
      </c>
      <c r="F17">
        <v>537.87026953610336</v>
      </c>
      <c r="G17" s="36">
        <f t="shared" si="2"/>
        <v>3.2235163449004913</v>
      </c>
      <c r="H17" s="30"/>
      <c r="I17">
        <v>98391571850.762756</v>
      </c>
      <c r="J17">
        <v>16.479675623988641</v>
      </c>
      <c r="K17" s="31"/>
      <c r="L17">
        <v>307898649</v>
      </c>
      <c r="M17" t="s">
        <v>84</v>
      </c>
      <c r="N17" s="29"/>
      <c r="O17" s="29"/>
      <c r="P17" s="29"/>
      <c r="Q17" s="29"/>
      <c r="R17" s="29"/>
      <c r="S17" s="29"/>
      <c r="T17" s="32"/>
      <c r="U17">
        <v>16.597596442222041</v>
      </c>
      <c r="V17">
        <v>4.7735455140267078</v>
      </c>
      <c r="W17">
        <v>61271587513.073074</v>
      </c>
      <c r="X17" t="s">
        <v>84</v>
      </c>
      <c r="Y17" t="s">
        <v>84</v>
      </c>
      <c r="Z17" t="s">
        <v>84</v>
      </c>
      <c r="AA17" s="30"/>
      <c r="AB17">
        <v>15.506261510196545</v>
      </c>
      <c r="AC17">
        <v>22639774911.552498</v>
      </c>
      <c r="AD17">
        <v>27132072318.021008</v>
      </c>
      <c r="AE17">
        <v>56.36</v>
      </c>
      <c r="AF17" s="31"/>
      <c r="AG17">
        <v>236690000</v>
      </c>
      <c r="AH17" s="34">
        <f t="shared" si="0"/>
        <v>-6.1126536716035931</v>
      </c>
      <c r="AI17" s="29">
        <f t="shared" si="1"/>
        <v>7.3740020536502596E-2</v>
      </c>
      <c r="AJ17" s="41">
        <v>320979026420.0351</v>
      </c>
      <c r="AK17" s="29"/>
      <c r="AL17" s="29"/>
    </row>
    <row r="18" spans="1:38" x14ac:dyDescent="0.25">
      <c r="A18" s="3" t="s">
        <v>40</v>
      </c>
      <c r="B18" s="3">
        <v>1991</v>
      </c>
      <c r="C18" s="28"/>
      <c r="D18">
        <v>470159674240.6792</v>
      </c>
      <c r="E18">
        <v>1.0568314329617863</v>
      </c>
      <c r="F18">
        <v>531.89839783335105</v>
      </c>
      <c r="G18" s="36">
        <f t="shared" si="2"/>
        <v>-1.1102810549285178</v>
      </c>
      <c r="H18" s="30"/>
      <c r="I18">
        <v>90811846850.840912</v>
      </c>
      <c r="J18">
        <v>-7.7036323918257352</v>
      </c>
      <c r="K18" s="31"/>
      <c r="L18">
        <v>315875620</v>
      </c>
      <c r="M18">
        <v>7.641</v>
      </c>
      <c r="N18" s="36">
        <f>100-M18</f>
        <v>92.358999999999995</v>
      </c>
      <c r="O18" s="36">
        <f>N18*(L18/100)</f>
        <v>291739563.87580001</v>
      </c>
      <c r="P18" s="34">
        <f>D18/O18</f>
        <v>1611.573240168538</v>
      </c>
      <c r="Q18" s="29"/>
      <c r="R18" s="35">
        <f>I18/O18</f>
        <v>311.27710497812882</v>
      </c>
      <c r="S18" s="29"/>
      <c r="T18" s="32"/>
      <c r="U18">
        <v>15.676260160512731</v>
      </c>
      <c r="V18">
        <v>-2.3984638002645369</v>
      </c>
      <c r="W18">
        <v>59802010666.724609</v>
      </c>
      <c r="X18">
        <v>63.128319537359097</v>
      </c>
      <c r="Y18">
        <v>14.584937300157501</v>
      </c>
      <c r="Z18">
        <v>22.286736307130901</v>
      </c>
      <c r="AA18" s="30"/>
      <c r="AB18">
        <v>16.987726551135058</v>
      </c>
      <c r="AC18">
        <v>22943398073.299454</v>
      </c>
      <c r="AD18">
        <v>22941358805.152008</v>
      </c>
      <c r="AE18" t="s">
        <v>84</v>
      </c>
      <c r="AF18" s="31"/>
      <c r="AG18">
        <v>73537638.388532996</v>
      </c>
      <c r="AH18" s="34">
        <f t="shared" si="0"/>
        <v>-68.930821585815622</v>
      </c>
      <c r="AI18" s="29">
        <f t="shared" si="1"/>
        <v>2.7225540182546359E-2</v>
      </c>
      <c r="AJ18" s="41">
        <v>270105341879.22638</v>
      </c>
      <c r="AK18" s="29"/>
      <c r="AL18" s="29"/>
    </row>
    <row r="19" spans="1:38" x14ac:dyDescent="0.25">
      <c r="A19" s="3" t="s">
        <v>40</v>
      </c>
      <c r="B19" s="3">
        <v>1992</v>
      </c>
      <c r="C19" s="28"/>
      <c r="D19">
        <v>495935689516.74695</v>
      </c>
      <c r="E19">
        <v>5.4823960216700272</v>
      </c>
      <c r="F19">
        <v>549.23506996489539</v>
      </c>
      <c r="G19" s="36">
        <f t="shared" si="2"/>
        <v>3.2593954413406756</v>
      </c>
      <c r="H19" s="30"/>
      <c r="I19">
        <v>100437906942.16129</v>
      </c>
      <c r="J19">
        <v>10.60000476273899</v>
      </c>
      <c r="K19" s="31"/>
      <c r="L19">
        <v>324021661</v>
      </c>
      <c r="M19">
        <v>7.649</v>
      </c>
      <c r="N19" s="36">
        <f t="shared" ref="N19:N26" si="3">100-M19</f>
        <v>92.350999999999999</v>
      </c>
      <c r="O19" s="36">
        <f t="shared" ref="O19:O52" si="4">N19*(L19/100)</f>
        <v>299237244.15011001</v>
      </c>
      <c r="P19" s="34">
        <f t="shared" ref="P19:P26" si="5">D19/O19</f>
        <v>1657.3327659305828</v>
      </c>
      <c r="Q19" s="34">
        <f t="shared" ref="Q19:Q27" si="6">((P19-P18)/P18)*100</f>
        <v>2.8394319675635304</v>
      </c>
      <c r="R19" s="35">
        <f>I19/O19</f>
        <v>335.64641068468535</v>
      </c>
      <c r="S19" s="34">
        <f>((R19-R18)/R18)*100</f>
        <v>7.8288140428024038</v>
      </c>
      <c r="T19" s="32"/>
      <c r="U19">
        <v>15.800799817080746</v>
      </c>
      <c r="V19">
        <v>3.0901834659496927</v>
      </c>
      <c r="W19">
        <v>61650002512.653206</v>
      </c>
      <c r="X19">
        <v>62.898333636700102</v>
      </c>
      <c r="Y19">
        <v>14.6628055390629</v>
      </c>
      <c r="Z19">
        <v>22.4388544747388</v>
      </c>
      <c r="AA19" s="30"/>
      <c r="AB19">
        <v>18.433099041828044</v>
      </c>
      <c r="AC19">
        <v>25486029046.697491</v>
      </c>
      <c r="AD19">
        <v>27639649994.189995</v>
      </c>
      <c r="AE19">
        <v>27.01</v>
      </c>
      <c r="AF19" s="31"/>
      <c r="AG19">
        <v>276512438.97389299</v>
      </c>
      <c r="AH19" s="34">
        <f t="shared" si="0"/>
        <v>276.01484767970277</v>
      </c>
      <c r="AI19" s="29">
        <f t="shared" si="1"/>
        <v>9.5941948713359065E-2</v>
      </c>
      <c r="AJ19" s="41">
        <v>288208070278.01288</v>
      </c>
      <c r="AK19" s="29"/>
      <c r="AL19" s="29"/>
    </row>
    <row r="20" spans="1:38" x14ac:dyDescent="0.25">
      <c r="A20" s="3" t="s">
        <v>40</v>
      </c>
      <c r="B20" s="3">
        <v>1993</v>
      </c>
      <c r="C20" s="33"/>
      <c r="D20">
        <v>519496484318.7182</v>
      </c>
      <c r="E20">
        <v>4.7507762195799046</v>
      </c>
      <c r="F20">
        <v>563.37287233674715</v>
      </c>
      <c r="G20" s="36">
        <f t="shared" si="2"/>
        <v>2.5740895192208657</v>
      </c>
      <c r="H20" s="30"/>
      <c r="I20">
        <v>99608127916.484512</v>
      </c>
      <c r="J20">
        <v>-0.82616120839178109</v>
      </c>
      <c r="K20" s="31"/>
      <c r="L20">
        <v>332338730</v>
      </c>
      <c r="M20">
        <v>7.6619999999999999</v>
      </c>
      <c r="N20" s="36">
        <f t="shared" si="3"/>
        <v>92.337999999999994</v>
      </c>
      <c r="O20" s="36">
        <f t="shared" si="4"/>
        <v>306874936.50739998</v>
      </c>
      <c r="P20" s="34">
        <f t="shared" si="5"/>
        <v>1692.8605842862344</v>
      </c>
      <c r="Q20" s="34">
        <f t="shared" si="6"/>
        <v>2.1436744078189327</v>
      </c>
      <c r="R20" s="35">
        <f t="shared" ref="R20:R26" si="7">I20/O20</f>
        <v>324.58867136607154</v>
      </c>
      <c r="S20" s="34">
        <f>((R20-R19)/R19)*100</f>
        <v>-3.2944607678232347</v>
      </c>
      <c r="T20" s="32"/>
      <c r="U20">
        <v>15.915712107843891</v>
      </c>
      <c r="V20">
        <v>8.5913410736169169</v>
      </c>
      <c r="W20">
        <v>66946564500.408646</v>
      </c>
      <c r="X20">
        <v>62.6630638065269</v>
      </c>
      <c r="Y20">
        <v>14.7602607112643</v>
      </c>
      <c r="Z20">
        <v>22.576675808073102</v>
      </c>
      <c r="AA20" s="30"/>
      <c r="AB20">
        <v>19.651539786468376</v>
      </c>
      <c r="AC20">
        <v>27466541462.913521</v>
      </c>
      <c r="AD20">
        <v>27419354118.763275</v>
      </c>
      <c r="AE20" t="s">
        <v>84</v>
      </c>
      <c r="AF20" s="31"/>
      <c r="AG20">
        <v>550370024.92938304</v>
      </c>
      <c r="AH20" s="34">
        <f t="shared" si="0"/>
        <v>99.039879352894644</v>
      </c>
      <c r="AI20" s="29">
        <f t="shared" si="1"/>
        <v>0.19705642638343079</v>
      </c>
      <c r="AJ20" s="41">
        <v>279295648982.52924</v>
      </c>
    </row>
    <row r="21" spans="1:38" x14ac:dyDescent="0.25">
      <c r="A21" s="3" t="s">
        <v>40</v>
      </c>
      <c r="B21" s="11">
        <v>1994</v>
      </c>
      <c r="C21" s="33"/>
      <c r="D21">
        <v>554089360742.69373</v>
      </c>
      <c r="E21">
        <v>6.6589240674730661</v>
      </c>
      <c r="F21">
        <v>588.72789218063224</v>
      </c>
      <c r="G21" s="36">
        <f t="shared" si="2"/>
        <v>4.5005752120647955</v>
      </c>
      <c r="H21" s="30"/>
      <c r="I21">
        <v>105344556778.80779</v>
      </c>
      <c r="J21">
        <v>5.758996762927751</v>
      </c>
      <c r="K21" s="31"/>
      <c r="L21">
        <v>340802039</v>
      </c>
      <c r="M21">
        <v>7.593</v>
      </c>
      <c r="N21" s="36">
        <f t="shared" si="3"/>
        <v>92.406999999999996</v>
      </c>
      <c r="O21" s="36">
        <f t="shared" si="4"/>
        <v>314924940.17873001</v>
      </c>
      <c r="P21" s="34">
        <f t="shared" si="5"/>
        <v>1759.4330903999862</v>
      </c>
      <c r="Q21" s="34">
        <f t="shared" si="6"/>
        <v>3.9325451092489692</v>
      </c>
      <c r="R21" s="35">
        <f t="shared" si="7"/>
        <v>334.50687239639188</v>
      </c>
      <c r="S21" s="34">
        <f t="shared" ref="S21:S27" si="8">((R21-R20)/R20)*100</f>
        <v>3.0556214388439291</v>
      </c>
      <c r="T21" s="32"/>
      <c r="U21">
        <v>16.764138131311991</v>
      </c>
      <c r="V21">
        <v>10.821183243712213</v>
      </c>
      <c r="W21">
        <v>74190974920.367859</v>
      </c>
      <c r="X21">
        <v>62.371240378322298</v>
      </c>
      <c r="Y21">
        <v>14.851350268644399</v>
      </c>
      <c r="Z21">
        <v>22.777409353033299</v>
      </c>
      <c r="AA21" s="30"/>
      <c r="AB21">
        <v>20.078144376925462</v>
      </c>
      <c r="AC21">
        <v>32361214431.432091</v>
      </c>
      <c r="AD21">
        <v>33349501147.708862</v>
      </c>
      <c r="AE21" t="s">
        <v>84</v>
      </c>
      <c r="AF21" s="31"/>
      <c r="AG21">
        <v>973271468.72287297</v>
      </c>
      <c r="AH21" s="34">
        <f t="shared" si="0"/>
        <v>76.839476104780886</v>
      </c>
      <c r="AI21" s="29">
        <f t="shared" si="1"/>
        <v>0.29738658139287311</v>
      </c>
      <c r="AJ21" s="41">
        <v>327274843459.42902</v>
      </c>
    </row>
    <row r="22" spans="1:38" x14ac:dyDescent="0.25">
      <c r="A22" s="3" t="s">
        <v>40</v>
      </c>
      <c r="B22" s="11">
        <v>1995</v>
      </c>
      <c r="C22" s="33"/>
      <c r="D22">
        <v>596058814159.96411</v>
      </c>
      <c r="E22">
        <v>7.5744918402719463</v>
      </c>
      <c r="F22">
        <v>620.69995433636552</v>
      </c>
      <c r="G22" s="36">
        <f t="shared" si="2"/>
        <v>5.4307028052144135</v>
      </c>
      <c r="H22" s="30"/>
      <c r="I22">
        <v>118112446079.14948</v>
      </c>
      <c r="J22">
        <v>12.120122473105525</v>
      </c>
      <c r="K22" s="31"/>
      <c r="L22">
        <v>351330547</v>
      </c>
      <c r="M22">
        <v>7.57</v>
      </c>
      <c r="N22" s="36">
        <f t="shared" si="3"/>
        <v>92.43</v>
      </c>
      <c r="O22" s="36">
        <f t="shared" si="4"/>
        <v>324734824.59210002</v>
      </c>
      <c r="P22" s="34">
        <f t="shared" si="5"/>
        <v>1835.5247698138769</v>
      </c>
      <c r="Q22" s="34">
        <f t="shared" si="6"/>
        <v>4.3247839221093738</v>
      </c>
      <c r="R22" s="35">
        <f t="shared" si="7"/>
        <v>363.71967874868585</v>
      </c>
      <c r="S22" s="34">
        <f t="shared" si="8"/>
        <v>8.7330960177334376</v>
      </c>
      <c r="T22" s="32"/>
      <c r="U22">
        <v>17.865850596855431</v>
      </c>
      <c r="V22">
        <v>15.461462926030748</v>
      </c>
      <c r="W22">
        <v>85661985002.141296</v>
      </c>
      <c r="X22">
        <v>61.974428476754099</v>
      </c>
      <c r="Y22">
        <v>15.000483006233299</v>
      </c>
      <c r="Z22">
        <v>23.025088517012598</v>
      </c>
      <c r="AA22" s="30"/>
      <c r="AB22">
        <v>22.867448706249899</v>
      </c>
      <c r="AC22">
        <v>39068855117.851768</v>
      </c>
      <c r="AD22">
        <v>43318425767.770706</v>
      </c>
      <c r="AE22" t="s">
        <v>84</v>
      </c>
      <c r="AF22" s="31"/>
      <c r="AG22">
        <v>2143628110.28391</v>
      </c>
      <c r="AH22" s="34">
        <f t="shared" si="0"/>
        <v>120.24976372694654</v>
      </c>
      <c r="AI22" s="29">
        <f t="shared" si="1"/>
        <v>0.59498632956761577</v>
      </c>
      <c r="AJ22" s="41">
        <v>360281909643.48914</v>
      </c>
    </row>
    <row r="23" spans="1:38" x14ac:dyDescent="0.25">
      <c r="A23" s="3" t="s">
        <v>40</v>
      </c>
      <c r="B23" s="11">
        <v>1996</v>
      </c>
      <c r="C23" s="33"/>
      <c r="D23">
        <v>641058406951.4303</v>
      </c>
      <c r="E23">
        <v>7.5495222488882945</v>
      </c>
      <c r="F23">
        <v>654.35592843405186</v>
      </c>
      <c r="G23" s="36">
        <f t="shared" si="2"/>
        <v>5.4222614102928901</v>
      </c>
      <c r="H23" s="30"/>
      <c r="I23">
        <v>123667339707.96796</v>
      </c>
      <c r="J23">
        <v>4.7030552775920285</v>
      </c>
      <c r="K23" s="31"/>
      <c r="L23">
        <v>362330724</v>
      </c>
      <c r="M23">
        <v>7.5369999999999999</v>
      </c>
      <c r="N23" s="36">
        <f t="shared" si="3"/>
        <v>92.462999999999994</v>
      </c>
      <c r="O23" s="36">
        <f t="shared" si="4"/>
        <v>335021857.33212</v>
      </c>
      <c r="P23" s="34">
        <f t="shared" si="5"/>
        <v>1913.4823383058394</v>
      </c>
      <c r="Q23" s="34">
        <f t="shared" si="6"/>
        <v>4.2471542620406852</v>
      </c>
      <c r="R23" s="35">
        <f t="shared" si="7"/>
        <v>369.13215362355237</v>
      </c>
      <c r="S23" s="34">
        <f t="shared" si="8"/>
        <v>1.4880896446096055</v>
      </c>
      <c r="T23" s="32"/>
      <c r="U23">
        <v>17.596340800641393</v>
      </c>
      <c r="V23">
        <v>9.5012767788913948</v>
      </c>
      <c r="W23">
        <v>93800967291.487167</v>
      </c>
      <c r="X23">
        <v>61.513380855523799</v>
      </c>
      <c r="Y23">
        <v>15.2712590554772</v>
      </c>
      <c r="Z23">
        <v>23.215360088998899</v>
      </c>
      <c r="AA23" s="30"/>
      <c r="AB23">
        <v>21.929487871386652</v>
      </c>
      <c r="AC23">
        <v>40803004618.175407</v>
      </c>
      <c r="AD23">
        <v>45357266003.202126</v>
      </c>
      <c r="AE23">
        <v>23.72</v>
      </c>
      <c r="AF23" s="31"/>
      <c r="AG23">
        <v>2426057021.9109201</v>
      </c>
      <c r="AH23" s="34">
        <f t="shared" si="0"/>
        <v>13.175275612037209</v>
      </c>
      <c r="AI23" s="29">
        <f t="shared" si="1"/>
        <v>0.61747935160370482</v>
      </c>
      <c r="AJ23" s="41">
        <v>392896866204.51581</v>
      </c>
    </row>
    <row r="24" spans="1:38" x14ac:dyDescent="0.25">
      <c r="A24" s="3" t="s">
        <v>40</v>
      </c>
      <c r="B24" s="11">
        <v>1997</v>
      </c>
      <c r="C24" s="33"/>
      <c r="D24">
        <v>667020123970.57581</v>
      </c>
      <c r="E24">
        <v>4.049820849024826</v>
      </c>
      <c r="F24">
        <v>667.59842309339933</v>
      </c>
      <c r="G24" s="36">
        <f t="shared" si="2"/>
        <v>2.0237448892742926</v>
      </c>
      <c r="H24" s="30"/>
      <c r="I24">
        <v>134919118619.39548</v>
      </c>
      <c r="J24">
        <v>9.0984239961802587</v>
      </c>
      <c r="K24" s="31"/>
      <c r="L24">
        <v>373673862</v>
      </c>
      <c r="M24">
        <v>7.5739999999999998</v>
      </c>
      <c r="N24" s="36">
        <f t="shared" si="3"/>
        <v>92.426000000000002</v>
      </c>
      <c r="O24" s="36">
        <f t="shared" si="4"/>
        <v>345371803.69212002</v>
      </c>
      <c r="P24" s="34">
        <f t="shared" si="5"/>
        <v>1931.3103062842606</v>
      </c>
      <c r="Q24" s="34">
        <f t="shared" si="6"/>
        <v>0.93170277151372605</v>
      </c>
      <c r="R24" s="35">
        <f t="shared" si="7"/>
        <v>390.64890989094312</v>
      </c>
      <c r="S24" s="34">
        <f t="shared" si="8"/>
        <v>5.8290116577961193</v>
      </c>
      <c r="T24" s="32"/>
      <c r="U24">
        <v>16.518578530433338</v>
      </c>
      <c r="V24">
        <v>5.1186909042598927E-2</v>
      </c>
      <c r="W24">
        <v>93848981107.295746</v>
      </c>
      <c r="X24">
        <v>61.158625445787699</v>
      </c>
      <c r="Y24">
        <v>15.4726082964194</v>
      </c>
      <c r="Z24">
        <v>23.368766257792899</v>
      </c>
      <c r="AA24" s="30"/>
      <c r="AB24">
        <v>22.619386867047854</v>
      </c>
      <c r="AC24">
        <v>44459225642.5392</v>
      </c>
      <c r="AD24">
        <v>49607467421.089073</v>
      </c>
      <c r="AE24">
        <v>20.13</v>
      </c>
      <c r="AF24" s="31"/>
      <c r="AG24">
        <v>3577330042.34585</v>
      </c>
      <c r="AH24" s="34">
        <f t="shared" si="0"/>
        <v>47.454491384052979</v>
      </c>
      <c r="AI24" s="29">
        <f t="shared" si="1"/>
        <v>0.86020895966014088</v>
      </c>
      <c r="AJ24" s="41">
        <v>415867563592.82904</v>
      </c>
    </row>
    <row r="25" spans="1:38" x14ac:dyDescent="0.25">
      <c r="A25" s="3" t="s">
        <v>40</v>
      </c>
      <c r="B25" s="11">
        <v>1998</v>
      </c>
      <c r="C25" s="33"/>
      <c r="D25">
        <v>708271422045.35559</v>
      </c>
      <c r="E25">
        <v>6.1844158208035509</v>
      </c>
      <c r="F25">
        <v>695.29370933708219</v>
      </c>
      <c r="G25" s="36">
        <f t="shared" si="2"/>
        <v>4.1484948564368</v>
      </c>
      <c r="H25" s="30"/>
      <c r="I25">
        <v>149246040757.48959</v>
      </c>
      <c r="J25">
        <v>10.618896924838438</v>
      </c>
      <c r="K25" s="31"/>
      <c r="L25">
        <v>385347723</v>
      </c>
      <c r="M25">
        <v>7.5960000000000001</v>
      </c>
      <c r="N25" s="36">
        <f t="shared" si="3"/>
        <v>92.403999999999996</v>
      </c>
      <c r="O25" s="36">
        <f t="shared" si="4"/>
        <v>356076709.96091998</v>
      </c>
      <c r="P25" s="34">
        <f t="shared" si="5"/>
        <v>1989.0978607477293</v>
      </c>
      <c r="Q25" s="34">
        <f t="shared" si="6"/>
        <v>2.9921423955246702</v>
      </c>
      <c r="R25" s="35">
        <f t="shared" si="7"/>
        <v>419.1401363314933</v>
      </c>
      <c r="S25" s="34">
        <f t="shared" si="8"/>
        <v>7.2933075503791969</v>
      </c>
      <c r="T25" s="32"/>
      <c r="U25">
        <v>15.719316016493851</v>
      </c>
      <c r="V25">
        <v>3.1318435932712987</v>
      </c>
      <c r="W25">
        <v>96788184409.454987</v>
      </c>
      <c r="X25">
        <v>60.647957461240999</v>
      </c>
      <c r="Y25">
        <v>15.7949095027609</v>
      </c>
      <c r="Z25">
        <v>23.557133035998099</v>
      </c>
      <c r="AA25" s="30"/>
      <c r="AB25">
        <v>23.699470079064739</v>
      </c>
      <c r="AC25">
        <v>46426465025.047661</v>
      </c>
      <c r="AD25">
        <v>53431564328.422447</v>
      </c>
      <c r="AE25" t="s">
        <v>84</v>
      </c>
      <c r="AF25" s="31"/>
      <c r="AG25">
        <v>2634651657.7714</v>
      </c>
      <c r="AH25" s="34">
        <f t="shared" si="0"/>
        <v>-26.351451317482706</v>
      </c>
      <c r="AI25" s="29">
        <f t="shared" si="1"/>
        <v>0.62528620418786374</v>
      </c>
      <c r="AJ25" s="41">
        <v>421351317224.94128</v>
      </c>
    </row>
    <row r="26" spans="1:38" x14ac:dyDescent="0.25">
      <c r="A26" s="3" t="s">
        <v>40</v>
      </c>
      <c r="B26" s="11">
        <v>1999</v>
      </c>
      <c r="C26" s="33"/>
      <c r="D26">
        <v>770923380748.90613</v>
      </c>
      <c r="E26">
        <v>8.8457555611411607</v>
      </c>
      <c r="F26">
        <v>742.53920839811951</v>
      </c>
      <c r="G26" s="36">
        <f t="shared" si="2"/>
        <v>6.7950419263943669</v>
      </c>
      <c r="H26" s="30"/>
      <c r="I26">
        <v>174231612235.11862</v>
      </c>
      <c r="J26">
        <v>16.741195512334002</v>
      </c>
      <c r="K26" s="31"/>
      <c r="L26">
        <v>397354085</v>
      </c>
      <c r="M26">
        <v>7.5830000000000002</v>
      </c>
      <c r="N26" s="36">
        <f t="shared" si="3"/>
        <v>92.417000000000002</v>
      </c>
      <c r="O26" s="36">
        <f t="shared" si="4"/>
        <v>367222724.73445004</v>
      </c>
      <c r="P26" s="34">
        <f t="shared" si="5"/>
        <v>2099.3346239843527</v>
      </c>
      <c r="Q26" s="34">
        <f t="shared" si="6"/>
        <v>5.5420482527281907</v>
      </c>
      <c r="R26" s="35">
        <f t="shared" si="7"/>
        <v>474.45759888936834</v>
      </c>
      <c r="S26" s="34">
        <f t="shared" si="8"/>
        <v>13.19784429189694</v>
      </c>
      <c r="T26" s="32"/>
      <c r="U26">
        <v>15.180536713273817</v>
      </c>
      <c r="V26">
        <v>5.3937745157569168</v>
      </c>
      <c r="W26">
        <v>102008720834.39597</v>
      </c>
      <c r="X26">
        <v>59.878026680172397</v>
      </c>
      <c r="Y26">
        <v>16.309428466052999</v>
      </c>
      <c r="Z26">
        <v>23.8125410413714</v>
      </c>
      <c r="AA26" s="30"/>
      <c r="AB26">
        <v>24.815598044292916</v>
      </c>
      <c r="AC26">
        <v>52544483402.693581</v>
      </c>
      <c r="AD26">
        <v>61314704757.034523</v>
      </c>
      <c r="AE26">
        <v>28.51</v>
      </c>
      <c r="AF26" s="31"/>
      <c r="AG26">
        <v>2168591054.37924</v>
      </c>
      <c r="AH26" s="34">
        <f t="shared" si="0"/>
        <v>-17.689647966076528</v>
      </c>
      <c r="AI26" s="29">
        <f t="shared" si="1"/>
        <v>0.47264419145892755</v>
      </c>
      <c r="AJ26" s="41">
        <v>458821052615.78979</v>
      </c>
    </row>
    <row r="27" spans="1:38" x14ac:dyDescent="0.25">
      <c r="A27" s="3" t="s">
        <v>40</v>
      </c>
      <c r="B27" s="11">
        <v>2000</v>
      </c>
      <c r="C27" s="33"/>
      <c r="D27" s="11">
        <v>800534479629.68042</v>
      </c>
      <c r="E27" s="11">
        <v>3.8409911568655417</v>
      </c>
      <c r="F27" s="11">
        <v>756.70410953318685</v>
      </c>
      <c r="G27" s="36">
        <f t="shared" si="2"/>
        <v>1.9076300584349333</v>
      </c>
      <c r="H27" s="30"/>
      <c r="I27" s="11">
        <v>171105928742.79523</v>
      </c>
      <c r="J27" s="11">
        <v>-1.7939818453297676</v>
      </c>
      <c r="K27" s="31"/>
      <c r="L27" s="11">
        <v>409617771</v>
      </c>
      <c r="M27" s="11">
        <v>7.5890000000000004</v>
      </c>
      <c r="N27" s="34">
        <f t="shared" ref="N27:N52" si="9">100-M27</f>
        <v>92.411000000000001</v>
      </c>
      <c r="O27" s="36">
        <f t="shared" si="4"/>
        <v>378531878.35881001</v>
      </c>
      <c r="P27" s="34">
        <f>D27/O27</f>
        <v>2114.8403223013479</v>
      </c>
      <c r="Q27" s="34">
        <f t="shared" si="6"/>
        <v>0.73860060896660529</v>
      </c>
      <c r="R27" s="35">
        <f t="shared" ref="R27:R52" si="10">I27/O27</f>
        <v>452.02514906975438</v>
      </c>
      <c r="S27" s="34">
        <f t="shared" si="8"/>
        <v>-4.7280199267805703</v>
      </c>
      <c r="T27" s="32"/>
      <c r="U27" s="11">
        <v>15.927023018432255</v>
      </c>
      <c r="V27" s="11">
        <v>7.2990978490111296</v>
      </c>
      <c r="W27" s="11">
        <v>109454437182.62312</v>
      </c>
      <c r="X27" s="11">
        <v>59.607310099103998</v>
      </c>
      <c r="Y27" s="11">
        <v>16.341359744203</v>
      </c>
      <c r="Z27" s="11">
        <v>24.051330156692899</v>
      </c>
      <c r="AA27" s="30"/>
      <c r="AB27" s="11">
        <v>26.900922910447356</v>
      </c>
      <c r="AC27" s="11">
        <v>60878472821.200401</v>
      </c>
      <c r="AD27" s="11">
        <v>65124245375.053055</v>
      </c>
      <c r="AE27" s="11">
        <v>23.36</v>
      </c>
      <c r="AF27" s="31"/>
      <c r="AG27" s="11">
        <v>3584217307.1875501</v>
      </c>
      <c r="AH27" s="34">
        <f t="shared" si="0"/>
        <v>65.278617190161441</v>
      </c>
      <c r="AI27" s="29">
        <f t="shared" si="1"/>
        <v>0.76521169428081737</v>
      </c>
      <c r="AJ27" s="41">
        <v>468395521654.45789</v>
      </c>
    </row>
    <row r="28" spans="1:38" x14ac:dyDescent="0.25">
      <c r="A28" s="3" t="s">
        <v>40</v>
      </c>
      <c r="B28" s="11">
        <v>2001</v>
      </c>
      <c r="C28" s="33"/>
      <c r="D28" s="11">
        <v>839151992858.48828</v>
      </c>
      <c r="E28" s="11">
        <v>4.8239662639730341</v>
      </c>
      <c r="F28" s="11">
        <v>778.50737752249859</v>
      </c>
      <c r="G28" s="34">
        <f>((F28-F27)/F27)*100</f>
        <v>2.8813465811309311</v>
      </c>
      <c r="H28" s="30"/>
      <c r="I28" s="11">
        <v>209074720249.12314</v>
      </c>
      <c r="J28" s="11">
        <v>22.190225543500745</v>
      </c>
      <c r="K28" s="31"/>
      <c r="L28" s="11">
        <v>418764922</v>
      </c>
      <c r="M28" s="11">
        <v>7.6109999999999998</v>
      </c>
      <c r="N28" s="34">
        <f>100-M28</f>
        <v>92.388999999999996</v>
      </c>
      <c r="O28" s="36">
        <f t="shared" si="4"/>
        <v>386892723.78658003</v>
      </c>
      <c r="P28" s="34">
        <f t="shared" ref="P28:P52" si="11">D28/O28</f>
        <v>2168.9526353599404</v>
      </c>
      <c r="Q28" s="34">
        <f t="shared" ref="Q28:Q52" si="12">((P28-P27)/P27)*100</f>
        <v>2.5586949751226604</v>
      </c>
      <c r="R28" s="35">
        <f t="shared" si="10"/>
        <v>540.39455227504902</v>
      </c>
      <c r="S28" s="34">
        <f>((R28-R27)/R27)*100</f>
        <v>19.549665187247779</v>
      </c>
      <c r="T28" s="32"/>
      <c r="U28" s="11">
        <v>15.307021283153091</v>
      </c>
      <c r="V28" s="11">
        <v>2.2703251937848563</v>
      </c>
      <c r="W28" s="11">
        <v>111939408845.69563</v>
      </c>
      <c r="X28" s="11">
        <v>58.890809220715099</v>
      </c>
      <c r="Y28" s="11">
        <v>16.7528345033409</v>
      </c>
      <c r="Z28" s="11">
        <v>24.356356017475999</v>
      </c>
      <c r="AA28" s="30"/>
      <c r="AB28" s="11">
        <v>25.993254753436517</v>
      </c>
      <c r="AC28" s="11">
        <v>60963415576.644676</v>
      </c>
      <c r="AD28" s="11">
        <v>65218276482.132248</v>
      </c>
      <c r="AE28" s="11">
        <v>26.51</v>
      </c>
      <c r="AF28" s="31"/>
      <c r="AG28" s="11">
        <v>5128093561.6268797</v>
      </c>
      <c r="AH28" s="34">
        <f t="shared" ref="AH28:AH52" si="13">((AG28-AG27)/AG27)*100</f>
        <v>43.074292714990889</v>
      </c>
      <c r="AI28" s="29">
        <f t="shared" si="1"/>
        <v>1.0563802099335802</v>
      </c>
      <c r="AJ28" s="41">
        <v>485440139204.17053</v>
      </c>
    </row>
    <row r="29" spans="1:38" x14ac:dyDescent="0.25">
      <c r="A29" s="3" t="s">
        <v>40</v>
      </c>
      <c r="B29" s="11">
        <v>2002</v>
      </c>
      <c r="C29" s="33"/>
      <c r="D29" s="11">
        <v>871073127574.1864</v>
      </c>
      <c r="E29" s="11">
        <v>3.8039753212003831</v>
      </c>
      <c r="F29" s="11">
        <v>793.61591290100171</v>
      </c>
      <c r="G29" s="34">
        <f t="shared" ref="G29:G52" si="14">((F29-F28)/F28)*100</f>
        <v>1.9407054852304837</v>
      </c>
      <c r="H29" s="30"/>
      <c r="I29" s="11">
        <v>207574913684.3497</v>
      </c>
      <c r="J29" s="11">
        <v>-0.71735433293243034</v>
      </c>
      <c r="K29" s="31"/>
      <c r="L29" s="11">
        <v>427829074</v>
      </c>
      <c r="M29" s="11">
        <v>7.681</v>
      </c>
      <c r="N29" s="34">
        <f t="shared" si="9"/>
        <v>92.319000000000003</v>
      </c>
      <c r="O29" s="36">
        <f t="shared" si="4"/>
        <v>394967522.82606006</v>
      </c>
      <c r="P29" s="34">
        <f t="shared" si="11"/>
        <v>2205.4297562025085</v>
      </c>
      <c r="Q29" s="34">
        <f t="shared" si="12"/>
        <v>1.6817850352234529</v>
      </c>
      <c r="R29" s="35">
        <f t="shared" si="10"/>
        <v>525.54932162299258</v>
      </c>
      <c r="S29" s="34">
        <f t="shared" ref="S29:S52" si="15">((R29-R28)/R28)*100</f>
        <v>-2.7471096052982684</v>
      </c>
      <c r="T29" s="32"/>
      <c r="U29" s="11">
        <v>15.55870172629556</v>
      </c>
      <c r="V29" s="11">
        <v>6.8667636076502419</v>
      </c>
      <c r="W29" s="11">
        <v>119626023434.93068</v>
      </c>
      <c r="X29" s="11">
        <v>58.2078564520654</v>
      </c>
      <c r="Y29" s="11">
        <v>17.056726884100499</v>
      </c>
      <c r="Z29" s="11">
        <v>24.735416917017901</v>
      </c>
      <c r="AA29" s="30"/>
      <c r="AB29" s="11">
        <v>29.508662935061398</v>
      </c>
      <c r="AC29" s="11">
        <v>73452895951.633087</v>
      </c>
      <c r="AD29" s="11">
        <v>78498759285.731339</v>
      </c>
      <c r="AE29" s="11">
        <v>23.08</v>
      </c>
      <c r="AF29" s="31"/>
      <c r="AG29" s="11">
        <v>5208967106.2789402</v>
      </c>
      <c r="AH29" s="34">
        <f t="shared" si="13"/>
        <v>1.5770684306002307</v>
      </c>
      <c r="AI29" s="29">
        <f t="shared" si="1"/>
        <v>1.0115694648991929</v>
      </c>
      <c r="AJ29" s="41">
        <v>514939140318.75562</v>
      </c>
    </row>
    <row r="30" spans="1:38" x14ac:dyDescent="0.25">
      <c r="A30" s="3" t="s">
        <v>40</v>
      </c>
      <c r="B30" s="11">
        <v>2003</v>
      </c>
      <c r="C30" s="33"/>
      <c r="D30" s="11">
        <v>939542798331.65466</v>
      </c>
      <c r="E30" s="11">
        <v>7.8603814754504526</v>
      </c>
      <c r="F30" s="11">
        <v>841.27889456240837</v>
      </c>
      <c r="G30" s="34">
        <f t="shared" si="14"/>
        <v>6.0057996426984825</v>
      </c>
      <c r="H30" s="30"/>
      <c r="I30" s="11">
        <v>218194454914.32138</v>
      </c>
      <c r="J30" s="11">
        <v>5.1160041651855579</v>
      </c>
      <c r="K30" s="31"/>
      <c r="L30" s="11">
        <v>436753652</v>
      </c>
      <c r="M30" s="11">
        <v>7.633</v>
      </c>
      <c r="N30" s="34">
        <f t="shared" si="9"/>
        <v>92.367000000000004</v>
      </c>
      <c r="O30" s="36">
        <f t="shared" si="4"/>
        <v>403416245.74283999</v>
      </c>
      <c r="P30" s="34">
        <f t="shared" si="11"/>
        <v>2328.9661937178694</v>
      </c>
      <c r="Q30" s="34">
        <f t="shared" si="12"/>
        <v>5.6014677941081237</v>
      </c>
      <c r="R30" s="35">
        <f t="shared" si="10"/>
        <v>540.86680250703307</v>
      </c>
      <c r="S30" s="34">
        <f t="shared" si="15"/>
        <v>2.9145658178641169</v>
      </c>
      <c r="T30" s="32"/>
      <c r="U30" s="11">
        <v>15.58738664864604</v>
      </c>
      <c r="V30" s="11">
        <v>6.3366103225509107</v>
      </c>
      <c r="W30" s="11">
        <v>127206258384.36566</v>
      </c>
      <c r="X30" s="11">
        <v>57.164650542938602</v>
      </c>
      <c r="Y30" s="11">
        <v>17.6938066486046</v>
      </c>
      <c r="Z30" s="11">
        <v>25.1415353719471</v>
      </c>
      <c r="AA30" s="30"/>
      <c r="AB30" s="11">
        <v>30.592436132907984</v>
      </c>
      <c r="AC30" s="11">
        <v>90838575243.762054</v>
      </c>
      <c r="AD30" s="11">
        <v>95071869378.557297</v>
      </c>
      <c r="AE30" s="11">
        <v>21.45</v>
      </c>
      <c r="AF30" s="31"/>
      <c r="AG30" s="11">
        <v>3681984671.4342799</v>
      </c>
      <c r="AH30" s="34">
        <f t="shared" si="13"/>
        <v>-29.314495632042302</v>
      </c>
      <c r="AI30" s="29">
        <f t="shared" si="1"/>
        <v>0.60588785709179227</v>
      </c>
      <c r="AJ30" s="41">
        <v>607700687237.31787</v>
      </c>
    </row>
    <row r="31" spans="1:38" x14ac:dyDescent="0.25">
      <c r="A31" s="3" t="s">
        <v>40</v>
      </c>
      <c r="B31" s="11">
        <v>2004</v>
      </c>
      <c r="C31" s="33"/>
      <c r="D31" s="11">
        <v>1013982178696.2278</v>
      </c>
      <c r="E31" s="11">
        <v>7.9229366130797843</v>
      </c>
      <c r="F31" s="11">
        <v>892.5966145807181</v>
      </c>
      <c r="G31" s="34">
        <f t="shared" si="14"/>
        <v>6.0999652255632375</v>
      </c>
      <c r="H31" s="30"/>
      <c r="I31" s="11">
        <v>243186386319.83929</v>
      </c>
      <c r="J31" s="11">
        <v>11.453971832295878</v>
      </c>
      <c r="K31" s="31"/>
      <c r="L31" s="11">
        <v>445825854</v>
      </c>
      <c r="M31" s="11">
        <v>7.5979999999999999</v>
      </c>
      <c r="N31" s="34">
        <f t="shared" si="9"/>
        <v>92.402000000000001</v>
      </c>
      <c r="O31" s="36">
        <f t="shared" si="4"/>
        <v>411952005.61308002</v>
      </c>
      <c r="P31" s="34">
        <f t="shared" si="11"/>
        <v>2461.408525459628</v>
      </c>
      <c r="Q31" s="34">
        <f t="shared" si="12"/>
        <v>5.686743418560873</v>
      </c>
      <c r="R31" s="35">
        <f t="shared" si="10"/>
        <v>590.32698713997422</v>
      </c>
      <c r="S31" s="34">
        <f t="shared" si="15"/>
        <v>9.1446146081960737</v>
      </c>
      <c r="T31" s="32"/>
      <c r="U31" s="11">
        <v>15.827245740502713</v>
      </c>
      <c r="V31" s="11">
        <v>7.3832533106597253</v>
      </c>
      <c r="W31" s="11">
        <v>136598218667.89571</v>
      </c>
      <c r="X31" s="11">
        <v>55.999457323776298</v>
      </c>
      <c r="Y31" s="11">
        <v>18.418479484316101</v>
      </c>
      <c r="Z31" s="11">
        <v>25.582063191907601</v>
      </c>
      <c r="AA31" s="30"/>
      <c r="AB31" s="11">
        <v>37.503814059446981</v>
      </c>
      <c r="AC31" s="11">
        <v>126648472020.75211</v>
      </c>
      <c r="AD31" s="11">
        <v>139310848797.43585</v>
      </c>
      <c r="AE31" s="11">
        <v>22.96</v>
      </c>
      <c r="AF31" s="31"/>
      <c r="AG31" s="11">
        <v>5429250989.8571701</v>
      </c>
      <c r="AH31" s="34">
        <f t="shared" si="13"/>
        <v>47.454470193170586</v>
      </c>
      <c r="AI31" s="29">
        <f t="shared" si="1"/>
        <v>0.76559685511028397</v>
      </c>
      <c r="AJ31" s="41">
        <v>709152728830.77454</v>
      </c>
    </row>
    <row r="32" spans="1:38" x14ac:dyDescent="0.25">
      <c r="A32" s="3" t="s">
        <v>40</v>
      </c>
      <c r="B32" s="11">
        <v>2005</v>
      </c>
      <c r="C32" s="33"/>
      <c r="D32" s="11">
        <v>1094324353137.751</v>
      </c>
      <c r="E32" s="11">
        <v>7.9234306213178911</v>
      </c>
      <c r="F32" s="11">
        <v>947.73256564427152</v>
      </c>
      <c r="G32" s="34">
        <f t="shared" si="14"/>
        <v>6.1770289247010624</v>
      </c>
      <c r="H32" s="30"/>
      <c r="I32" s="11">
        <v>283169224039.13312</v>
      </c>
      <c r="J32" s="11">
        <v>16.441231898034076</v>
      </c>
      <c r="K32" s="31"/>
      <c r="L32" s="11">
        <v>454832471</v>
      </c>
      <c r="M32" s="11">
        <v>7.5510000000000002</v>
      </c>
      <c r="N32" s="34">
        <f t="shared" si="9"/>
        <v>92.448999999999998</v>
      </c>
      <c r="O32" s="36">
        <f t="shared" si="4"/>
        <v>420488071.11478996</v>
      </c>
      <c r="P32" s="34">
        <f t="shared" si="11"/>
        <v>2602.5098648732155</v>
      </c>
      <c r="Q32" s="34">
        <f t="shared" si="12"/>
        <v>5.7325445148216163</v>
      </c>
      <c r="R32" s="35">
        <f t="shared" si="10"/>
        <v>673.42986279824834</v>
      </c>
      <c r="S32" s="34">
        <f t="shared" si="15"/>
        <v>14.077431231950326</v>
      </c>
      <c r="T32" s="32"/>
      <c r="U32" s="11">
        <v>15.973017044613139</v>
      </c>
      <c r="V32" s="11">
        <v>9.3490886911469175</v>
      </c>
      <c r="W32" s="11">
        <v>149368907281.68408</v>
      </c>
      <c r="X32" s="11">
        <v>55.020453312310899</v>
      </c>
      <c r="Y32" s="11">
        <v>19.0012317655898</v>
      </c>
      <c r="Z32" s="11">
        <v>25.978314922099301</v>
      </c>
      <c r="AA32" s="30"/>
      <c r="AB32" s="11">
        <v>42.001669614869108</v>
      </c>
      <c r="AC32" s="11">
        <v>160838260680.77817</v>
      </c>
      <c r="AD32" s="11">
        <v>183736617243.32825</v>
      </c>
      <c r="AE32" s="11">
        <v>13.9</v>
      </c>
      <c r="AF32" s="31"/>
      <c r="AG32" s="11">
        <v>7269407225.6143799</v>
      </c>
      <c r="AH32" s="34">
        <f t="shared" si="13"/>
        <v>33.893372017520591</v>
      </c>
      <c r="AI32" s="29">
        <f t="shared" si="1"/>
        <v>0.88609837845882256</v>
      </c>
      <c r="AJ32" s="41">
        <v>820383763511.44543</v>
      </c>
    </row>
    <row r="33" spans="1:36" x14ac:dyDescent="0.25">
      <c r="A33" s="3" t="s">
        <v>40</v>
      </c>
      <c r="B33" s="11">
        <v>2006</v>
      </c>
      <c r="C33" s="33"/>
      <c r="D33" s="11">
        <v>1182534912725.9507</v>
      </c>
      <c r="E33" s="11">
        <v>8.0607325730505721</v>
      </c>
      <c r="F33" s="11">
        <v>1008.2327534481848</v>
      </c>
      <c r="G33" s="34">
        <f t="shared" si="14"/>
        <v>6.383677209908373</v>
      </c>
      <c r="H33" s="30"/>
      <c r="I33" s="11">
        <v>322456437167.42218</v>
      </c>
      <c r="J33" s="11">
        <v>13.87411123564037</v>
      </c>
      <c r="K33" s="31"/>
      <c r="L33" s="11">
        <v>457611460</v>
      </c>
      <c r="M33" s="11">
        <v>7.5529999999999999</v>
      </c>
      <c r="N33" s="34">
        <f t="shared" si="9"/>
        <v>92.447000000000003</v>
      </c>
      <c r="O33" s="36">
        <f t="shared" si="4"/>
        <v>423048066.42619997</v>
      </c>
      <c r="P33" s="34">
        <f t="shared" si="11"/>
        <v>2795.2731771491076</v>
      </c>
      <c r="Q33" s="34">
        <f t="shared" si="12"/>
        <v>7.4068235005627061</v>
      </c>
      <c r="R33" s="35">
        <f t="shared" si="10"/>
        <v>762.22174915358983</v>
      </c>
      <c r="S33" s="34">
        <f t="shared" si="15"/>
        <v>13.185023602367703</v>
      </c>
      <c r="T33" s="32"/>
      <c r="U33" s="11">
        <v>17.303653331192518</v>
      </c>
      <c r="V33" s="11">
        <v>17.787792317977249</v>
      </c>
      <c r="W33" s="11">
        <v>175938338296.58203</v>
      </c>
      <c r="X33" s="11">
        <v>54.273017899929599</v>
      </c>
      <c r="Y33" s="11">
        <v>19.5238914291204</v>
      </c>
      <c r="Z33" s="11">
        <v>26.203090670950001</v>
      </c>
      <c r="AA33" s="30"/>
      <c r="AB33" s="11">
        <v>45.724480499265226</v>
      </c>
      <c r="AC33" s="11">
        <v>199973922363.78305</v>
      </c>
      <c r="AD33" s="11">
        <v>229955027127.37158</v>
      </c>
      <c r="AE33" s="11">
        <v>8.99</v>
      </c>
      <c r="AF33" s="31"/>
      <c r="AG33" s="11">
        <v>20029119267.139599</v>
      </c>
      <c r="AH33" s="34">
        <f t="shared" si="13"/>
        <v>175.52616940436738</v>
      </c>
      <c r="AI33" s="29">
        <f t="shared" si="1"/>
        <v>2.1301684253449515</v>
      </c>
      <c r="AJ33" s="41">
        <v>940259888787.72144</v>
      </c>
    </row>
    <row r="34" spans="1:36" x14ac:dyDescent="0.25">
      <c r="A34" s="3" t="s">
        <v>40</v>
      </c>
      <c r="B34" s="11">
        <v>2007</v>
      </c>
      <c r="C34" s="33"/>
      <c r="D34" s="11">
        <v>1273126725470.218</v>
      </c>
      <c r="E34" s="11">
        <v>7.6608150651076556</v>
      </c>
      <c r="F34" s="11">
        <v>1069.246968122337</v>
      </c>
      <c r="G34" s="34">
        <f t="shared" si="14"/>
        <v>6.0516001355323787</v>
      </c>
      <c r="H34" s="30"/>
      <c r="I34" s="11">
        <v>375110021905.1532</v>
      </c>
      <c r="J34" s="11">
        <v>16.328898625891838</v>
      </c>
      <c r="K34" s="31"/>
      <c r="L34" s="11">
        <v>460225575</v>
      </c>
      <c r="M34" s="11">
        <v>7.5620000000000003</v>
      </c>
      <c r="N34" s="34">
        <f t="shared" si="9"/>
        <v>92.438000000000002</v>
      </c>
      <c r="O34" s="36">
        <f t="shared" si="4"/>
        <v>425423317.01850003</v>
      </c>
      <c r="P34" s="34">
        <f t="shared" si="11"/>
        <v>2992.6115343011502</v>
      </c>
      <c r="Q34" s="34">
        <f t="shared" si="12"/>
        <v>7.0597163370382106</v>
      </c>
      <c r="R34" s="35">
        <f t="shared" si="10"/>
        <v>881.73357429969246</v>
      </c>
      <c r="S34" s="34">
        <f t="shared" si="15"/>
        <v>15.679403700932792</v>
      </c>
      <c r="T34" s="32"/>
      <c r="U34" s="11">
        <v>16.864567775406833</v>
      </c>
      <c r="V34" s="11">
        <v>6.98058873129321</v>
      </c>
      <c r="W34" s="11">
        <v>188219870113.73776</v>
      </c>
      <c r="X34" s="11">
        <v>53.368868437721702</v>
      </c>
      <c r="Y34" s="11">
        <v>20.3219145451672</v>
      </c>
      <c r="Z34" s="11">
        <v>26.309209260168</v>
      </c>
      <c r="AA34" s="30"/>
      <c r="AB34" s="11">
        <v>45.686268679347975</v>
      </c>
      <c r="AC34" s="11">
        <v>253077526013.16815</v>
      </c>
      <c r="AD34" s="11">
        <v>302803952552.49994</v>
      </c>
      <c r="AE34" s="11">
        <v>11.99</v>
      </c>
      <c r="AF34" s="31"/>
      <c r="AG34" s="11">
        <v>25227740886.6819</v>
      </c>
      <c r="AH34" s="34">
        <f t="shared" si="13"/>
        <v>25.955318105630948</v>
      </c>
      <c r="AI34" s="29">
        <f t="shared" si="1"/>
        <v>2.0733940466875365</v>
      </c>
      <c r="AJ34" s="41">
        <v>1216736438834.9553</v>
      </c>
    </row>
    <row r="35" spans="1:36" x14ac:dyDescent="0.25">
      <c r="A35" s="3" t="s">
        <v>40</v>
      </c>
      <c r="B35" s="11">
        <v>2008</v>
      </c>
      <c r="C35" s="33"/>
      <c r="D35" s="11">
        <v>1312424303400.2935</v>
      </c>
      <c r="E35" s="11">
        <v>3.0866980595008187</v>
      </c>
      <c r="F35" s="11">
        <v>1086.506052510045</v>
      </c>
      <c r="G35" s="34">
        <f t="shared" si="14"/>
        <v>1.6141345173057708</v>
      </c>
      <c r="H35" s="30"/>
      <c r="I35" s="11">
        <v>387111067148.48468</v>
      </c>
      <c r="J35" s="11">
        <v>3.199340071581986</v>
      </c>
      <c r="K35" s="31"/>
      <c r="L35" s="11">
        <v>462536166</v>
      </c>
      <c r="M35" s="11">
        <v>7.6289999999999996</v>
      </c>
      <c r="N35" s="34">
        <f t="shared" si="9"/>
        <v>92.370999999999995</v>
      </c>
      <c r="O35" s="36">
        <f t="shared" si="4"/>
        <v>427249281.89586002</v>
      </c>
      <c r="P35" s="34">
        <f t="shared" si="11"/>
        <v>3071.7999046753007</v>
      </c>
      <c r="Q35" s="34">
        <f t="shared" si="12"/>
        <v>2.6461292909720395</v>
      </c>
      <c r="R35" s="35">
        <f t="shared" si="10"/>
        <v>906.05434239873375</v>
      </c>
      <c r="S35" s="34">
        <f t="shared" si="15"/>
        <v>2.7582898970766538</v>
      </c>
      <c r="T35" s="32"/>
      <c r="U35" s="11">
        <v>17.098674148957809</v>
      </c>
      <c r="V35" s="11">
        <v>4.6636154823950164</v>
      </c>
      <c r="W35" s="11">
        <v>196997721117.30585</v>
      </c>
      <c r="X35" s="11">
        <v>52.879188395900101</v>
      </c>
      <c r="Y35" s="11">
        <v>20.751447752882001</v>
      </c>
      <c r="Z35" s="11">
        <v>26.369363851217901</v>
      </c>
      <c r="AA35" s="30"/>
      <c r="AB35" s="11">
        <v>53.368220439222625</v>
      </c>
      <c r="AC35" s="11">
        <v>288902044820.69763</v>
      </c>
      <c r="AD35" s="11">
        <v>350926955799.10577</v>
      </c>
      <c r="AE35" s="11">
        <v>5.98</v>
      </c>
      <c r="AF35" s="31"/>
      <c r="AG35" s="11">
        <v>43406277075.810799</v>
      </c>
      <c r="AH35" s="34">
        <f t="shared" si="13"/>
        <v>72.057725147817806</v>
      </c>
      <c r="AI35" s="29">
        <f t="shared" si="1"/>
        <v>3.6205232354016994</v>
      </c>
      <c r="AJ35" s="41">
        <v>1198895139005.9189</v>
      </c>
    </row>
    <row r="36" spans="1:36" x14ac:dyDescent="0.25">
      <c r="A36" s="3" t="s">
        <v>40</v>
      </c>
      <c r="B36" s="11">
        <v>2009</v>
      </c>
      <c r="C36" s="33"/>
      <c r="D36" s="11">
        <v>1415605643151.3428</v>
      </c>
      <c r="E36" s="11">
        <v>7.8618888330338024</v>
      </c>
      <c r="F36" s="11">
        <v>1155.1016327381701</v>
      </c>
      <c r="G36" s="34">
        <f t="shared" si="14"/>
        <v>6.3134098581094547</v>
      </c>
      <c r="H36" s="30"/>
      <c r="I36" s="11">
        <v>416829118260.31561</v>
      </c>
      <c r="J36" s="11">
        <v>7.6768797468742775</v>
      </c>
      <c r="K36" s="31"/>
      <c r="L36" s="11">
        <v>464953334</v>
      </c>
      <c r="M36" s="11">
        <v>7.6360000000000001</v>
      </c>
      <c r="N36" s="34">
        <f t="shared" si="9"/>
        <v>92.364000000000004</v>
      </c>
      <c r="O36" s="36">
        <f t="shared" si="4"/>
        <v>429449497.41575998</v>
      </c>
      <c r="P36" s="34">
        <f t="shared" si="11"/>
        <v>3296.3262308370158</v>
      </c>
      <c r="Q36" s="34">
        <f t="shared" si="12"/>
        <v>7.3092757708594398</v>
      </c>
      <c r="R36" s="35">
        <f t="shared" si="10"/>
        <v>970.61265822549956</v>
      </c>
      <c r="S36" s="34">
        <f t="shared" si="15"/>
        <v>7.1252145490358645</v>
      </c>
      <c r="T36" s="32"/>
      <c r="U36" s="11">
        <v>17.143577667284617</v>
      </c>
      <c r="V36" s="11">
        <v>10.967629778823465</v>
      </c>
      <c r="W36" s="11">
        <v>218603701842.17108</v>
      </c>
      <c r="X36" s="11">
        <v>51.944426618063801</v>
      </c>
      <c r="Y36" s="11">
        <v>21.5635579497653</v>
      </c>
      <c r="Z36" s="11">
        <v>26.4920231164018</v>
      </c>
      <c r="AA36" s="30"/>
      <c r="AB36" s="11">
        <v>46.272869642883734</v>
      </c>
      <c r="AC36" s="11">
        <v>273752124889.21069</v>
      </c>
      <c r="AD36" s="11">
        <v>347177967968.3161</v>
      </c>
      <c r="AE36" s="11">
        <v>6.84</v>
      </c>
      <c r="AF36" s="31"/>
      <c r="AG36" s="11">
        <v>35581372929.664101</v>
      </c>
      <c r="AH36" s="34">
        <f t="shared" si="13"/>
        <v>-18.027125736861031</v>
      </c>
      <c r="AI36" s="29">
        <f t="shared" si="1"/>
        <v>2.6515903323547882</v>
      </c>
      <c r="AJ36" s="41">
        <v>1341888016994.8982</v>
      </c>
    </row>
    <row r="37" spans="1:36" x14ac:dyDescent="0.25">
      <c r="A37" s="3" t="s">
        <v>40</v>
      </c>
      <c r="B37" s="11">
        <v>2010</v>
      </c>
      <c r="C37" s="33"/>
      <c r="D37" s="11">
        <v>1535897931719.5537</v>
      </c>
      <c r="E37" s="11">
        <v>8.4975847016562511</v>
      </c>
      <c r="F37" s="11">
        <v>1235.1593913293866</v>
      </c>
      <c r="G37" s="34">
        <f t="shared" si="14"/>
        <v>6.9307978036044728</v>
      </c>
      <c r="H37" s="30"/>
      <c r="I37" s="11">
        <v>462872670734.46613</v>
      </c>
      <c r="J37" s="11">
        <v>11.046145880191531</v>
      </c>
      <c r="K37" s="31"/>
      <c r="L37" s="11">
        <v>467561989</v>
      </c>
      <c r="M37" s="11">
        <v>7.6310000000000002</v>
      </c>
      <c r="N37" s="34">
        <f t="shared" si="9"/>
        <v>92.369</v>
      </c>
      <c r="O37" s="36">
        <f t="shared" si="4"/>
        <v>431882333.61940998</v>
      </c>
      <c r="P37" s="34">
        <f t="shared" si="11"/>
        <v>3556.2879334468016</v>
      </c>
      <c r="Q37" s="34">
        <f t="shared" si="12"/>
        <v>7.8864069999459758</v>
      </c>
      <c r="R37" s="35">
        <f t="shared" si="10"/>
        <v>1071.7564361925624</v>
      </c>
      <c r="S37" s="34">
        <f t="shared" si="15"/>
        <v>10.420611879508833</v>
      </c>
      <c r="T37" s="32"/>
      <c r="U37" s="11">
        <v>17.029934249862396</v>
      </c>
      <c r="V37" s="11">
        <v>7.6951064643586449</v>
      </c>
      <c r="W37" s="11">
        <v>235425489433.95529</v>
      </c>
      <c r="X37" s="11">
        <v>51.056070239904997</v>
      </c>
      <c r="Y37" s="11">
        <v>22.377888837294201</v>
      </c>
      <c r="Z37" s="11">
        <v>26.5660351341417</v>
      </c>
      <c r="AA37" s="30"/>
      <c r="AB37" s="11">
        <v>49.255206497416133</v>
      </c>
      <c r="AC37" s="11">
        <v>375353514026.26672</v>
      </c>
      <c r="AD37" s="11">
        <v>449974370198.80188</v>
      </c>
      <c r="AE37" s="11">
        <v>6.1</v>
      </c>
      <c r="AF37" s="31"/>
      <c r="AG37" s="11">
        <v>27396885033.783798</v>
      </c>
      <c r="AH37" s="34">
        <f t="shared" si="13"/>
        <v>-23.002170017607487</v>
      </c>
      <c r="AI37" s="29">
        <f t="shared" si="1"/>
        <v>1.635034094349096</v>
      </c>
      <c r="AJ37" s="41">
        <v>1675615519484.959</v>
      </c>
    </row>
    <row r="38" spans="1:36" x14ac:dyDescent="0.25">
      <c r="A38" s="3" t="s">
        <v>40</v>
      </c>
      <c r="B38" s="11">
        <v>2011</v>
      </c>
      <c r="C38" s="33"/>
      <c r="D38" s="11">
        <v>1616399198833.9668</v>
      </c>
      <c r="E38" s="11">
        <v>5.2413162002429345</v>
      </c>
      <c r="F38" s="11">
        <v>1281.610543549368</v>
      </c>
      <c r="G38" s="34">
        <f t="shared" si="14"/>
        <v>3.7607415323124087</v>
      </c>
      <c r="H38" s="30"/>
      <c r="I38" s="11">
        <v>518847632198.9339</v>
      </c>
      <c r="J38" s="11">
        <v>12.09295017907391</v>
      </c>
      <c r="K38" s="31"/>
      <c r="L38" s="11">
        <v>471891929</v>
      </c>
      <c r="M38" s="11">
        <v>7.609</v>
      </c>
      <c r="N38" s="34">
        <f t="shared" si="9"/>
        <v>92.391000000000005</v>
      </c>
      <c r="O38" s="36">
        <f t="shared" si="4"/>
        <v>435985672.12239003</v>
      </c>
      <c r="P38" s="34">
        <f t="shared" si="11"/>
        <v>3707.4594469246931</v>
      </c>
      <c r="Q38" s="34">
        <f t="shared" si="12"/>
        <v>4.2508232265483086</v>
      </c>
      <c r="R38" s="35">
        <f t="shared" si="10"/>
        <v>1190.0566128083283</v>
      </c>
      <c r="S38" s="34">
        <f t="shared" si="15"/>
        <v>11.037972119489178</v>
      </c>
      <c r="T38" s="32"/>
      <c r="U38" s="11">
        <v>16.139337444628858</v>
      </c>
      <c r="V38" s="11">
        <v>3.1250562390001875</v>
      </c>
      <c r="W38" s="11">
        <v>242782668379.70786</v>
      </c>
      <c r="X38" s="11">
        <v>49.075305915587599</v>
      </c>
      <c r="Y38" s="11">
        <v>23.547382125569602</v>
      </c>
      <c r="Z38" s="11">
        <v>27.3773195279181</v>
      </c>
      <c r="AA38" s="30"/>
      <c r="AB38" s="11">
        <v>55.623880013529771</v>
      </c>
      <c r="AC38" s="11">
        <v>447384417625.09271</v>
      </c>
      <c r="AD38" s="11">
        <v>566667744819.90845</v>
      </c>
      <c r="AE38" s="11">
        <v>7.33</v>
      </c>
      <c r="AF38" s="31"/>
      <c r="AG38" s="11">
        <v>36498654597.858902</v>
      </c>
      <c r="AH38" s="34">
        <f t="shared" si="13"/>
        <v>33.221913925073885</v>
      </c>
      <c r="AI38" s="29">
        <f t="shared" si="1"/>
        <v>2.0020634629993026</v>
      </c>
      <c r="AJ38" s="41">
        <v>1823051829894.5461</v>
      </c>
    </row>
    <row r="39" spans="1:36" x14ac:dyDescent="0.25">
      <c r="A39" s="3" t="s">
        <v>40</v>
      </c>
      <c r="B39" s="11">
        <v>2012</v>
      </c>
      <c r="C39" s="33"/>
      <c r="D39" s="11">
        <v>1704596203504.0764</v>
      </c>
      <c r="E39" s="11">
        <v>5.4563875516477225</v>
      </c>
      <c r="F39" s="11">
        <v>1333.0962655764886</v>
      </c>
      <c r="G39" s="34">
        <f t="shared" si="14"/>
        <v>4.0172673583453031</v>
      </c>
      <c r="H39" s="30"/>
      <c r="I39" s="11">
        <v>544473914757.74652</v>
      </c>
      <c r="J39" s="11">
        <v>4.9390767093232313</v>
      </c>
      <c r="K39" s="31"/>
      <c r="L39" s="11">
        <v>476101422</v>
      </c>
      <c r="M39" s="11">
        <v>7.6449999999999996</v>
      </c>
      <c r="N39" s="34">
        <f t="shared" si="9"/>
        <v>92.355000000000004</v>
      </c>
      <c r="O39" s="36">
        <f t="shared" si="4"/>
        <v>439703468.2881</v>
      </c>
      <c r="P39" s="34">
        <f t="shared" si="11"/>
        <v>3876.6949238326238</v>
      </c>
      <c r="Q39" s="34">
        <f t="shared" si="12"/>
        <v>4.564729010004684</v>
      </c>
      <c r="R39" s="35">
        <f t="shared" si="10"/>
        <v>1238.2752332556072</v>
      </c>
      <c r="S39" s="34">
        <f t="shared" si="15"/>
        <v>4.0517921524330918</v>
      </c>
      <c r="T39" s="32"/>
      <c r="U39" s="11">
        <v>15.816923007106634</v>
      </c>
      <c r="V39" s="11">
        <v>5.4530833068635332</v>
      </c>
      <c r="W39" s="11">
        <v>256021809541.07962</v>
      </c>
      <c r="X39" s="11">
        <v>47.088154462332199</v>
      </c>
      <c r="Y39" s="11">
        <v>24.692037963598398</v>
      </c>
      <c r="Z39" s="11">
        <v>28.219815079124601</v>
      </c>
      <c r="AA39" s="30"/>
      <c r="AB39" s="11">
        <v>55.793721728751144</v>
      </c>
      <c r="AC39" s="11">
        <v>448400477361.25354</v>
      </c>
      <c r="AD39" s="11">
        <v>571306554042.38562</v>
      </c>
      <c r="AE39" s="11">
        <v>6.32</v>
      </c>
      <c r="AF39" s="31"/>
      <c r="AG39" s="11">
        <v>23995685014.2141</v>
      </c>
      <c r="AH39" s="34">
        <f t="shared" si="13"/>
        <v>-34.255973874659631</v>
      </c>
      <c r="AI39" s="29">
        <f t="shared" si="1"/>
        <v>1.312934530353232</v>
      </c>
      <c r="AJ39" s="41">
        <v>1827637590410.4143</v>
      </c>
    </row>
    <row r="40" spans="1:36" x14ac:dyDescent="0.25">
      <c r="A40" s="3" t="s">
        <v>40</v>
      </c>
      <c r="B40" s="11">
        <v>2013</v>
      </c>
      <c r="C40" s="33"/>
      <c r="D40" s="11">
        <v>1813453530765.8406</v>
      </c>
      <c r="E40" s="11">
        <v>6.3861064009171287</v>
      </c>
      <c r="F40" s="11">
        <v>1399.4537980280961</v>
      </c>
      <c r="G40" s="34">
        <f t="shared" si="14"/>
        <v>4.9776999729956986</v>
      </c>
      <c r="H40" s="30"/>
      <c r="I40" s="11">
        <v>552977528627.17017</v>
      </c>
      <c r="J40" s="11">
        <v>1.5618037226277721</v>
      </c>
      <c r="K40" s="31"/>
      <c r="L40" s="11">
        <v>484466830</v>
      </c>
      <c r="M40" s="11">
        <v>7.6779999999999999</v>
      </c>
      <c r="N40" s="34">
        <f t="shared" si="9"/>
        <v>92.322000000000003</v>
      </c>
      <c r="O40" s="36">
        <f t="shared" si="4"/>
        <v>447269466.79259998</v>
      </c>
      <c r="P40" s="34">
        <f t="shared" si="11"/>
        <v>4054.4988321475198</v>
      </c>
      <c r="Q40" s="34">
        <f t="shared" si="12"/>
        <v>4.5864818307423958</v>
      </c>
      <c r="R40" s="35">
        <f t="shared" si="10"/>
        <v>1236.3408854903732</v>
      </c>
      <c r="S40" s="34">
        <f t="shared" si="15"/>
        <v>-0.1562130706715556</v>
      </c>
      <c r="T40" s="32"/>
      <c r="U40" s="11">
        <v>15.253022692585985</v>
      </c>
      <c r="V40" s="11">
        <v>4.9658474395659624</v>
      </c>
      <c r="W40" s="11">
        <v>268735462014.90576</v>
      </c>
      <c r="X40" s="11">
        <v>46.241883981632697</v>
      </c>
      <c r="Y40" s="11">
        <v>24.754673840533499</v>
      </c>
      <c r="Z40" s="11">
        <v>29.003443966457802</v>
      </c>
      <c r="AA40" s="30"/>
      <c r="AB40" s="11">
        <v>53.844131946677734</v>
      </c>
      <c r="AC40" s="11">
        <v>472180271340.14923</v>
      </c>
      <c r="AD40" s="11">
        <v>527555307105.9563</v>
      </c>
      <c r="AE40" s="11">
        <v>6.34</v>
      </c>
      <c r="AF40" s="31"/>
      <c r="AG40" s="11">
        <v>28153031270.320202</v>
      </c>
      <c r="AH40" s="34">
        <f t="shared" si="13"/>
        <v>17.325391017774461</v>
      </c>
      <c r="AI40" s="29">
        <f t="shared" si="1"/>
        <v>1.5162764665974964</v>
      </c>
      <c r="AJ40" s="41">
        <v>1856721507621.5764</v>
      </c>
    </row>
    <row r="41" spans="1:36" x14ac:dyDescent="0.25">
      <c r="A41" s="3" t="s">
        <v>40</v>
      </c>
      <c r="B41" s="11">
        <v>2014</v>
      </c>
      <c r="C41" s="33"/>
      <c r="D41" s="11">
        <v>1947834564909.5762</v>
      </c>
      <c r="E41" s="11">
        <v>7.4102276051697658</v>
      </c>
      <c r="F41" s="11">
        <v>1484.3164068296119</v>
      </c>
      <c r="G41" s="34">
        <f t="shared" si="14"/>
        <v>6.0639807417073452</v>
      </c>
      <c r="H41" s="30"/>
      <c r="I41" s="11">
        <v>567372901989.4071</v>
      </c>
      <c r="J41" s="11">
        <v>2.6032474408092128</v>
      </c>
      <c r="K41" s="31"/>
      <c r="L41" s="11">
        <v>492680645</v>
      </c>
      <c r="M41" s="11">
        <v>7.6559999999999997</v>
      </c>
      <c r="N41" s="34">
        <f t="shared" si="9"/>
        <v>92.343999999999994</v>
      </c>
      <c r="O41" s="36">
        <f t="shared" si="4"/>
        <v>454961014.81879997</v>
      </c>
      <c r="P41" s="34">
        <f t="shared" si="11"/>
        <v>4281.3219187260511</v>
      </c>
      <c r="Q41" s="34">
        <f t="shared" si="12"/>
        <v>5.594355701377558</v>
      </c>
      <c r="R41" s="35">
        <f t="shared" si="10"/>
        <v>1247.0802629437999</v>
      </c>
      <c r="S41" s="34">
        <f t="shared" si="15"/>
        <v>0.86864210182348323</v>
      </c>
      <c r="T41" s="32"/>
      <c r="U41" s="11">
        <v>15.065570110758902</v>
      </c>
      <c r="V41" s="11">
        <v>7.8956697662977433</v>
      </c>
      <c r="W41" s="11">
        <v>289953926640.53723</v>
      </c>
      <c r="X41" s="11">
        <v>45.254711115223699</v>
      </c>
      <c r="Y41" s="11">
        <v>24.896015202228199</v>
      </c>
      <c r="Z41" s="11">
        <v>29.849273682548102</v>
      </c>
      <c r="AA41" s="30"/>
      <c r="AB41" s="11">
        <v>48.922185747066905</v>
      </c>
      <c r="AC41" s="11">
        <v>468345815420.93292</v>
      </c>
      <c r="AD41" s="11">
        <v>529239428328.66528</v>
      </c>
      <c r="AE41" s="3" t="s">
        <v>84</v>
      </c>
      <c r="AF41" s="31"/>
      <c r="AG41" s="11">
        <v>34576643694.138199</v>
      </c>
      <c r="AH41" s="34">
        <f t="shared" si="13"/>
        <v>22.816770109547559</v>
      </c>
      <c r="AI41" s="29">
        <f t="shared" si="1"/>
        <v>1.6956595899080626</v>
      </c>
      <c r="AJ41" s="41">
        <v>2039126479154.5168</v>
      </c>
    </row>
    <row r="42" spans="1:36" x14ac:dyDescent="0.25">
      <c r="A42" s="3" t="s">
        <v>40</v>
      </c>
      <c r="B42" s="11">
        <v>2015</v>
      </c>
      <c r="C42" s="33"/>
      <c r="D42" s="11">
        <v>2103588360044.9392</v>
      </c>
      <c r="E42" s="11">
        <v>7.996253785679869</v>
      </c>
      <c r="F42" s="11">
        <v>1583.9981590798479</v>
      </c>
      <c r="G42" s="34">
        <f t="shared" si="14"/>
        <v>6.7156673463677983</v>
      </c>
      <c r="H42" s="30"/>
      <c r="I42" s="11">
        <v>604427075366.9364</v>
      </c>
      <c r="J42" s="11">
        <v>6.5308324115593877</v>
      </c>
      <c r="K42" s="31"/>
      <c r="L42" s="11">
        <v>500640619</v>
      </c>
      <c r="M42" s="11">
        <v>7.6289999999999996</v>
      </c>
      <c r="N42" s="34">
        <f t="shared" si="9"/>
        <v>92.370999999999995</v>
      </c>
      <c r="O42" s="36">
        <f t="shared" si="4"/>
        <v>462446746.17649001</v>
      </c>
      <c r="P42" s="34">
        <f t="shared" si="11"/>
        <v>4548.8229238013009</v>
      </c>
      <c r="Q42" s="34">
        <f t="shared" si="12"/>
        <v>6.2480936998740653</v>
      </c>
      <c r="R42" s="35">
        <f t="shared" si="10"/>
        <v>1307.0198468566161</v>
      </c>
      <c r="S42" s="34">
        <f t="shared" si="15"/>
        <v>4.8063934370451555</v>
      </c>
      <c r="T42" s="32"/>
      <c r="U42" s="11">
        <v>15.583854586371334</v>
      </c>
      <c r="V42" s="11">
        <v>13.059393581395867</v>
      </c>
      <c r="W42" s="11">
        <v>327820151125.23682</v>
      </c>
      <c r="X42" s="11">
        <v>44.2796936892031</v>
      </c>
      <c r="Y42" s="11">
        <v>24.9480704919335</v>
      </c>
      <c r="Z42" s="11">
        <v>30.7722358188634</v>
      </c>
      <c r="AA42" s="30"/>
      <c r="AB42" s="11">
        <v>41.922913865864722</v>
      </c>
      <c r="AC42" s="11">
        <v>416787940847.81219</v>
      </c>
      <c r="AD42" s="11">
        <v>465097595426.1839</v>
      </c>
      <c r="AE42" s="11">
        <v>7.32</v>
      </c>
      <c r="AF42" s="31"/>
      <c r="AG42" s="11">
        <v>44009492129.531898</v>
      </c>
      <c r="AH42" s="34">
        <f t="shared" si="13"/>
        <v>27.28098342579403</v>
      </c>
      <c r="AI42" s="29">
        <f t="shared" si="1"/>
        <v>2.0921152144325288</v>
      </c>
      <c r="AJ42" s="41">
        <v>2103588360044.9392</v>
      </c>
    </row>
    <row r="43" spans="1:36" x14ac:dyDescent="0.25">
      <c r="A43" s="3" t="s">
        <v>40</v>
      </c>
      <c r="B43" s="11">
        <v>2016</v>
      </c>
      <c r="C43" s="33"/>
      <c r="D43" s="11">
        <v>2277267041549.8516</v>
      </c>
      <c r="E43" s="11">
        <v>8.2563055017666187</v>
      </c>
      <c r="F43" s="11">
        <v>1694.465349737867</v>
      </c>
      <c r="G43" s="34">
        <f t="shared" si="14"/>
        <v>6.973946909268502</v>
      </c>
      <c r="H43" s="30"/>
      <c r="I43" s="11">
        <v>655552238064.46387</v>
      </c>
      <c r="J43" s="11">
        <v>8.458450122620718</v>
      </c>
      <c r="K43" s="31"/>
      <c r="L43" s="11">
        <v>508681288</v>
      </c>
      <c r="M43" s="11">
        <v>7.6109999999999998</v>
      </c>
      <c r="N43" s="34">
        <f t="shared" si="9"/>
        <v>92.388999999999996</v>
      </c>
      <c r="O43" s="36">
        <f t="shared" si="4"/>
        <v>469965555.17031997</v>
      </c>
      <c r="P43" s="34">
        <f t="shared" si="11"/>
        <v>4845.6041437431477</v>
      </c>
      <c r="Q43" s="34">
        <f t="shared" si="12"/>
        <v>6.52435201179114</v>
      </c>
      <c r="R43" s="35">
        <f t="shared" si="10"/>
        <v>1394.8942233157609</v>
      </c>
      <c r="S43" s="34">
        <f t="shared" si="15"/>
        <v>6.7232625939447423</v>
      </c>
      <c r="T43" s="32"/>
      <c r="U43" s="11">
        <v>15.162237133252901</v>
      </c>
      <c r="V43" s="11">
        <v>7.9268214208403975</v>
      </c>
      <c r="W43" s="11">
        <v>353805869086.46344</v>
      </c>
      <c r="X43" s="11">
        <v>43.204850592630699</v>
      </c>
      <c r="Y43" s="11">
        <v>25.189478375845301</v>
      </c>
      <c r="Z43" s="11">
        <v>31.605663371419499</v>
      </c>
      <c r="AA43" s="30"/>
      <c r="AB43" s="11">
        <v>40.082485713276021</v>
      </c>
      <c r="AC43" s="11">
        <v>439642578076.35834</v>
      </c>
      <c r="AD43" s="11">
        <v>480169055768.2821</v>
      </c>
      <c r="AE43" s="11">
        <v>6.35</v>
      </c>
      <c r="AF43" s="31"/>
      <c r="AG43" s="11">
        <v>44458571545.797997</v>
      </c>
      <c r="AH43" s="34">
        <f t="shared" si="13"/>
        <v>1.0204149026404012</v>
      </c>
      <c r="AI43" s="29">
        <f t="shared" si="1"/>
        <v>1.937364122443896</v>
      </c>
      <c r="AJ43" s="41">
        <v>2294796885663.1631</v>
      </c>
    </row>
    <row r="44" spans="1:36" x14ac:dyDescent="0.25">
      <c r="A44" s="3" t="s">
        <v>40</v>
      </c>
      <c r="B44" s="11">
        <v>2017</v>
      </c>
      <c r="C44" s="33"/>
      <c r="D44" s="11">
        <v>2432016068498.2334</v>
      </c>
      <c r="E44" s="11">
        <v>6.7953834190242191</v>
      </c>
      <c r="F44" s="11">
        <v>1788.6977031848121</v>
      </c>
      <c r="G44" s="34">
        <f t="shared" si="14"/>
        <v>5.5611850346495917</v>
      </c>
      <c r="H44" s="30"/>
      <c r="I44" s="11">
        <v>706699366177.94397</v>
      </c>
      <c r="J44" s="11">
        <v>7.8021437718668096</v>
      </c>
      <c r="K44" s="31"/>
      <c r="L44" s="11">
        <v>516713963</v>
      </c>
      <c r="M44" s="11">
        <v>7.6260000000000003</v>
      </c>
      <c r="N44" s="34">
        <f t="shared" si="9"/>
        <v>92.373999999999995</v>
      </c>
      <c r="O44" s="36">
        <f t="shared" si="4"/>
        <v>477309356.18161994</v>
      </c>
      <c r="P44" s="34">
        <f t="shared" si="11"/>
        <v>5095.261672542686</v>
      </c>
      <c r="Q44" s="34">
        <f t="shared" si="12"/>
        <v>5.1522477155280395</v>
      </c>
      <c r="R44" s="35">
        <f t="shared" si="10"/>
        <v>1480.5898041291262</v>
      </c>
      <c r="S44" s="34">
        <f t="shared" si="15"/>
        <v>6.1435182238880373</v>
      </c>
      <c r="T44" s="32"/>
      <c r="U44" s="11">
        <v>15.018238750171792</v>
      </c>
      <c r="V44" s="11">
        <v>7.5270636029121931</v>
      </c>
      <c r="W44" s="11">
        <v>380437061883.43781</v>
      </c>
      <c r="X44" s="11">
        <v>42.267106468212397</v>
      </c>
      <c r="Y44" s="11">
        <v>25.265722733605099</v>
      </c>
      <c r="Z44" s="11">
        <v>32.467165141529698</v>
      </c>
      <c r="AA44" s="30"/>
      <c r="AB44" s="11">
        <v>40.74249695452253</v>
      </c>
      <c r="AC44" s="11">
        <v>498258808231.521</v>
      </c>
      <c r="AD44" s="11">
        <v>582018012521.56775</v>
      </c>
      <c r="AE44" s="11">
        <v>5.78</v>
      </c>
      <c r="AF44" s="31"/>
      <c r="AG44" s="11">
        <v>39966091358.738403</v>
      </c>
      <c r="AH44" s="34">
        <f t="shared" si="13"/>
        <v>-10.104868489604453</v>
      </c>
      <c r="AI44" s="29">
        <f t="shared" si="1"/>
        <v>1.5073158325589415</v>
      </c>
      <c r="AJ44" s="41">
        <v>2651474262755.4521</v>
      </c>
    </row>
    <row r="45" spans="1:36" ht="15.75" customHeight="1" x14ac:dyDescent="0.25">
      <c r="A45" s="3" t="s">
        <v>40</v>
      </c>
      <c r="B45" s="11">
        <v>2018</v>
      </c>
      <c r="C45" s="33"/>
      <c r="D45" s="11">
        <v>2588974770244.4785</v>
      </c>
      <c r="E45" s="11">
        <v>6.4538513449529518</v>
      </c>
      <c r="F45" s="11">
        <v>1883.3577270505514</v>
      </c>
      <c r="G45" s="34">
        <f t="shared" si="14"/>
        <v>5.2921197191227565</v>
      </c>
      <c r="H45" s="30"/>
      <c r="I45" s="11">
        <v>785871380821.78479</v>
      </c>
      <c r="J45" s="11">
        <v>11.203068579504787</v>
      </c>
      <c r="K45" s="31"/>
      <c r="L45" s="11">
        <v>524292869</v>
      </c>
      <c r="M45" s="11">
        <v>7.6520000000000001</v>
      </c>
      <c r="N45" s="34">
        <f t="shared" si="9"/>
        <v>92.347999999999999</v>
      </c>
      <c r="O45" s="36">
        <f t="shared" si="4"/>
        <v>484173978.66412002</v>
      </c>
      <c r="P45" s="34">
        <f t="shared" si="11"/>
        <v>5347.1993215903403</v>
      </c>
      <c r="Q45" s="34">
        <f t="shared" si="12"/>
        <v>4.9445478022315186</v>
      </c>
      <c r="R45" s="35">
        <f t="shared" si="10"/>
        <v>1623.1177540562492</v>
      </c>
      <c r="S45" s="34">
        <f t="shared" si="15"/>
        <v>9.6264305974305344</v>
      </c>
      <c r="T45" s="32"/>
      <c r="U45" s="11">
        <v>14.881530667301684</v>
      </c>
      <c r="V45" s="11">
        <v>5.4115568850371574</v>
      </c>
      <c r="W45" s="11">
        <v>401024629899.02405</v>
      </c>
      <c r="X45" s="11">
        <v>41.294998924914097</v>
      </c>
      <c r="Y45" s="11">
        <v>25.3658737784355</v>
      </c>
      <c r="Z45" s="11">
        <v>33.339127296650503</v>
      </c>
      <c r="AA45" s="30"/>
      <c r="AB45" s="11">
        <v>43.616969332388891</v>
      </c>
      <c r="AC45" s="11">
        <v>538635186135.43817</v>
      </c>
      <c r="AD45" s="11">
        <v>640300806738.54187</v>
      </c>
      <c r="AE45" s="11">
        <v>4.88</v>
      </c>
      <c r="AF45" s="31"/>
      <c r="AG45" s="11">
        <v>42117450737.264397</v>
      </c>
      <c r="AH45" s="34">
        <f t="shared" si="13"/>
        <v>5.3829616692191458</v>
      </c>
      <c r="AI45" s="29">
        <f t="shared" si="1"/>
        <v>1.558214838014558</v>
      </c>
      <c r="AJ45" s="41">
        <v>2702929641648.7407</v>
      </c>
    </row>
    <row r="46" spans="1:36" ht="15.75" customHeight="1" x14ac:dyDescent="0.25">
      <c r="A46" s="3" t="s">
        <v>40</v>
      </c>
      <c r="B46" s="11">
        <v>2019</v>
      </c>
      <c r="C46" s="33"/>
      <c r="D46" s="11">
        <v>2689205295885.2617</v>
      </c>
      <c r="E46" s="11">
        <v>3.8714369407052374</v>
      </c>
      <c r="F46" s="11">
        <v>1936.0306774106321</v>
      </c>
      <c r="G46" s="34">
        <f t="shared" si="14"/>
        <v>2.7967575996605598</v>
      </c>
      <c r="H46" s="30"/>
      <c r="I46" s="11">
        <v>794883609043.54114</v>
      </c>
      <c r="J46" s="11">
        <v>1.1467815779641057</v>
      </c>
      <c r="K46" s="31"/>
      <c r="L46" s="11">
        <v>531373378</v>
      </c>
      <c r="M46" s="11">
        <v>6.51</v>
      </c>
      <c r="N46" s="34">
        <f t="shared" si="9"/>
        <v>93.49</v>
      </c>
      <c r="O46" s="36">
        <f t="shared" si="4"/>
        <v>496780971.09219998</v>
      </c>
      <c r="P46" s="34">
        <f t="shared" si="11"/>
        <v>5413.2614821636535</v>
      </c>
      <c r="Q46" s="34">
        <f t="shared" si="12"/>
        <v>1.2354534888305828</v>
      </c>
      <c r="R46" s="35">
        <f t="shared" si="10"/>
        <v>1600.0685519333526</v>
      </c>
      <c r="S46" s="34">
        <f t="shared" si="15"/>
        <v>-1.4200572980792965</v>
      </c>
      <c r="T46" s="32"/>
      <c r="U46" s="11">
        <v>13.455807563339416</v>
      </c>
      <c r="V46" s="11">
        <v>-2.9749629420838488</v>
      </c>
      <c r="W46" s="11">
        <v>389094295770.89917</v>
      </c>
      <c r="X46" s="11">
        <v>40.651814999322703</v>
      </c>
      <c r="Y46" s="11">
        <v>25.251113046720999</v>
      </c>
      <c r="Z46" s="11">
        <v>34.097073966908198</v>
      </c>
      <c r="AA46" s="30"/>
      <c r="AB46" s="11">
        <v>39.905403530644193</v>
      </c>
      <c r="AC46" s="11">
        <v>529245063167.21539</v>
      </c>
      <c r="AD46" s="11">
        <v>602315056052.52625</v>
      </c>
      <c r="AE46" s="11">
        <v>6.59</v>
      </c>
      <c r="AF46" s="31"/>
      <c r="AG46" s="11">
        <v>50610647353.591103</v>
      </c>
      <c r="AH46" s="34">
        <f t="shared" si="13"/>
        <v>20.165504957336253</v>
      </c>
      <c r="AI46" s="29">
        <f t="shared" si="1"/>
        <v>1.7848263395716071</v>
      </c>
      <c r="AJ46" s="41">
        <v>2835606256558.1948</v>
      </c>
    </row>
    <row r="47" spans="1:36" ht="15.75" customHeight="1" x14ac:dyDescent="0.25">
      <c r="A47" s="3" t="s">
        <v>40</v>
      </c>
      <c r="B47" s="11">
        <v>2020</v>
      </c>
      <c r="C47" s="33"/>
      <c r="D47" s="11">
        <v>2533830417086.3608</v>
      </c>
      <c r="E47" s="11">
        <v>-5.7777247068730304</v>
      </c>
      <c r="F47" s="11">
        <v>1806.5011058386517</v>
      </c>
      <c r="G47" s="34">
        <f t="shared" si="14"/>
        <v>-6.6904710283424453</v>
      </c>
      <c r="H47" s="30"/>
      <c r="I47" s="11">
        <v>738477753555.94299</v>
      </c>
      <c r="J47" s="11">
        <v>-7.0961150595959026</v>
      </c>
      <c r="K47" s="31"/>
      <c r="L47" s="11">
        <v>532528354</v>
      </c>
      <c r="M47" s="11">
        <v>7.859</v>
      </c>
      <c r="N47" s="34">
        <f t="shared" si="9"/>
        <v>92.141000000000005</v>
      </c>
      <c r="O47" s="36">
        <f t="shared" si="4"/>
        <v>490676950.65914005</v>
      </c>
      <c r="P47" s="34">
        <f t="shared" si="11"/>
        <v>5163.9483242133047</v>
      </c>
      <c r="Q47" s="34">
        <f t="shared" si="12"/>
        <v>-4.6055997622102591</v>
      </c>
      <c r="R47" s="35">
        <f t="shared" si="10"/>
        <v>1505.0182254616304</v>
      </c>
      <c r="S47" s="34">
        <f t="shared" si="15"/>
        <v>-5.9403908886824563</v>
      </c>
      <c r="T47" s="32"/>
      <c r="U47" s="11">
        <v>14.120485357692278</v>
      </c>
      <c r="V47" s="11">
        <v>3.0736109935103286</v>
      </c>
      <c r="W47" s="11">
        <v>401053540820.83514</v>
      </c>
      <c r="X47" s="11">
        <v>44.6754951957099</v>
      </c>
      <c r="Y47" s="11">
        <v>23.703647531851601</v>
      </c>
      <c r="Z47" s="11">
        <v>31.620857272438499</v>
      </c>
      <c r="AA47" s="30"/>
      <c r="AB47" s="11">
        <v>37.758105329276752</v>
      </c>
      <c r="AC47" s="11">
        <v>499728529072.62909</v>
      </c>
      <c r="AD47" s="11">
        <v>510244747372.17383</v>
      </c>
      <c r="AE47" s="11">
        <v>6.19</v>
      </c>
      <c r="AF47" s="31"/>
      <c r="AG47" s="11">
        <v>64362364994.375397</v>
      </c>
      <c r="AH47" s="34">
        <f t="shared" si="13"/>
        <v>27.171590089942871</v>
      </c>
      <c r="AI47" s="29">
        <f t="shared" si="1"/>
        <v>2.4062032267363627</v>
      </c>
      <c r="AJ47" s="41">
        <v>2674851578587.2686</v>
      </c>
    </row>
    <row r="48" spans="1:36" ht="15.75" customHeight="1" x14ac:dyDescent="0.25">
      <c r="A48" s="3" t="s">
        <v>40</v>
      </c>
      <c r="B48" s="11">
        <v>2021</v>
      </c>
      <c r="C48" s="33"/>
      <c r="D48" s="11">
        <v>2779348258938.2803</v>
      </c>
      <c r="E48" s="11">
        <v>9.6895924919174092</v>
      </c>
      <c r="F48" s="11">
        <v>1965.3094343747164</v>
      </c>
      <c r="G48" s="34">
        <f t="shared" si="14"/>
        <v>8.7909344767513637</v>
      </c>
      <c r="H48" s="30"/>
      <c r="I48" s="11">
        <v>867868706472.12244</v>
      </c>
      <c r="J48" s="11">
        <v>17.521306808923057</v>
      </c>
      <c r="K48" s="31"/>
      <c r="L48" s="11">
        <v>550352877</v>
      </c>
      <c r="M48" s="11">
        <v>6.38</v>
      </c>
      <c r="N48" s="34">
        <f t="shared" si="9"/>
        <v>93.62</v>
      </c>
      <c r="O48" s="36">
        <f t="shared" si="4"/>
        <v>515240363.44739997</v>
      </c>
      <c r="P48" s="34">
        <f t="shared" si="11"/>
        <v>5394.2750920018307</v>
      </c>
      <c r="Q48" s="34">
        <f t="shared" si="12"/>
        <v>4.4602841339163648</v>
      </c>
      <c r="R48" s="35">
        <f t="shared" si="10"/>
        <v>1684.3958044461742</v>
      </c>
      <c r="S48" s="34">
        <f t="shared" si="15"/>
        <v>11.918631678332252</v>
      </c>
      <c r="T48" s="32"/>
      <c r="U48" s="11">
        <v>14.377028853128614</v>
      </c>
      <c r="V48" s="11">
        <v>9.9552196717495889</v>
      </c>
      <c r="W48" s="11">
        <v>440979301810.87921</v>
      </c>
      <c r="X48" s="11">
        <v>44.079186886638198</v>
      </c>
      <c r="Y48" s="11">
        <v>24.4704786231875</v>
      </c>
      <c r="Z48" s="11">
        <v>31.450327114961201</v>
      </c>
      <c r="AA48" s="30"/>
      <c r="AB48" s="11">
        <v>45.423088784044594</v>
      </c>
      <c r="AC48" s="11">
        <v>677769255428.55212</v>
      </c>
      <c r="AD48" s="11">
        <v>760902891806.01318</v>
      </c>
      <c r="AE48" s="11">
        <v>5.87</v>
      </c>
      <c r="AF48" s="31"/>
      <c r="AG48" s="11">
        <v>44727277562.880997</v>
      </c>
      <c r="AH48" s="34">
        <f t="shared" si="13"/>
        <v>-30.507094376053928</v>
      </c>
      <c r="AI48" s="29">
        <f t="shared" si="1"/>
        <v>1.41217101040888</v>
      </c>
      <c r="AJ48" s="41">
        <v>3167270623260.4688</v>
      </c>
    </row>
    <row r="49" spans="1:36" ht="15.75" customHeight="1" x14ac:dyDescent="0.25">
      <c r="A49" s="3" t="s">
        <v>40</v>
      </c>
      <c r="B49" s="11">
        <v>2022</v>
      </c>
      <c r="C49" s="33"/>
      <c r="D49" s="11">
        <v>2990839011962.0557</v>
      </c>
      <c r="E49" s="11">
        <v>7.609364977693204</v>
      </c>
      <c r="F49" s="11">
        <v>2098.2112447612194</v>
      </c>
      <c r="G49" s="34">
        <f t="shared" si="14"/>
        <v>6.7623860172831822</v>
      </c>
      <c r="H49" s="30"/>
      <c r="I49" s="11">
        <v>941161453067.49158</v>
      </c>
      <c r="J49" s="11">
        <v>8.4451422258677127</v>
      </c>
      <c r="K49" s="31"/>
      <c r="L49" s="11">
        <v>569155867</v>
      </c>
      <c r="M49" s="11">
        <v>4.8220000000000001</v>
      </c>
      <c r="N49" s="34">
        <f t="shared" si="9"/>
        <v>95.177999999999997</v>
      </c>
      <c r="O49" s="36">
        <f t="shared" si="4"/>
        <v>541711171.09325993</v>
      </c>
      <c r="P49" s="34">
        <f t="shared" si="11"/>
        <v>5521.0953208257888</v>
      </c>
      <c r="Q49" s="34">
        <f t="shared" si="12"/>
        <v>2.3510152274583902</v>
      </c>
      <c r="R49" s="35">
        <f t="shared" si="10"/>
        <v>1737.3860892845851</v>
      </c>
      <c r="S49" s="34">
        <f t="shared" si="15"/>
        <v>3.1459520795846401</v>
      </c>
      <c r="T49" s="32"/>
      <c r="U49" s="11">
        <v>13.332720262397361</v>
      </c>
      <c r="V49" s="11">
        <v>-1.744196563454409</v>
      </c>
      <c r="W49" s="11">
        <v>433287755983.14862</v>
      </c>
      <c r="X49" s="11">
        <v>42.8609991503088</v>
      </c>
      <c r="Y49" s="11">
        <v>26.1203341573875</v>
      </c>
      <c r="Z49" s="11">
        <v>31.0186666923037</v>
      </c>
      <c r="AA49" s="30"/>
      <c r="AB49" s="11">
        <v>50.697938275804233</v>
      </c>
      <c r="AC49" s="11">
        <v>781290791563.82654</v>
      </c>
      <c r="AD49" s="11">
        <v>866361019118.76611</v>
      </c>
      <c r="AE49" s="11">
        <v>4.59</v>
      </c>
      <c r="AF49" s="31"/>
      <c r="AG49" s="11">
        <v>49940258404.2659</v>
      </c>
      <c r="AH49" s="34">
        <f t="shared" si="13"/>
        <v>11.655037206447675</v>
      </c>
      <c r="AI49" s="29">
        <f t="shared" si="1"/>
        <v>1.5366524174839336</v>
      </c>
      <c r="AJ49" s="41">
        <v>3249938492013.4712</v>
      </c>
    </row>
    <row r="50" spans="1:36" ht="15.75" customHeight="1" x14ac:dyDescent="0.25">
      <c r="A50" s="3" t="s">
        <v>40</v>
      </c>
      <c r="B50" s="11">
        <v>2023</v>
      </c>
      <c r="C50" s="33"/>
      <c r="D50" s="11">
        <v>3206485223026.3037</v>
      </c>
      <c r="E50" s="11">
        <v>7.2102246293350021</v>
      </c>
      <c r="F50" s="11">
        <v>2229.7149122303699</v>
      </c>
      <c r="G50" s="34">
        <f t="shared" si="14"/>
        <v>6.2674179159742271</v>
      </c>
      <c r="H50" s="30"/>
      <c r="I50" s="11">
        <v>1009423253895.8359</v>
      </c>
      <c r="J50" s="11">
        <v>7.2529320666354664</v>
      </c>
      <c r="K50" s="31"/>
      <c r="L50" s="11">
        <v>589486854</v>
      </c>
      <c r="M50" s="11">
        <v>4.1719999999999997</v>
      </c>
      <c r="N50" s="34">
        <f t="shared" si="9"/>
        <v>95.828000000000003</v>
      </c>
      <c r="O50" s="36">
        <f t="shared" si="4"/>
        <v>564893462.45112002</v>
      </c>
      <c r="P50" s="34">
        <f t="shared" si="11"/>
        <v>5676.2654131508198</v>
      </c>
      <c r="Q50" s="34">
        <f t="shared" si="12"/>
        <v>2.8104947172298091</v>
      </c>
      <c r="R50" s="35">
        <f t="shared" si="10"/>
        <v>1786.9267764506671</v>
      </c>
      <c r="S50" s="34">
        <f t="shared" si="15"/>
        <v>2.851449512093295</v>
      </c>
      <c r="T50" s="32"/>
      <c r="U50" s="11">
        <v>13.312843875072023</v>
      </c>
      <c r="V50" s="11">
        <v>12.707025648704672</v>
      </c>
      <c r="W50" s="11">
        <v>488345742268.62421</v>
      </c>
      <c r="X50" s="11">
        <v>43.513581124579296</v>
      </c>
      <c r="Y50" s="11">
        <v>25.029211598620101</v>
      </c>
      <c r="Z50" s="11">
        <v>31.457207276800599</v>
      </c>
      <c r="AA50" s="30"/>
      <c r="AB50" s="11">
        <v>46.322952058233838</v>
      </c>
      <c r="AC50" s="11">
        <v>782620610192.05066</v>
      </c>
      <c r="AD50" s="11">
        <v>839102411987.34082</v>
      </c>
      <c r="AE50" s="3" t="s">
        <v>84</v>
      </c>
      <c r="AF50" s="31"/>
      <c r="AG50" s="11">
        <v>28086193530.3979</v>
      </c>
      <c r="AH50" s="34">
        <f t="shared" si="13"/>
        <v>-43.760416089479477</v>
      </c>
      <c r="AI50" s="29">
        <f t="shared" si="1"/>
        <v>0.8022549958367563</v>
      </c>
      <c r="AJ50" s="41">
        <v>3500906030644.7642</v>
      </c>
    </row>
    <row r="51" spans="1:36" ht="15.75" customHeight="1" x14ac:dyDescent="0.25">
      <c r="A51" s="3" t="s">
        <v>40</v>
      </c>
      <c r="B51" s="11">
        <v>2024</v>
      </c>
      <c r="C51" s="33"/>
      <c r="D51" s="11">
        <v>3434122552914.7739</v>
      </c>
      <c r="E51" s="11">
        <v>7.0992789317651841</v>
      </c>
      <c r="F51" s="11">
        <v>2366.8328910323048</v>
      </c>
      <c r="G51" s="34">
        <f t="shared" si="14"/>
        <v>6.1495744612828842</v>
      </c>
      <c r="H51" s="30"/>
      <c r="I51" s="11">
        <v>1074125919425.715</v>
      </c>
      <c r="J51" s="11">
        <v>6.4098647698238835</v>
      </c>
      <c r="K51" s="31"/>
      <c r="L51" s="11">
        <v>608500805</v>
      </c>
      <c r="M51" s="11">
        <v>4.173</v>
      </c>
      <c r="N51" s="34">
        <f t="shared" si="9"/>
        <v>95.826999999999998</v>
      </c>
      <c r="O51" s="36">
        <f t="shared" si="4"/>
        <v>583108066.40734994</v>
      </c>
      <c r="P51" s="34">
        <f t="shared" si="11"/>
        <v>5889.3415316188593</v>
      </c>
      <c r="Q51" s="34">
        <f t="shared" si="12"/>
        <v>3.7538082340967178</v>
      </c>
      <c r="R51" s="35">
        <f t="shared" si="10"/>
        <v>1842.0700746666532</v>
      </c>
      <c r="S51" s="34">
        <f t="shared" si="15"/>
        <v>3.0859293700615971</v>
      </c>
      <c r="T51" s="32"/>
      <c r="U51" s="11">
        <v>13.139219949132599</v>
      </c>
      <c r="V51" s="11">
        <v>9.2890336559855626</v>
      </c>
      <c r="W51" s="11">
        <v>533708342625.52924</v>
      </c>
      <c r="X51" s="11">
        <v>42.3547738876441</v>
      </c>
      <c r="Y51" s="11">
        <v>25.370925971161199</v>
      </c>
      <c r="Z51" s="11">
        <v>32.274309744917801</v>
      </c>
      <c r="AA51" s="30"/>
      <c r="AB51" s="11">
        <v>45.916690767874819</v>
      </c>
      <c r="AC51" s="11">
        <v>829785193474.45898</v>
      </c>
      <c r="AD51" s="11">
        <v>897055898132.00037</v>
      </c>
      <c r="AE51" s="3" t="s">
        <v>84</v>
      </c>
      <c r="AF51" s="31"/>
      <c r="AG51" s="11">
        <v>27139853378.140202</v>
      </c>
      <c r="AH51" s="34">
        <f t="shared" si="13"/>
        <v>-3.3694140547506621</v>
      </c>
      <c r="AI51" s="29">
        <f t="shared" si="1"/>
        <v>0.72164848352677746</v>
      </c>
      <c r="AJ51" s="41">
        <v>3760813470500.8564</v>
      </c>
    </row>
    <row r="52" spans="1:36" ht="15.75" customHeight="1" x14ac:dyDescent="0.25">
      <c r="A52" s="3" t="s">
        <v>40</v>
      </c>
      <c r="B52" s="11">
        <v>2025</v>
      </c>
      <c r="C52" s="33"/>
      <c r="D52" s="11">
        <v>3693970992045.5615</v>
      </c>
      <c r="E52" s="11">
        <v>7.5666617928424387</v>
      </c>
      <c r="F52" s="11">
        <v>2523.4360185137643</v>
      </c>
      <c r="G52" s="34">
        <f t="shared" si="14"/>
        <v>6.6165688365584767</v>
      </c>
      <c r="H52" s="30"/>
      <c r="I52" s="11">
        <v>1150204050793.3862</v>
      </c>
      <c r="J52" s="11">
        <v>7.0827944835691881</v>
      </c>
      <c r="K52" s="31"/>
      <c r="L52" s="11">
        <v>617625336</v>
      </c>
      <c r="M52" s="11">
        <v>4.2190000000000003</v>
      </c>
      <c r="N52" s="34">
        <f t="shared" si="9"/>
        <v>95.781000000000006</v>
      </c>
      <c r="O52" s="36">
        <f t="shared" si="4"/>
        <v>591567723.0741601</v>
      </c>
      <c r="P52" s="34">
        <f t="shared" si="11"/>
        <v>6244.3754923770211</v>
      </c>
      <c r="Q52" s="34">
        <f t="shared" si="12"/>
        <v>6.0284152116504996</v>
      </c>
      <c r="R52" s="35">
        <f t="shared" si="10"/>
        <v>1944.3319943424201</v>
      </c>
      <c r="S52" s="34">
        <f t="shared" si="15"/>
        <v>5.5514673997552739</v>
      </c>
      <c r="T52" s="32"/>
      <c r="U52" s="11">
        <v>13.471055068464782</v>
      </c>
      <c r="V52" s="11">
        <v>11.531872924542057</v>
      </c>
      <c r="W52" s="11">
        <v>595254910484.78479</v>
      </c>
      <c r="X52" s="11">
        <v>41.625128087757297</v>
      </c>
      <c r="Y52" s="11">
        <v>25.817307380638098</v>
      </c>
      <c r="Z52" s="11">
        <v>32.557562503110901</v>
      </c>
      <c r="AA52" s="30"/>
      <c r="AB52" s="11">
        <v>46.268200685990735</v>
      </c>
      <c r="AC52" s="11">
        <v>880740846621.54529</v>
      </c>
      <c r="AD52" s="11">
        <v>949660225776.15845</v>
      </c>
      <c r="AE52" s="3" t="s">
        <v>84</v>
      </c>
      <c r="AF52" s="31"/>
      <c r="AG52" s="11">
        <v>39097233086.213303</v>
      </c>
      <c r="AH52" s="34">
        <f t="shared" si="13"/>
        <v>44.058379908950336</v>
      </c>
      <c r="AI52" s="29">
        <f t="shared" si="1"/>
        <v>0.98828538399524557</v>
      </c>
      <c r="AJ52" s="41">
        <v>3956067115771.6313</v>
      </c>
    </row>
    <row r="53" spans="1:36" ht="15.75" customHeight="1" x14ac:dyDescent="0.25">
      <c r="C53" s="33"/>
      <c r="H53" s="30"/>
      <c r="K53" s="31"/>
      <c r="T53" s="32"/>
      <c r="AA53" s="30"/>
      <c r="AF53" s="31"/>
    </row>
    <row r="54" spans="1:36" ht="15.75" customHeight="1" x14ac:dyDescent="0.25">
      <c r="C54" s="33"/>
      <c r="H54" s="30"/>
      <c r="K54" s="31"/>
      <c r="T54" s="32"/>
      <c r="AA54" s="30"/>
      <c r="AF54" s="31"/>
    </row>
    <row r="55" spans="1:36" ht="15.75" customHeight="1" x14ac:dyDescent="0.25">
      <c r="C55" s="33"/>
      <c r="H55" s="30"/>
      <c r="K55" s="31"/>
      <c r="T55" s="32"/>
      <c r="AA55" s="30"/>
      <c r="AF55" s="31"/>
    </row>
    <row r="56" spans="1:36" ht="15.75" customHeight="1" x14ac:dyDescent="0.25">
      <c r="C56" s="33"/>
      <c r="H56" s="30"/>
      <c r="K56" s="31"/>
      <c r="T56" s="32"/>
      <c r="AA56" s="30"/>
      <c r="AF56" s="31"/>
    </row>
    <row r="57" spans="1:36" ht="15.75" customHeight="1" x14ac:dyDescent="0.25">
      <c r="C57" s="33"/>
      <c r="H57" s="30"/>
      <c r="K57" s="31"/>
      <c r="T57" s="32"/>
      <c r="AA57" s="30"/>
      <c r="AF57" s="31"/>
    </row>
    <row r="58" spans="1:36" ht="15.75" customHeight="1" x14ac:dyDescent="0.25">
      <c r="C58" s="33"/>
      <c r="H58" s="30"/>
      <c r="K58" s="31"/>
      <c r="T58" s="32"/>
      <c r="AA58" s="30"/>
      <c r="AF58" s="31"/>
    </row>
    <row r="59" spans="1:36" ht="15.75" customHeight="1" x14ac:dyDescent="0.25">
      <c r="C59" s="33"/>
      <c r="H59" s="30"/>
      <c r="K59" s="31"/>
      <c r="T59" s="32"/>
      <c r="AA59" s="30"/>
      <c r="AF59" s="31"/>
    </row>
    <row r="60" spans="1:36" ht="15.75" customHeight="1" x14ac:dyDescent="0.25">
      <c r="C60" s="33"/>
      <c r="H60" s="30"/>
      <c r="K60" s="31"/>
      <c r="T60" s="32"/>
      <c r="AA60" s="30"/>
      <c r="AF60" s="31"/>
    </row>
    <row r="61" spans="1:36" ht="15.75" customHeight="1" x14ac:dyDescent="0.25">
      <c r="C61" s="33"/>
      <c r="H61" s="30"/>
      <c r="K61" s="31"/>
      <c r="T61" s="32"/>
      <c r="AA61" s="30"/>
      <c r="AF61" s="31"/>
    </row>
    <row r="62" spans="1:36" ht="15.75" customHeight="1" x14ac:dyDescent="0.25">
      <c r="C62" s="33"/>
      <c r="H62" s="30"/>
      <c r="K62" s="31"/>
      <c r="T62" s="32"/>
      <c r="AA62" s="30"/>
      <c r="AF62" s="31"/>
    </row>
    <row r="63" spans="1:36" ht="15.75" customHeight="1" x14ac:dyDescent="0.25">
      <c r="C63" s="33"/>
      <c r="H63" s="30"/>
      <c r="K63" s="31"/>
      <c r="T63" s="32"/>
      <c r="AA63" s="30"/>
      <c r="AF63" s="31"/>
    </row>
    <row r="64" spans="1:36" ht="15.75" customHeight="1" x14ac:dyDescent="0.25">
      <c r="C64" s="33"/>
      <c r="H64" s="30"/>
      <c r="K64" s="31"/>
      <c r="T64" s="32"/>
      <c r="AA64" s="30"/>
      <c r="AF64" s="31"/>
    </row>
    <row r="65" spans="3:32" ht="15.75" customHeight="1" x14ac:dyDescent="0.25">
      <c r="C65" s="33"/>
      <c r="H65" s="30"/>
      <c r="K65" s="31"/>
      <c r="T65" s="32"/>
      <c r="AA65" s="30"/>
      <c r="AF65" s="31"/>
    </row>
    <row r="66" spans="3:32" ht="15.75" customHeight="1" x14ac:dyDescent="0.25">
      <c r="C66" s="33"/>
      <c r="H66" s="30"/>
      <c r="K66" s="31"/>
      <c r="T66" s="32"/>
      <c r="AA66" s="30"/>
      <c r="AF66" s="31"/>
    </row>
    <row r="67" spans="3:32" ht="15.75" customHeight="1" x14ac:dyDescent="0.25">
      <c r="C67" s="33"/>
      <c r="H67" s="30"/>
      <c r="K67" s="31"/>
      <c r="T67" s="32"/>
      <c r="AA67" s="30"/>
      <c r="AF67" s="31"/>
    </row>
    <row r="68" spans="3:32" ht="15.75" customHeight="1" x14ac:dyDescent="0.25">
      <c r="C68" s="33"/>
      <c r="H68" s="30"/>
      <c r="K68" s="31"/>
      <c r="T68" s="32"/>
      <c r="AA68" s="30"/>
      <c r="AF68" s="31"/>
    </row>
    <row r="69" spans="3:32" ht="15.75" customHeight="1" x14ac:dyDescent="0.25">
      <c r="C69" s="33"/>
      <c r="H69" s="30"/>
      <c r="K69" s="31"/>
      <c r="T69" s="32"/>
      <c r="AA69" s="30"/>
      <c r="AF69" s="31"/>
    </row>
    <row r="70" spans="3:32" ht="15.75" customHeight="1" x14ac:dyDescent="0.25">
      <c r="C70" s="33"/>
      <c r="H70" s="30"/>
      <c r="K70" s="31"/>
      <c r="T70" s="32"/>
      <c r="AA70" s="30"/>
      <c r="AF70" s="31"/>
    </row>
    <row r="71" spans="3:32" ht="15.75" customHeight="1" x14ac:dyDescent="0.25">
      <c r="C71" s="33"/>
      <c r="H71" s="30"/>
      <c r="K71" s="31"/>
      <c r="T71" s="32"/>
      <c r="AA71" s="30"/>
      <c r="AF71" s="31"/>
    </row>
    <row r="72" spans="3:32" ht="15.75" customHeight="1" x14ac:dyDescent="0.25">
      <c r="C72" s="33"/>
      <c r="H72" s="30"/>
      <c r="K72" s="31"/>
      <c r="T72" s="32"/>
      <c r="AA72" s="30"/>
      <c r="AF72" s="31"/>
    </row>
    <row r="73" spans="3:32" ht="15.75" customHeight="1" x14ac:dyDescent="0.25">
      <c r="C73" s="33"/>
      <c r="H73" s="30"/>
      <c r="K73" s="31"/>
      <c r="T73" s="32"/>
      <c r="AA73" s="30"/>
      <c r="AF73" s="31"/>
    </row>
    <row r="74" spans="3:32" ht="15.75" customHeight="1" x14ac:dyDescent="0.25">
      <c r="C74" s="33"/>
      <c r="H74" s="30"/>
      <c r="K74" s="31"/>
      <c r="T74" s="32"/>
      <c r="AA74" s="30"/>
      <c r="AF74" s="31"/>
    </row>
    <row r="75" spans="3:32" ht="15.75" customHeight="1" x14ac:dyDescent="0.25">
      <c r="C75" s="33"/>
      <c r="H75" s="30"/>
      <c r="K75" s="31"/>
      <c r="T75" s="32"/>
      <c r="AA75" s="30"/>
      <c r="AF75" s="31"/>
    </row>
    <row r="76" spans="3:32" ht="15.75" customHeight="1" x14ac:dyDescent="0.25">
      <c r="C76" s="33"/>
      <c r="H76" s="30"/>
      <c r="K76" s="31"/>
      <c r="T76" s="32"/>
      <c r="AA76" s="30"/>
      <c r="AF76" s="31"/>
    </row>
    <row r="77" spans="3:32" ht="15.75" customHeight="1" x14ac:dyDescent="0.25">
      <c r="C77" s="33"/>
      <c r="H77" s="30"/>
      <c r="K77" s="31"/>
      <c r="T77" s="32"/>
      <c r="AA77" s="30"/>
      <c r="AF77" s="31"/>
    </row>
    <row r="78" spans="3:32" ht="15.75" customHeight="1" x14ac:dyDescent="0.25">
      <c r="C78" s="33"/>
      <c r="H78" s="30"/>
      <c r="K78" s="31"/>
      <c r="T78" s="32"/>
      <c r="AA78" s="30"/>
      <c r="AF78" s="31"/>
    </row>
    <row r="79" spans="3:32" ht="15.75" customHeight="1" x14ac:dyDescent="0.25">
      <c r="C79" s="33"/>
      <c r="H79" s="30"/>
      <c r="K79" s="31"/>
      <c r="T79" s="32"/>
      <c r="AA79" s="30"/>
      <c r="AF79" s="31"/>
    </row>
    <row r="80" spans="3:32" ht="15.75" customHeight="1" x14ac:dyDescent="0.25">
      <c r="C80" s="33"/>
      <c r="H80" s="30"/>
      <c r="K80" s="31"/>
      <c r="T80" s="32"/>
      <c r="AA80" s="30"/>
      <c r="AF80" s="31"/>
    </row>
    <row r="81" spans="3:32" ht="15.75" customHeight="1" x14ac:dyDescent="0.25">
      <c r="C81" s="33"/>
      <c r="H81" s="30"/>
      <c r="K81" s="31"/>
      <c r="T81" s="32"/>
      <c r="AA81" s="30"/>
      <c r="AF81" s="31"/>
    </row>
    <row r="82" spans="3:32" ht="15.75" customHeight="1" x14ac:dyDescent="0.25">
      <c r="C82" s="33"/>
      <c r="H82" s="30"/>
      <c r="K82" s="31"/>
      <c r="T82" s="32"/>
      <c r="AA82" s="30"/>
      <c r="AF82" s="31"/>
    </row>
    <row r="83" spans="3:32" ht="15.75" customHeight="1" x14ac:dyDescent="0.25">
      <c r="C83" s="33"/>
      <c r="H83" s="30"/>
      <c r="K83" s="31"/>
      <c r="T83" s="32"/>
      <c r="AA83" s="30"/>
      <c r="AF83" s="31"/>
    </row>
    <row r="84" spans="3:32" ht="15.75" customHeight="1" x14ac:dyDescent="0.25">
      <c r="C84" s="33"/>
      <c r="H84" s="30"/>
      <c r="K84" s="31"/>
      <c r="T84" s="32"/>
      <c r="AA84" s="30"/>
      <c r="AF84" s="31"/>
    </row>
    <row r="85" spans="3:32" ht="15.75" customHeight="1" x14ac:dyDescent="0.25">
      <c r="C85" s="33"/>
      <c r="H85" s="30"/>
      <c r="K85" s="31"/>
      <c r="T85" s="32"/>
      <c r="AA85" s="30"/>
      <c r="AF85" s="31"/>
    </row>
    <row r="86" spans="3:32" ht="15.75" customHeight="1" x14ac:dyDescent="0.25">
      <c r="C86" s="33"/>
      <c r="H86" s="30"/>
      <c r="K86" s="31"/>
      <c r="T86" s="32"/>
      <c r="AA86" s="30"/>
      <c r="AF86" s="31"/>
    </row>
    <row r="87" spans="3:32" ht="15.75" customHeight="1" x14ac:dyDescent="0.25">
      <c r="C87" s="33"/>
      <c r="H87" s="30"/>
      <c r="K87" s="31"/>
      <c r="T87" s="32"/>
      <c r="AA87" s="30"/>
      <c r="AF87" s="31"/>
    </row>
    <row r="88" spans="3:32" ht="15.75" customHeight="1" x14ac:dyDescent="0.25">
      <c r="C88" s="33"/>
      <c r="H88" s="30"/>
      <c r="K88" s="31"/>
      <c r="T88" s="32"/>
      <c r="AA88" s="30"/>
      <c r="AF88" s="31"/>
    </row>
    <row r="89" spans="3:32" ht="15.75" customHeight="1" x14ac:dyDescent="0.25">
      <c r="C89" s="33"/>
      <c r="H89" s="30"/>
      <c r="K89" s="31"/>
      <c r="T89" s="32"/>
      <c r="AA89" s="30"/>
      <c r="AF89" s="31"/>
    </row>
    <row r="90" spans="3:32" ht="15.75" customHeight="1" x14ac:dyDescent="0.25">
      <c r="C90" s="33"/>
      <c r="H90" s="30"/>
      <c r="K90" s="31"/>
      <c r="T90" s="32"/>
      <c r="AA90" s="30"/>
      <c r="AF90" s="31"/>
    </row>
    <row r="91" spans="3:32" ht="15.75" customHeight="1" x14ac:dyDescent="0.25">
      <c r="C91" s="33"/>
      <c r="H91" s="30"/>
      <c r="K91" s="31"/>
      <c r="T91" s="32"/>
      <c r="AA91" s="30"/>
      <c r="AF91" s="31"/>
    </row>
    <row r="92" spans="3:32" ht="15.75" customHeight="1" x14ac:dyDescent="0.25">
      <c r="C92" s="33"/>
      <c r="H92" s="30"/>
      <c r="K92" s="31"/>
      <c r="T92" s="32"/>
      <c r="AA92" s="30"/>
      <c r="AF92" s="31"/>
    </row>
    <row r="93" spans="3:32" ht="15.75" customHeight="1" x14ac:dyDescent="0.25">
      <c r="C93" s="33"/>
      <c r="H93" s="30"/>
      <c r="K93" s="31"/>
      <c r="T93" s="32"/>
      <c r="AA93" s="30"/>
      <c r="AF93" s="31"/>
    </row>
    <row r="94" spans="3:32" ht="15.75" customHeight="1" x14ac:dyDescent="0.25">
      <c r="C94" s="33"/>
      <c r="H94" s="30"/>
      <c r="K94" s="31"/>
      <c r="T94" s="32"/>
      <c r="AA94" s="30"/>
      <c r="AF94" s="31"/>
    </row>
    <row r="95" spans="3:32" ht="15.75" customHeight="1" x14ac:dyDescent="0.25">
      <c r="C95" s="33"/>
      <c r="H95" s="30"/>
      <c r="K95" s="31"/>
      <c r="T95" s="32"/>
      <c r="AA95" s="30"/>
      <c r="AF95" s="31"/>
    </row>
    <row r="96" spans="3:32" ht="15.75" customHeight="1" x14ac:dyDescent="0.25">
      <c r="C96" s="33"/>
      <c r="H96" s="30"/>
      <c r="K96" s="31"/>
      <c r="T96" s="32"/>
      <c r="AA96" s="30"/>
      <c r="AF96" s="31"/>
    </row>
    <row r="97" spans="3:32" ht="15.75" customHeight="1" x14ac:dyDescent="0.25">
      <c r="C97" s="33"/>
      <c r="H97" s="30"/>
      <c r="K97" s="31"/>
      <c r="T97" s="32"/>
      <c r="AA97" s="30"/>
      <c r="AF97" s="31"/>
    </row>
    <row r="98" spans="3:32" ht="15.75" customHeight="1" x14ac:dyDescent="0.25">
      <c r="C98" s="33"/>
      <c r="H98" s="30"/>
      <c r="K98" s="31"/>
      <c r="T98" s="32"/>
      <c r="AA98" s="30"/>
      <c r="AF98" s="31"/>
    </row>
    <row r="99" spans="3:32" ht="15.75" customHeight="1" x14ac:dyDescent="0.25">
      <c r="C99" s="33"/>
      <c r="H99" s="30"/>
      <c r="K99" s="31"/>
      <c r="T99" s="32"/>
      <c r="AA99" s="30"/>
      <c r="AF99" s="31"/>
    </row>
    <row r="100" spans="3:32" ht="15.75" customHeight="1" x14ac:dyDescent="0.25">
      <c r="C100" s="33"/>
      <c r="H100" s="30"/>
      <c r="K100" s="31"/>
      <c r="T100" s="32"/>
      <c r="AA100" s="30"/>
      <c r="AF100" s="31"/>
    </row>
    <row r="101" spans="3:32" ht="15.75" customHeight="1" x14ac:dyDescent="0.25">
      <c r="C101" s="33"/>
      <c r="H101" s="30"/>
      <c r="K101" s="31"/>
      <c r="T101" s="32"/>
      <c r="AA101" s="30"/>
      <c r="AF101" s="31"/>
    </row>
    <row r="102" spans="3:32" ht="15.75" customHeight="1" x14ac:dyDescent="0.25">
      <c r="C102" s="33"/>
      <c r="H102" s="30"/>
      <c r="K102" s="31"/>
      <c r="T102" s="32"/>
      <c r="AA102" s="30"/>
      <c r="AF102" s="31"/>
    </row>
    <row r="103" spans="3:32" ht="15.75" customHeight="1" x14ac:dyDescent="0.25">
      <c r="C103" s="33"/>
      <c r="H103" s="30"/>
      <c r="K103" s="31"/>
      <c r="T103" s="32"/>
      <c r="AA103" s="30"/>
      <c r="AF103" s="31"/>
    </row>
    <row r="104" spans="3:32" ht="15.75" customHeight="1" x14ac:dyDescent="0.25">
      <c r="C104" s="33"/>
      <c r="H104" s="30"/>
      <c r="K104" s="31"/>
      <c r="T104" s="32"/>
      <c r="AA104" s="30"/>
      <c r="AF104" s="31"/>
    </row>
    <row r="105" spans="3:32" ht="15.75" customHeight="1" x14ac:dyDescent="0.25">
      <c r="C105" s="33"/>
      <c r="H105" s="30"/>
      <c r="K105" s="31"/>
      <c r="T105" s="32"/>
      <c r="AA105" s="30"/>
      <c r="AF105" s="31"/>
    </row>
    <row r="106" spans="3:32" ht="15.75" customHeight="1" x14ac:dyDescent="0.25">
      <c r="C106" s="33"/>
      <c r="H106" s="30"/>
      <c r="K106" s="31"/>
      <c r="T106" s="32"/>
      <c r="AA106" s="30"/>
      <c r="AF106" s="31"/>
    </row>
    <row r="107" spans="3:32" ht="15.75" customHeight="1" x14ac:dyDescent="0.25">
      <c r="C107" s="33"/>
      <c r="H107" s="30"/>
      <c r="K107" s="31"/>
      <c r="T107" s="32"/>
      <c r="AA107" s="30"/>
      <c r="AF107" s="31"/>
    </row>
    <row r="108" spans="3:32" ht="15.75" customHeight="1" x14ac:dyDescent="0.25">
      <c r="C108" s="33"/>
      <c r="H108" s="30"/>
      <c r="K108" s="31"/>
      <c r="T108" s="32"/>
      <c r="AA108" s="30"/>
      <c r="AF108" s="31"/>
    </row>
    <row r="109" spans="3:32" ht="15.75" customHeight="1" x14ac:dyDescent="0.25">
      <c r="C109" s="33"/>
      <c r="H109" s="30"/>
      <c r="K109" s="31"/>
      <c r="T109" s="32"/>
      <c r="AA109" s="30"/>
      <c r="AF109" s="31"/>
    </row>
    <row r="110" spans="3:32" ht="15.75" customHeight="1" x14ac:dyDescent="0.25">
      <c r="C110" s="33"/>
      <c r="H110" s="30"/>
      <c r="K110" s="31"/>
      <c r="T110" s="32"/>
      <c r="AA110" s="30"/>
      <c r="AF110" s="31"/>
    </row>
    <row r="111" spans="3:32" ht="15.75" customHeight="1" x14ac:dyDescent="0.25">
      <c r="C111" s="33"/>
      <c r="H111" s="30"/>
      <c r="K111" s="31"/>
      <c r="T111" s="32"/>
      <c r="AA111" s="30"/>
      <c r="AF111" s="31"/>
    </row>
    <row r="112" spans="3:32" ht="15.75" customHeight="1" x14ac:dyDescent="0.25">
      <c r="C112" s="33"/>
      <c r="H112" s="30"/>
      <c r="K112" s="31"/>
      <c r="T112" s="32"/>
      <c r="AA112" s="30"/>
      <c r="AF112" s="31"/>
    </row>
    <row r="113" spans="3:32" ht="15.75" customHeight="1" x14ac:dyDescent="0.25">
      <c r="C113" s="33"/>
      <c r="H113" s="30"/>
      <c r="K113" s="31"/>
      <c r="T113" s="32"/>
      <c r="AA113" s="30"/>
      <c r="AF113" s="31"/>
    </row>
    <row r="114" spans="3:32" ht="15.75" customHeight="1" x14ac:dyDescent="0.25">
      <c r="C114" s="33"/>
      <c r="H114" s="30"/>
      <c r="K114" s="31"/>
      <c r="T114" s="32"/>
      <c r="AA114" s="30"/>
      <c r="AF114" s="31"/>
    </row>
    <row r="115" spans="3:32" ht="15.75" customHeight="1" x14ac:dyDescent="0.25">
      <c r="C115" s="33"/>
      <c r="H115" s="30"/>
      <c r="K115" s="31"/>
      <c r="T115" s="32"/>
      <c r="AA115" s="30"/>
      <c r="AF115" s="31"/>
    </row>
    <row r="116" spans="3:32" ht="15.75" customHeight="1" x14ac:dyDescent="0.25">
      <c r="C116" s="33"/>
      <c r="H116" s="30"/>
      <c r="K116" s="31"/>
      <c r="T116" s="32"/>
      <c r="AA116" s="30"/>
      <c r="AF116" s="31"/>
    </row>
    <row r="117" spans="3:32" ht="15.75" customHeight="1" x14ac:dyDescent="0.25">
      <c r="C117" s="33"/>
      <c r="H117" s="30"/>
      <c r="K117" s="31"/>
      <c r="T117" s="32"/>
      <c r="AA117" s="30"/>
      <c r="AF117" s="31"/>
    </row>
    <row r="118" spans="3:32" ht="15.75" customHeight="1" x14ac:dyDescent="0.25">
      <c r="C118" s="33"/>
      <c r="H118" s="30"/>
      <c r="K118" s="31"/>
      <c r="T118" s="32"/>
      <c r="AA118" s="30"/>
      <c r="AF118" s="31"/>
    </row>
    <row r="119" spans="3:32" ht="15.75" customHeight="1" x14ac:dyDescent="0.25">
      <c r="C119" s="33"/>
      <c r="H119" s="30"/>
      <c r="K119" s="31"/>
      <c r="T119" s="32"/>
      <c r="AA119" s="30"/>
      <c r="AF119" s="31"/>
    </row>
    <row r="120" spans="3:32" ht="15.75" customHeight="1" x14ac:dyDescent="0.25">
      <c r="C120" s="33"/>
      <c r="H120" s="30"/>
      <c r="K120" s="31"/>
      <c r="T120" s="32"/>
      <c r="AA120" s="30"/>
      <c r="AF120" s="31"/>
    </row>
    <row r="121" spans="3:32" ht="15.75" customHeight="1" x14ac:dyDescent="0.25">
      <c r="C121" s="33"/>
      <c r="H121" s="30"/>
      <c r="K121" s="31"/>
      <c r="T121" s="32"/>
      <c r="AA121" s="30"/>
      <c r="AF121" s="31"/>
    </row>
    <row r="122" spans="3:32" ht="15.75" customHeight="1" x14ac:dyDescent="0.25">
      <c r="C122" s="33"/>
      <c r="H122" s="30"/>
      <c r="K122" s="31"/>
      <c r="T122" s="32"/>
      <c r="AA122" s="30"/>
      <c r="AF122" s="31"/>
    </row>
    <row r="123" spans="3:32" ht="15.75" customHeight="1" x14ac:dyDescent="0.25">
      <c r="C123" s="33"/>
      <c r="H123" s="30"/>
      <c r="K123" s="31"/>
      <c r="T123" s="32"/>
      <c r="AA123" s="30"/>
      <c r="AF123" s="31"/>
    </row>
    <row r="124" spans="3:32" ht="15.75" customHeight="1" x14ac:dyDescent="0.25">
      <c r="C124" s="33"/>
      <c r="H124" s="30"/>
      <c r="K124" s="31"/>
      <c r="T124" s="32"/>
      <c r="AA124" s="30"/>
      <c r="AF124" s="31"/>
    </row>
    <row r="125" spans="3:32" ht="15.75" customHeight="1" x14ac:dyDescent="0.25">
      <c r="C125" s="33"/>
      <c r="H125" s="30"/>
      <c r="K125" s="31"/>
      <c r="T125" s="32"/>
      <c r="AA125" s="30"/>
      <c r="AF125" s="31"/>
    </row>
    <row r="126" spans="3:32" ht="15.75" customHeight="1" x14ac:dyDescent="0.25">
      <c r="C126" s="33"/>
      <c r="H126" s="30"/>
      <c r="K126" s="31"/>
      <c r="T126" s="32"/>
      <c r="AA126" s="30"/>
      <c r="AF126" s="31"/>
    </row>
    <row r="127" spans="3:32" ht="15.75" customHeight="1" x14ac:dyDescent="0.25">
      <c r="C127" s="33"/>
      <c r="H127" s="30"/>
      <c r="K127" s="31"/>
      <c r="T127" s="32"/>
      <c r="AA127" s="30"/>
      <c r="AF127" s="31"/>
    </row>
    <row r="128" spans="3:32" ht="15.75" customHeight="1" x14ac:dyDescent="0.25">
      <c r="C128" s="33"/>
      <c r="H128" s="30"/>
      <c r="K128" s="31"/>
      <c r="T128" s="32"/>
      <c r="AA128" s="30"/>
      <c r="AF128" s="31"/>
    </row>
    <row r="129" spans="3:32" ht="15.75" customHeight="1" x14ac:dyDescent="0.25">
      <c r="C129" s="33"/>
      <c r="H129" s="30"/>
      <c r="K129" s="31"/>
      <c r="T129" s="32"/>
      <c r="AA129" s="30"/>
      <c r="AF129" s="31"/>
    </row>
    <row r="130" spans="3:32" ht="15.75" customHeight="1" x14ac:dyDescent="0.25">
      <c r="C130" s="33"/>
      <c r="H130" s="30"/>
      <c r="K130" s="31"/>
      <c r="T130" s="32"/>
      <c r="AA130" s="30"/>
      <c r="AF130" s="31"/>
    </row>
    <row r="131" spans="3:32" ht="15.75" customHeight="1" x14ac:dyDescent="0.25">
      <c r="C131" s="33"/>
      <c r="H131" s="30"/>
      <c r="K131" s="31"/>
      <c r="T131" s="32"/>
      <c r="AA131" s="30"/>
      <c r="AF131" s="31"/>
    </row>
    <row r="132" spans="3:32" ht="15.75" customHeight="1" x14ac:dyDescent="0.25">
      <c r="C132" s="33"/>
      <c r="H132" s="30"/>
      <c r="K132" s="31"/>
      <c r="T132" s="32"/>
      <c r="AA132" s="30"/>
      <c r="AF132" s="31"/>
    </row>
    <row r="133" spans="3:32" ht="15.75" customHeight="1" x14ac:dyDescent="0.25">
      <c r="C133" s="33"/>
      <c r="H133" s="30"/>
      <c r="K133" s="31"/>
      <c r="T133" s="32"/>
      <c r="AA133" s="30"/>
      <c r="AF133" s="31"/>
    </row>
    <row r="134" spans="3:32" ht="15.75" customHeight="1" x14ac:dyDescent="0.25">
      <c r="C134" s="33"/>
      <c r="H134" s="30"/>
      <c r="K134" s="31"/>
      <c r="T134" s="32"/>
      <c r="AA134" s="30"/>
      <c r="AF134" s="31"/>
    </row>
    <row r="135" spans="3:32" ht="15.75" customHeight="1" x14ac:dyDescent="0.25">
      <c r="C135" s="33"/>
      <c r="H135" s="30"/>
      <c r="K135" s="31"/>
      <c r="T135" s="32"/>
      <c r="AA135" s="30"/>
      <c r="AF135" s="31"/>
    </row>
    <row r="136" spans="3:32" ht="15.75" customHeight="1" x14ac:dyDescent="0.25">
      <c r="C136" s="33"/>
      <c r="H136" s="30"/>
      <c r="K136" s="31"/>
      <c r="T136" s="32"/>
      <c r="AA136" s="30"/>
      <c r="AF136" s="31"/>
    </row>
    <row r="137" spans="3:32" ht="15.75" customHeight="1" x14ac:dyDescent="0.25">
      <c r="C137" s="33"/>
      <c r="H137" s="30"/>
      <c r="K137" s="31"/>
      <c r="T137" s="32"/>
      <c r="AA137" s="30"/>
      <c r="AF137" s="31"/>
    </row>
    <row r="138" spans="3:32" ht="15.75" customHeight="1" x14ac:dyDescent="0.25">
      <c r="C138" s="33"/>
      <c r="H138" s="30"/>
      <c r="K138" s="31"/>
      <c r="T138" s="32"/>
      <c r="AA138" s="30"/>
      <c r="AF138" s="31"/>
    </row>
    <row r="139" spans="3:32" ht="15.75" customHeight="1" x14ac:dyDescent="0.25">
      <c r="C139" s="33"/>
      <c r="H139" s="30"/>
      <c r="K139" s="31"/>
      <c r="T139" s="32"/>
      <c r="AA139" s="30"/>
      <c r="AF139" s="31"/>
    </row>
    <row r="140" spans="3:32" ht="15.75" customHeight="1" x14ac:dyDescent="0.25">
      <c r="C140" s="33"/>
      <c r="H140" s="30"/>
      <c r="K140" s="31"/>
      <c r="T140" s="32"/>
      <c r="AA140" s="30"/>
      <c r="AF140" s="31"/>
    </row>
    <row r="141" spans="3:32" ht="15.75" customHeight="1" x14ac:dyDescent="0.25">
      <c r="C141" s="33"/>
      <c r="H141" s="30"/>
      <c r="K141" s="31"/>
      <c r="T141" s="32"/>
      <c r="AA141" s="30"/>
      <c r="AF141" s="31"/>
    </row>
    <row r="142" spans="3:32" ht="15.75" customHeight="1" x14ac:dyDescent="0.25">
      <c r="C142" s="33"/>
      <c r="H142" s="30"/>
      <c r="K142" s="31"/>
      <c r="T142" s="32"/>
      <c r="AA142" s="30"/>
      <c r="AF142" s="31"/>
    </row>
    <row r="143" spans="3:32" ht="15.75" customHeight="1" x14ac:dyDescent="0.25">
      <c r="C143" s="33"/>
      <c r="H143" s="30"/>
      <c r="K143" s="31"/>
      <c r="T143" s="32"/>
      <c r="AA143" s="30"/>
      <c r="AF143" s="31"/>
    </row>
    <row r="144" spans="3:32" ht="15.75" customHeight="1" x14ac:dyDescent="0.25">
      <c r="C144" s="33"/>
      <c r="H144" s="30"/>
      <c r="K144" s="31"/>
      <c r="T144" s="32"/>
      <c r="AA144" s="30"/>
      <c r="AF144" s="31"/>
    </row>
    <row r="145" spans="3:32" ht="15.75" customHeight="1" x14ac:dyDescent="0.25">
      <c r="C145" s="33"/>
      <c r="H145" s="30"/>
      <c r="K145" s="31"/>
      <c r="T145" s="32"/>
      <c r="AA145" s="30"/>
      <c r="AF145" s="31"/>
    </row>
    <row r="146" spans="3:32" ht="15.75" customHeight="1" x14ac:dyDescent="0.25">
      <c r="C146" s="33"/>
      <c r="H146" s="30"/>
      <c r="K146" s="31"/>
      <c r="T146" s="32"/>
      <c r="AA146" s="30"/>
      <c r="AF146" s="31"/>
    </row>
    <row r="147" spans="3:32" ht="15.75" customHeight="1" x14ac:dyDescent="0.25">
      <c r="C147" s="33"/>
      <c r="H147" s="30"/>
      <c r="K147" s="31"/>
      <c r="T147" s="32"/>
      <c r="AA147" s="30"/>
      <c r="AF147" s="31"/>
    </row>
    <row r="148" spans="3:32" ht="15.75" customHeight="1" x14ac:dyDescent="0.25">
      <c r="C148" s="33"/>
      <c r="H148" s="30"/>
      <c r="K148" s="31"/>
      <c r="T148" s="32"/>
      <c r="AA148" s="30"/>
      <c r="AF148" s="31"/>
    </row>
    <row r="149" spans="3:32" ht="15.75" customHeight="1" x14ac:dyDescent="0.25">
      <c r="C149" s="33"/>
      <c r="H149" s="30"/>
      <c r="K149" s="31"/>
      <c r="T149" s="32"/>
      <c r="AA149" s="30"/>
      <c r="AF149" s="31"/>
    </row>
    <row r="150" spans="3:32" ht="15.75" customHeight="1" x14ac:dyDescent="0.25">
      <c r="C150" s="33"/>
      <c r="H150" s="30"/>
      <c r="K150" s="31"/>
      <c r="T150" s="32"/>
      <c r="AA150" s="30"/>
      <c r="AF150" s="31"/>
    </row>
    <row r="151" spans="3:32" ht="15.75" customHeight="1" x14ac:dyDescent="0.25">
      <c r="C151" s="33"/>
      <c r="H151" s="30"/>
      <c r="K151" s="31"/>
      <c r="T151" s="32"/>
      <c r="AA151" s="30"/>
      <c r="AF151" s="31"/>
    </row>
    <row r="152" spans="3:32" ht="15.75" customHeight="1" x14ac:dyDescent="0.25">
      <c r="C152" s="33"/>
      <c r="H152" s="30"/>
      <c r="K152" s="31"/>
      <c r="T152" s="32"/>
      <c r="AA152" s="30"/>
      <c r="AF152" s="31"/>
    </row>
    <row r="153" spans="3:32" ht="15.75" customHeight="1" x14ac:dyDescent="0.25">
      <c r="C153" s="33"/>
      <c r="H153" s="30"/>
      <c r="K153" s="31"/>
      <c r="T153" s="32"/>
      <c r="AA153" s="30"/>
      <c r="AF153" s="31"/>
    </row>
    <row r="154" spans="3:32" ht="15.75" customHeight="1" x14ac:dyDescent="0.25">
      <c r="C154" s="33"/>
      <c r="H154" s="30"/>
      <c r="K154" s="31"/>
      <c r="T154" s="32"/>
      <c r="AA154" s="30"/>
      <c r="AF154" s="31"/>
    </row>
    <row r="155" spans="3:32" ht="15.75" customHeight="1" x14ac:dyDescent="0.25">
      <c r="C155" s="33"/>
      <c r="H155" s="30"/>
      <c r="K155" s="31"/>
      <c r="T155" s="32"/>
      <c r="AA155" s="30"/>
      <c r="AF155" s="31"/>
    </row>
    <row r="156" spans="3:32" ht="15.75" customHeight="1" x14ac:dyDescent="0.25">
      <c r="C156" s="33"/>
      <c r="H156" s="30"/>
      <c r="K156" s="31"/>
      <c r="T156" s="32"/>
      <c r="AA156" s="30"/>
      <c r="AF156" s="31"/>
    </row>
    <row r="157" spans="3:32" ht="15.75" customHeight="1" x14ac:dyDescent="0.25">
      <c r="C157" s="33"/>
      <c r="H157" s="30"/>
      <c r="K157" s="31"/>
      <c r="T157" s="32"/>
      <c r="AA157" s="30"/>
      <c r="AF157" s="31"/>
    </row>
    <row r="158" spans="3:32" ht="15.75" customHeight="1" x14ac:dyDescent="0.25">
      <c r="C158" s="33"/>
      <c r="H158" s="30"/>
      <c r="K158" s="31"/>
      <c r="T158" s="32"/>
      <c r="AA158" s="30"/>
      <c r="AF158" s="31"/>
    </row>
    <row r="159" spans="3:32" ht="15.75" customHeight="1" x14ac:dyDescent="0.25">
      <c r="C159" s="33"/>
      <c r="H159" s="30"/>
      <c r="K159" s="31"/>
      <c r="T159" s="32"/>
      <c r="AA159" s="30"/>
      <c r="AF159" s="31"/>
    </row>
    <row r="160" spans="3:32" ht="15.75" customHeight="1" x14ac:dyDescent="0.25">
      <c r="C160" s="33"/>
      <c r="H160" s="30"/>
      <c r="K160" s="31"/>
      <c r="T160" s="32"/>
      <c r="AA160" s="30"/>
      <c r="AF160" s="31"/>
    </row>
    <row r="161" spans="3:32" ht="15.75" customHeight="1" x14ac:dyDescent="0.25">
      <c r="C161" s="33"/>
      <c r="H161" s="30"/>
      <c r="K161" s="31"/>
      <c r="T161" s="32"/>
      <c r="AA161" s="30"/>
      <c r="AF161" s="31"/>
    </row>
    <row r="162" spans="3:32" ht="15.75" customHeight="1" x14ac:dyDescent="0.25">
      <c r="C162" s="33"/>
      <c r="H162" s="30"/>
      <c r="K162" s="31"/>
      <c r="T162" s="32"/>
      <c r="AA162" s="30"/>
      <c r="AF162" s="31"/>
    </row>
    <row r="163" spans="3:32" ht="15.75" customHeight="1" x14ac:dyDescent="0.25">
      <c r="C163" s="33"/>
      <c r="H163" s="30"/>
      <c r="K163" s="31"/>
      <c r="T163" s="32"/>
      <c r="AA163" s="30"/>
      <c r="AF163" s="31"/>
    </row>
    <row r="164" spans="3:32" ht="15.75" customHeight="1" x14ac:dyDescent="0.25">
      <c r="C164" s="33"/>
      <c r="H164" s="30"/>
      <c r="K164" s="31"/>
      <c r="T164" s="32"/>
      <c r="AA164" s="30"/>
      <c r="AF164" s="31"/>
    </row>
    <row r="165" spans="3:32" ht="15.75" customHeight="1" x14ac:dyDescent="0.25">
      <c r="C165" s="33"/>
      <c r="H165" s="30"/>
      <c r="K165" s="31"/>
      <c r="T165" s="32"/>
      <c r="AA165" s="30"/>
      <c r="AF165" s="31"/>
    </row>
    <row r="166" spans="3:32" ht="15.75" customHeight="1" x14ac:dyDescent="0.25">
      <c r="C166" s="33"/>
      <c r="H166" s="30"/>
      <c r="K166" s="31"/>
      <c r="T166" s="32"/>
      <c r="AA166" s="30"/>
      <c r="AF166" s="31"/>
    </row>
    <row r="167" spans="3:32" ht="15.75" customHeight="1" x14ac:dyDescent="0.25">
      <c r="C167" s="33"/>
      <c r="H167" s="30"/>
      <c r="K167" s="31"/>
      <c r="T167" s="32"/>
      <c r="AA167" s="30"/>
      <c r="AF167" s="31"/>
    </row>
    <row r="168" spans="3:32" ht="15.75" customHeight="1" x14ac:dyDescent="0.25">
      <c r="C168" s="33"/>
      <c r="H168" s="30"/>
      <c r="K168" s="31"/>
      <c r="T168" s="32"/>
      <c r="AA168" s="30"/>
      <c r="AF168" s="31"/>
    </row>
    <row r="169" spans="3:32" ht="15.75" customHeight="1" x14ac:dyDescent="0.25">
      <c r="C169" s="33"/>
      <c r="H169" s="30"/>
      <c r="K169" s="31"/>
      <c r="T169" s="32"/>
      <c r="AA169" s="30"/>
      <c r="AF169" s="31"/>
    </row>
    <row r="170" spans="3:32" ht="15.75" customHeight="1" x14ac:dyDescent="0.25">
      <c r="C170" s="33"/>
      <c r="H170" s="30"/>
      <c r="K170" s="31"/>
      <c r="T170" s="32"/>
      <c r="AA170" s="30"/>
      <c r="AF170" s="31"/>
    </row>
    <row r="171" spans="3:32" ht="15.75" customHeight="1" x14ac:dyDescent="0.25">
      <c r="C171" s="33"/>
      <c r="H171" s="30"/>
      <c r="K171" s="31"/>
      <c r="T171" s="32"/>
      <c r="AA171" s="30"/>
      <c r="AF171" s="31"/>
    </row>
    <row r="172" spans="3:32" ht="15.75" customHeight="1" x14ac:dyDescent="0.25">
      <c r="C172" s="33"/>
      <c r="H172" s="30"/>
      <c r="K172" s="31"/>
      <c r="T172" s="32"/>
      <c r="AA172" s="30"/>
      <c r="AF172" s="31"/>
    </row>
    <row r="173" spans="3:32" ht="15.75" customHeight="1" x14ac:dyDescent="0.25">
      <c r="C173" s="33"/>
      <c r="H173" s="30"/>
      <c r="K173" s="31"/>
      <c r="T173" s="32"/>
      <c r="AA173" s="30"/>
      <c r="AF173" s="31"/>
    </row>
    <row r="174" spans="3:32" ht="15.75" customHeight="1" x14ac:dyDescent="0.25">
      <c r="C174" s="33"/>
      <c r="H174" s="30"/>
      <c r="K174" s="31"/>
      <c r="T174" s="32"/>
      <c r="AA174" s="30"/>
      <c r="AF174" s="31"/>
    </row>
    <row r="175" spans="3:32" ht="15.75" customHeight="1" x14ac:dyDescent="0.25">
      <c r="C175" s="33"/>
      <c r="H175" s="30"/>
      <c r="K175" s="31"/>
      <c r="T175" s="32"/>
      <c r="AA175" s="30"/>
      <c r="AF175" s="31"/>
    </row>
    <row r="176" spans="3:32" ht="15.75" customHeight="1" x14ac:dyDescent="0.25">
      <c r="C176" s="33"/>
      <c r="H176" s="30"/>
      <c r="K176" s="31"/>
      <c r="T176" s="32"/>
      <c r="AA176" s="30"/>
      <c r="AF176" s="31"/>
    </row>
    <row r="177" spans="3:32" ht="15.75" customHeight="1" x14ac:dyDescent="0.25">
      <c r="C177" s="33"/>
      <c r="H177" s="30"/>
      <c r="K177" s="31"/>
      <c r="T177" s="32"/>
      <c r="AA177" s="30"/>
      <c r="AF177" s="31"/>
    </row>
    <row r="178" spans="3:32" ht="15.75" customHeight="1" x14ac:dyDescent="0.25">
      <c r="C178" s="33"/>
      <c r="H178" s="30"/>
      <c r="K178" s="31"/>
      <c r="T178" s="32"/>
      <c r="AA178" s="30"/>
      <c r="AF178" s="31"/>
    </row>
    <row r="179" spans="3:32" ht="15.75" customHeight="1" x14ac:dyDescent="0.25">
      <c r="C179" s="33"/>
      <c r="H179" s="30"/>
      <c r="K179" s="31"/>
      <c r="T179" s="32"/>
      <c r="AA179" s="30"/>
      <c r="AF179" s="31"/>
    </row>
    <row r="180" spans="3:32" ht="15.75" customHeight="1" x14ac:dyDescent="0.25">
      <c r="C180" s="33"/>
      <c r="H180" s="30"/>
      <c r="K180" s="31"/>
      <c r="T180" s="32"/>
      <c r="AA180" s="30"/>
      <c r="AF180" s="31"/>
    </row>
    <row r="181" spans="3:32" ht="15.75" customHeight="1" x14ac:dyDescent="0.25">
      <c r="C181" s="33"/>
      <c r="H181" s="30"/>
      <c r="K181" s="31"/>
      <c r="T181" s="32"/>
      <c r="AA181" s="30"/>
      <c r="AF181" s="31"/>
    </row>
    <row r="182" spans="3:32" ht="15.75" customHeight="1" x14ac:dyDescent="0.25">
      <c r="C182" s="33"/>
      <c r="H182" s="30"/>
      <c r="K182" s="31"/>
      <c r="T182" s="32"/>
      <c r="AA182" s="30"/>
      <c r="AF182" s="31"/>
    </row>
    <row r="183" spans="3:32" ht="15.75" customHeight="1" x14ac:dyDescent="0.25">
      <c r="C183" s="33"/>
      <c r="H183" s="30"/>
      <c r="K183" s="31"/>
      <c r="T183" s="32"/>
      <c r="AA183" s="30"/>
      <c r="AF183" s="31"/>
    </row>
    <row r="184" spans="3:32" ht="15.75" customHeight="1" x14ac:dyDescent="0.25">
      <c r="C184" s="33"/>
      <c r="H184" s="30"/>
      <c r="K184" s="31"/>
      <c r="T184" s="32"/>
      <c r="AA184" s="30"/>
      <c r="AF184" s="31"/>
    </row>
    <row r="185" spans="3:32" ht="15.75" customHeight="1" x14ac:dyDescent="0.25">
      <c r="C185" s="33"/>
      <c r="H185" s="30"/>
      <c r="K185" s="31"/>
      <c r="T185" s="32"/>
      <c r="AA185" s="30"/>
      <c r="AF185" s="31"/>
    </row>
    <row r="186" spans="3:32" ht="15.75" customHeight="1" x14ac:dyDescent="0.25">
      <c r="C186" s="33"/>
      <c r="H186" s="30"/>
      <c r="K186" s="31"/>
      <c r="T186" s="32"/>
      <c r="AA186" s="30"/>
      <c r="AF186" s="31"/>
    </row>
    <row r="187" spans="3:32" ht="15.75" customHeight="1" x14ac:dyDescent="0.25">
      <c r="C187" s="33"/>
      <c r="H187" s="30"/>
      <c r="K187" s="31"/>
      <c r="T187" s="32"/>
      <c r="AA187" s="30"/>
      <c r="AF187" s="31"/>
    </row>
    <row r="188" spans="3:32" ht="15.75" customHeight="1" x14ac:dyDescent="0.25">
      <c r="C188" s="33"/>
      <c r="H188" s="30"/>
      <c r="K188" s="31"/>
      <c r="T188" s="32"/>
      <c r="AA188" s="30"/>
      <c r="AF188" s="31"/>
    </row>
    <row r="189" spans="3:32" ht="15.75" customHeight="1" x14ac:dyDescent="0.25">
      <c r="C189" s="33"/>
      <c r="H189" s="30"/>
      <c r="K189" s="31"/>
      <c r="T189" s="32"/>
      <c r="AA189" s="30"/>
      <c r="AF189" s="31"/>
    </row>
    <row r="190" spans="3:32" ht="15.75" customHeight="1" x14ac:dyDescent="0.25">
      <c r="C190" s="33"/>
      <c r="H190" s="30"/>
      <c r="K190" s="31"/>
      <c r="T190" s="32"/>
      <c r="AA190" s="30"/>
      <c r="AF190" s="31"/>
    </row>
    <row r="191" spans="3:32" ht="15.75" customHeight="1" x14ac:dyDescent="0.25">
      <c r="C191" s="33"/>
      <c r="H191" s="30"/>
      <c r="K191" s="31"/>
      <c r="T191" s="32"/>
      <c r="AA191" s="30"/>
      <c r="AF191" s="31"/>
    </row>
    <row r="192" spans="3:32" ht="15.75" customHeight="1" x14ac:dyDescent="0.25">
      <c r="C192" s="33"/>
      <c r="H192" s="30"/>
      <c r="K192" s="31"/>
      <c r="T192" s="32"/>
      <c r="AA192" s="30"/>
      <c r="AF192" s="31"/>
    </row>
    <row r="193" spans="3:32" ht="15.75" customHeight="1" x14ac:dyDescent="0.25">
      <c r="C193" s="33"/>
      <c r="H193" s="30"/>
      <c r="K193" s="31"/>
      <c r="T193" s="32"/>
      <c r="AA193" s="30"/>
      <c r="AF193" s="31"/>
    </row>
    <row r="194" spans="3:32" ht="15.75" customHeight="1" x14ac:dyDescent="0.25">
      <c r="C194" s="33"/>
      <c r="H194" s="30"/>
      <c r="K194" s="31"/>
      <c r="T194" s="32"/>
      <c r="AA194" s="30"/>
      <c r="AF194" s="31"/>
    </row>
    <row r="195" spans="3:32" ht="15.75" customHeight="1" x14ac:dyDescent="0.25">
      <c r="C195" s="33"/>
      <c r="H195" s="30"/>
      <c r="K195" s="31"/>
      <c r="T195" s="32"/>
      <c r="AA195" s="30"/>
      <c r="AF195" s="31"/>
    </row>
    <row r="196" spans="3:32" ht="15.75" customHeight="1" x14ac:dyDescent="0.25">
      <c r="C196" s="33"/>
      <c r="H196" s="30"/>
      <c r="K196" s="31"/>
      <c r="T196" s="32"/>
      <c r="AA196" s="30"/>
      <c r="AF196" s="31"/>
    </row>
    <row r="197" spans="3:32" ht="15.75" customHeight="1" x14ac:dyDescent="0.25">
      <c r="C197" s="33"/>
      <c r="H197" s="30"/>
      <c r="K197" s="31"/>
      <c r="T197" s="32"/>
      <c r="AA197" s="30"/>
      <c r="AF197" s="31"/>
    </row>
    <row r="198" spans="3:32" ht="15.75" customHeight="1" x14ac:dyDescent="0.25">
      <c r="C198" s="33"/>
      <c r="H198" s="30"/>
      <c r="K198" s="31"/>
      <c r="T198" s="32"/>
      <c r="AA198" s="30"/>
      <c r="AF198" s="31"/>
    </row>
    <row r="199" spans="3:32" ht="15.75" customHeight="1" x14ac:dyDescent="0.25">
      <c r="C199" s="33"/>
      <c r="H199" s="30"/>
      <c r="K199" s="31"/>
      <c r="T199" s="32"/>
      <c r="AA199" s="30"/>
      <c r="AF199" s="31"/>
    </row>
    <row r="200" spans="3:32" ht="15.75" customHeight="1" x14ac:dyDescent="0.25">
      <c r="C200" s="33"/>
      <c r="H200" s="30"/>
      <c r="K200" s="31"/>
      <c r="T200" s="32"/>
      <c r="AA200" s="30"/>
      <c r="AF200" s="31"/>
    </row>
    <row r="201" spans="3:32" ht="15.75" customHeight="1" x14ac:dyDescent="0.25">
      <c r="C201" s="33"/>
      <c r="H201" s="30"/>
      <c r="K201" s="31"/>
      <c r="T201" s="32"/>
      <c r="AA201" s="30"/>
      <c r="AF201" s="31"/>
    </row>
    <row r="202" spans="3:32" ht="15.75" customHeight="1" x14ac:dyDescent="0.25">
      <c r="C202" s="33"/>
      <c r="H202" s="30"/>
      <c r="K202" s="31"/>
      <c r="T202" s="32"/>
      <c r="AA202" s="30"/>
      <c r="AF202" s="31"/>
    </row>
    <row r="203" spans="3:32" ht="15.75" customHeight="1" x14ac:dyDescent="0.25">
      <c r="C203" s="33"/>
      <c r="H203" s="30"/>
      <c r="K203" s="31"/>
      <c r="T203" s="32"/>
      <c r="AA203" s="30"/>
      <c r="AF203" s="31"/>
    </row>
    <row r="204" spans="3:32" ht="15.75" customHeight="1" x14ac:dyDescent="0.25">
      <c r="C204" s="33"/>
      <c r="H204" s="30"/>
      <c r="K204" s="31"/>
      <c r="T204" s="32"/>
      <c r="AA204" s="30"/>
      <c r="AF204" s="31"/>
    </row>
    <row r="205" spans="3:32" ht="15.75" customHeight="1" x14ac:dyDescent="0.25">
      <c r="C205" s="33"/>
      <c r="H205" s="30"/>
      <c r="K205" s="31"/>
      <c r="T205" s="32"/>
      <c r="AA205" s="30"/>
      <c r="AF205" s="31"/>
    </row>
    <row r="206" spans="3:32" ht="15.75" customHeight="1" x14ac:dyDescent="0.25">
      <c r="C206" s="33"/>
      <c r="H206" s="30"/>
      <c r="K206" s="31"/>
      <c r="T206" s="32"/>
      <c r="AA206" s="30"/>
      <c r="AF206" s="31"/>
    </row>
    <row r="207" spans="3:32" ht="15.75" customHeight="1" x14ac:dyDescent="0.25">
      <c r="C207" s="33"/>
      <c r="H207" s="30"/>
      <c r="K207" s="31"/>
      <c r="T207" s="32"/>
      <c r="AA207" s="30"/>
      <c r="AF207" s="31"/>
    </row>
    <row r="208" spans="3:32" ht="15.75" customHeight="1" x14ac:dyDescent="0.25">
      <c r="C208" s="33"/>
      <c r="H208" s="30"/>
      <c r="K208" s="31"/>
      <c r="T208" s="32"/>
      <c r="AA208" s="30"/>
      <c r="AF208" s="31"/>
    </row>
    <row r="209" spans="3:32" ht="15.75" customHeight="1" x14ac:dyDescent="0.25">
      <c r="C209" s="33"/>
      <c r="H209" s="30"/>
      <c r="K209" s="31"/>
      <c r="T209" s="32"/>
      <c r="AA209" s="30"/>
      <c r="AF209" s="31"/>
    </row>
    <row r="210" spans="3:32" ht="15.75" customHeight="1" x14ac:dyDescent="0.25">
      <c r="C210" s="33"/>
      <c r="H210" s="30"/>
      <c r="K210" s="31"/>
      <c r="T210" s="32"/>
      <c r="AA210" s="30"/>
      <c r="AF210" s="31"/>
    </row>
    <row r="211" spans="3:32" ht="15.75" customHeight="1" x14ac:dyDescent="0.25">
      <c r="C211" s="33"/>
      <c r="H211" s="30"/>
      <c r="K211" s="31"/>
      <c r="T211" s="32"/>
      <c r="AA211" s="30"/>
      <c r="AF211" s="31"/>
    </row>
    <row r="212" spans="3:32" ht="15.75" customHeight="1" x14ac:dyDescent="0.25">
      <c r="C212" s="33"/>
      <c r="H212" s="30"/>
      <c r="K212" s="31"/>
      <c r="T212" s="32"/>
      <c r="AA212" s="30"/>
      <c r="AF212" s="31"/>
    </row>
    <row r="213" spans="3:32" ht="15.75" customHeight="1" x14ac:dyDescent="0.25">
      <c r="C213" s="33"/>
      <c r="H213" s="30"/>
      <c r="K213" s="31"/>
      <c r="T213" s="32"/>
      <c r="AA213" s="30"/>
      <c r="AF213" s="31"/>
    </row>
    <row r="214" spans="3:32" ht="15.75" customHeight="1" x14ac:dyDescent="0.25">
      <c r="C214" s="33"/>
      <c r="H214" s="30"/>
      <c r="K214" s="31"/>
      <c r="T214" s="32"/>
      <c r="AA214" s="30"/>
      <c r="AF214" s="31"/>
    </row>
    <row r="215" spans="3:32" ht="15.75" customHeight="1" x14ac:dyDescent="0.25">
      <c r="C215" s="33"/>
      <c r="H215" s="30"/>
      <c r="K215" s="31"/>
      <c r="T215" s="32"/>
      <c r="AA215" s="30"/>
      <c r="AF215" s="31"/>
    </row>
    <row r="216" spans="3:32" ht="15.75" customHeight="1" x14ac:dyDescent="0.25">
      <c r="C216" s="33"/>
      <c r="H216" s="30"/>
      <c r="K216" s="31"/>
      <c r="T216" s="32"/>
      <c r="AA216" s="30"/>
      <c r="AF216" s="31"/>
    </row>
    <row r="217" spans="3:32" ht="15.75" customHeight="1" x14ac:dyDescent="0.25">
      <c r="C217" s="33"/>
      <c r="H217" s="30"/>
      <c r="K217" s="31"/>
      <c r="T217" s="32"/>
      <c r="AA217" s="30"/>
      <c r="AF217" s="31"/>
    </row>
    <row r="218" spans="3:32" ht="15.75" customHeight="1" x14ac:dyDescent="0.25">
      <c r="C218" s="33"/>
      <c r="H218" s="30"/>
      <c r="K218" s="31"/>
      <c r="T218" s="32"/>
      <c r="AA218" s="30"/>
      <c r="AF218" s="31"/>
    </row>
    <row r="219" spans="3:32" ht="15.75" customHeight="1" x14ac:dyDescent="0.25">
      <c r="C219" s="33"/>
      <c r="H219" s="30"/>
      <c r="K219" s="31"/>
      <c r="T219" s="32"/>
      <c r="AA219" s="30"/>
      <c r="AF219" s="31"/>
    </row>
    <row r="220" spans="3:32" ht="15.75" customHeight="1" x14ac:dyDescent="0.25">
      <c r="C220" s="33"/>
      <c r="H220" s="30"/>
      <c r="K220" s="31"/>
      <c r="T220" s="32"/>
      <c r="AA220" s="30"/>
      <c r="AF220" s="31"/>
    </row>
    <row r="221" spans="3:32" ht="15.75" customHeight="1" x14ac:dyDescent="0.25">
      <c r="C221" s="33"/>
      <c r="H221" s="30"/>
      <c r="K221" s="31"/>
      <c r="T221" s="32"/>
      <c r="AA221" s="30"/>
      <c r="AF221" s="31"/>
    </row>
    <row r="222" spans="3:32" ht="15.75" customHeight="1" x14ac:dyDescent="0.25">
      <c r="C222" s="33"/>
      <c r="H222" s="30"/>
      <c r="K222" s="31"/>
      <c r="T222" s="32"/>
      <c r="AA222" s="30"/>
      <c r="AF222" s="31"/>
    </row>
    <row r="223" spans="3:32" ht="15.75" customHeight="1" x14ac:dyDescent="0.25">
      <c r="C223" s="33"/>
      <c r="H223" s="30"/>
      <c r="K223" s="31"/>
      <c r="T223" s="32"/>
      <c r="AA223" s="30"/>
      <c r="AF223" s="31"/>
    </row>
    <row r="224" spans="3:32" ht="15.75" customHeight="1" x14ac:dyDescent="0.25">
      <c r="C224" s="33"/>
      <c r="H224" s="30"/>
      <c r="K224" s="31"/>
      <c r="T224" s="32"/>
      <c r="AA224" s="30"/>
      <c r="AF224" s="31"/>
    </row>
    <row r="225" spans="3:32" ht="15.75" customHeight="1" x14ac:dyDescent="0.25">
      <c r="C225" s="33"/>
      <c r="H225" s="30"/>
      <c r="K225" s="31"/>
      <c r="T225" s="32"/>
      <c r="AA225" s="30"/>
      <c r="AF225" s="31"/>
    </row>
    <row r="226" spans="3:32" ht="15.75" customHeight="1" x14ac:dyDescent="0.25">
      <c r="C226" s="33"/>
      <c r="H226" s="30"/>
      <c r="K226" s="31"/>
      <c r="T226" s="32"/>
      <c r="AA226" s="30"/>
      <c r="AF226" s="31"/>
    </row>
    <row r="227" spans="3:32" ht="15.75" customHeight="1" x14ac:dyDescent="0.25">
      <c r="C227" s="33"/>
      <c r="H227" s="30"/>
      <c r="K227" s="31"/>
      <c r="T227" s="32"/>
      <c r="AA227" s="30"/>
      <c r="AF227" s="31"/>
    </row>
    <row r="228" spans="3:32" ht="15.75" customHeight="1" x14ac:dyDescent="0.25">
      <c r="C228" s="33"/>
      <c r="H228" s="30"/>
      <c r="K228" s="31"/>
      <c r="T228" s="32"/>
      <c r="AA228" s="30"/>
      <c r="AF228" s="31"/>
    </row>
    <row r="229" spans="3:32" ht="15.75" customHeight="1" x14ac:dyDescent="0.25">
      <c r="C229" s="33"/>
      <c r="H229" s="30"/>
      <c r="K229" s="31"/>
      <c r="T229" s="32"/>
      <c r="AA229" s="30"/>
      <c r="AF229" s="31"/>
    </row>
    <row r="230" spans="3:32" ht="15.75" customHeight="1" x14ac:dyDescent="0.25">
      <c r="C230" s="33"/>
      <c r="H230" s="30"/>
      <c r="K230" s="31"/>
      <c r="T230" s="32"/>
      <c r="AA230" s="30"/>
      <c r="AF230" s="31"/>
    </row>
    <row r="231" spans="3:32" ht="15.75" customHeight="1" x14ac:dyDescent="0.25">
      <c r="C231" s="33"/>
      <c r="H231" s="30"/>
      <c r="K231" s="31"/>
      <c r="T231" s="32"/>
      <c r="AA231" s="30"/>
      <c r="AF231" s="31"/>
    </row>
    <row r="232" spans="3:32" ht="15.75" customHeight="1" x14ac:dyDescent="0.25">
      <c r="C232" s="33"/>
      <c r="H232" s="30"/>
      <c r="K232" s="31"/>
      <c r="T232" s="32"/>
      <c r="AA232" s="30"/>
      <c r="AF232" s="31"/>
    </row>
    <row r="233" spans="3:32" ht="15.75" customHeight="1" x14ac:dyDescent="0.25">
      <c r="C233" s="33"/>
      <c r="H233" s="30"/>
      <c r="K233" s="31"/>
      <c r="T233" s="32"/>
      <c r="AA233" s="30"/>
      <c r="AF233" s="31"/>
    </row>
    <row r="234" spans="3:32" ht="15.75" customHeight="1" x14ac:dyDescent="0.25">
      <c r="C234" s="33"/>
      <c r="H234" s="30"/>
      <c r="K234" s="31"/>
      <c r="T234" s="32"/>
      <c r="AA234" s="30"/>
      <c r="AF234" s="31"/>
    </row>
    <row r="235" spans="3:32" ht="15.75" customHeight="1" x14ac:dyDescent="0.25">
      <c r="C235" s="33"/>
      <c r="H235" s="30"/>
      <c r="K235" s="31"/>
      <c r="T235" s="32"/>
      <c r="AA235" s="30"/>
      <c r="AF235" s="31"/>
    </row>
    <row r="236" spans="3:32" ht="15.75" customHeight="1" x14ac:dyDescent="0.25">
      <c r="C236" s="33"/>
      <c r="H236" s="30"/>
      <c r="K236" s="31"/>
      <c r="T236" s="32"/>
      <c r="AA236" s="30"/>
      <c r="AF236" s="31"/>
    </row>
    <row r="237" spans="3:32" ht="15.75" customHeight="1" x14ac:dyDescent="0.25">
      <c r="C237" s="33"/>
      <c r="H237" s="30"/>
      <c r="K237" s="31"/>
      <c r="T237" s="32"/>
      <c r="AA237" s="30"/>
      <c r="AF237" s="31"/>
    </row>
    <row r="238" spans="3:32" ht="15.75" customHeight="1" x14ac:dyDescent="0.25">
      <c r="C238" s="33"/>
      <c r="H238" s="30"/>
      <c r="K238" s="31"/>
      <c r="T238" s="32"/>
      <c r="AA238" s="30"/>
      <c r="AF238" s="31"/>
    </row>
    <row r="239" spans="3:32" ht="15.75" customHeight="1" x14ac:dyDescent="0.25">
      <c r="C239" s="33"/>
      <c r="H239" s="30"/>
      <c r="K239" s="31"/>
      <c r="T239" s="32"/>
      <c r="AA239" s="30"/>
      <c r="AF239" s="31"/>
    </row>
    <row r="240" spans="3:32" ht="15.75" customHeight="1" x14ac:dyDescent="0.25">
      <c r="C240" s="33"/>
      <c r="H240" s="30"/>
      <c r="K240" s="31"/>
      <c r="T240" s="32"/>
      <c r="AA240" s="30"/>
      <c r="AF240" s="31"/>
    </row>
    <row r="241" spans="3:32" ht="15.75" customHeight="1" x14ac:dyDescent="0.25">
      <c r="C241" s="33"/>
      <c r="H241" s="30"/>
      <c r="K241" s="31"/>
      <c r="T241" s="32"/>
      <c r="AA241" s="30"/>
      <c r="AF241" s="31"/>
    </row>
    <row r="242" spans="3:32" ht="15.75" customHeight="1" x14ac:dyDescent="0.25">
      <c r="C242" s="33"/>
      <c r="H242" s="30"/>
      <c r="K242" s="31"/>
      <c r="T242" s="32"/>
      <c r="AA242" s="30"/>
      <c r="AF242" s="31"/>
    </row>
    <row r="243" spans="3:32" ht="15.75" customHeight="1" x14ac:dyDescent="0.25">
      <c r="C243" s="33"/>
      <c r="H243" s="30"/>
      <c r="K243" s="31"/>
      <c r="T243" s="32"/>
      <c r="AA243" s="30"/>
      <c r="AF243" s="31"/>
    </row>
    <row r="244" spans="3:32" ht="15.75" customHeight="1" x14ac:dyDescent="0.25">
      <c r="C244" s="33"/>
      <c r="H244" s="30"/>
      <c r="K244" s="31"/>
      <c r="T244" s="32"/>
      <c r="AA244" s="30"/>
      <c r="AF244" s="31"/>
    </row>
    <row r="245" spans="3:32" ht="15.75" customHeight="1" x14ac:dyDescent="0.25">
      <c r="C245" s="33"/>
      <c r="H245" s="30"/>
      <c r="K245" s="31"/>
      <c r="T245" s="32"/>
      <c r="AA245" s="30"/>
      <c r="AF245" s="31"/>
    </row>
    <row r="246" spans="3:32" ht="15.75" customHeight="1" x14ac:dyDescent="0.25">
      <c r="C246" s="33"/>
      <c r="H246" s="30"/>
      <c r="K246" s="31"/>
      <c r="T246" s="32"/>
      <c r="AA246" s="30"/>
      <c r="AF246" s="31"/>
    </row>
    <row r="247" spans="3:32" ht="15.75" customHeight="1" x14ac:dyDescent="0.25">
      <c r="C247" s="33"/>
      <c r="H247" s="30"/>
      <c r="K247" s="31"/>
      <c r="T247" s="32"/>
      <c r="AA247" s="30"/>
      <c r="AF247" s="31"/>
    </row>
    <row r="248" spans="3:32" ht="15.75" customHeight="1" x14ac:dyDescent="0.25">
      <c r="C248" s="33"/>
      <c r="H248" s="30"/>
      <c r="K248" s="31"/>
      <c r="T248" s="32"/>
      <c r="AA248" s="30"/>
      <c r="AF248" s="31"/>
    </row>
    <row r="249" spans="3:32" ht="15.75" customHeight="1" x14ac:dyDescent="0.25">
      <c r="C249" s="33"/>
      <c r="H249" s="30"/>
      <c r="K249" s="31"/>
      <c r="T249" s="32"/>
      <c r="AA249" s="30"/>
      <c r="AF249" s="31"/>
    </row>
    <row r="250" spans="3:32" ht="15.75" customHeight="1" x14ac:dyDescent="0.25">
      <c r="C250" s="33"/>
      <c r="H250" s="30"/>
      <c r="K250" s="31"/>
      <c r="T250" s="32"/>
      <c r="AA250" s="30"/>
      <c r="AF250" s="31"/>
    </row>
    <row r="251" spans="3:32" ht="15.75" customHeight="1" x14ac:dyDescent="0.25">
      <c r="C251" s="33"/>
      <c r="H251" s="30"/>
      <c r="K251" s="31"/>
      <c r="T251" s="32"/>
      <c r="AA251" s="30"/>
      <c r="AF251" s="31"/>
    </row>
    <row r="252" spans="3:32" ht="15.75" customHeight="1" x14ac:dyDescent="0.25">
      <c r="C252" s="33"/>
      <c r="H252" s="30"/>
      <c r="K252" s="31"/>
      <c r="T252" s="32"/>
      <c r="AA252" s="30"/>
      <c r="AF252" s="31"/>
    </row>
    <row r="253" spans="3:32" ht="15.75" customHeight="1" x14ac:dyDescent="0.25">
      <c r="C253" s="33"/>
      <c r="H253" s="30"/>
      <c r="K253" s="31"/>
      <c r="T253" s="32"/>
      <c r="AA253" s="30"/>
      <c r="AF253" s="31"/>
    </row>
    <row r="254" spans="3:32" ht="15.75" customHeight="1" x14ac:dyDescent="0.25">
      <c r="C254" s="33"/>
      <c r="H254" s="30"/>
      <c r="K254" s="31"/>
      <c r="T254" s="32"/>
      <c r="AA254" s="30"/>
      <c r="AF254" s="31"/>
    </row>
    <row r="255" spans="3:32" ht="15.75" customHeight="1" x14ac:dyDescent="0.25">
      <c r="C255" s="33"/>
      <c r="H255" s="30"/>
      <c r="K255" s="31"/>
      <c r="T255" s="32"/>
      <c r="AA255" s="30"/>
      <c r="AF255" s="31"/>
    </row>
    <row r="256" spans="3:32" ht="15.75" customHeight="1" x14ac:dyDescent="0.25">
      <c r="C256" s="33"/>
      <c r="H256" s="30"/>
      <c r="K256" s="31"/>
      <c r="T256" s="32"/>
      <c r="AA256" s="30"/>
      <c r="AF256" s="31"/>
    </row>
    <row r="257" spans="3:32" ht="15.75" customHeight="1" x14ac:dyDescent="0.25">
      <c r="C257" s="33"/>
      <c r="H257" s="30"/>
      <c r="K257" s="31"/>
      <c r="T257" s="32"/>
      <c r="AA257" s="30"/>
      <c r="AF257" s="31"/>
    </row>
    <row r="258" spans="3:32" ht="15.75" customHeight="1" x14ac:dyDescent="0.25">
      <c r="C258" s="33"/>
      <c r="H258" s="30"/>
      <c r="K258" s="31"/>
      <c r="T258" s="32"/>
      <c r="AA258" s="30"/>
      <c r="AF258" s="31"/>
    </row>
    <row r="259" spans="3:32" ht="15.75" customHeight="1" x14ac:dyDescent="0.25">
      <c r="C259" s="33"/>
      <c r="H259" s="30"/>
      <c r="K259" s="31"/>
      <c r="T259" s="32"/>
      <c r="AA259" s="30"/>
      <c r="AF259" s="31"/>
    </row>
    <row r="260" spans="3:32" ht="15.75" customHeight="1" x14ac:dyDescent="0.25">
      <c r="C260" s="33"/>
      <c r="H260" s="30"/>
      <c r="K260" s="31"/>
      <c r="T260" s="32"/>
      <c r="AA260" s="30"/>
      <c r="AF260" s="31"/>
    </row>
    <row r="261" spans="3:32" ht="15.75" customHeight="1" x14ac:dyDescent="0.25">
      <c r="C261" s="33"/>
      <c r="H261" s="30"/>
      <c r="K261" s="31"/>
      <c r="T261" s="32"/>
      <c r="AA261" s="30"/>
      <c r="AF261" s="31"/>
    </row>
    <row r="262" spans="3:32" ht="15.75" customHeight="1" x14ac:dyDescent="0.25">
      <c r="C262" s="33"/>
      <c r="H262" s="30"/>
      <c r="K262" s="31"/>
      <c r="T262" s="32"/>
      <c r="AA262" s="30"/>
      <c r="AF262" s="31"/>
    </row>
    <row r="263" spans="3:32" ht="15.75" customHeight="1" x14ac:dyDescent="0.25">
      <c r="C263" s="33"/>
      <c r="H263" s="30"/>
      <c r="K263" s="31"/>
      <c r="T263" s="32"/>
      <c r="AA263" s="30"/>
      <c r="AF263" s="31"/>
    </row>
    <row r="264" spans="3:32" ht="15.75" customHeight="1" x14ac:dyDescent="0.25">
      <c r="C264" s="33"/>
      <c r="H264" s="30"/>
      <c r="K264" s="31"/>
      <c r="T264" s="32"/>
      <c r="AA264" s="30"/>
      <c r="AF264" s="31"/>
    </row>
    <row r="265" spans="3:32" ht="15.75" customHeight="1" x14ac:dyDescent="0.25">
      <c r="C265" s="33"/>
      <c r="H265" s="30"/>
      <c r="K265" s="31"/>
      <c r="T265" s="32"/>
      <c r="AA265" s="30"/>
      <c r="AF265" s="31"/>
    </row>
    <row r="266" spans="3:32" ht="15.75" customHeight="1" x14ac:dyDescent="0.25">
      <c r="C266" s="33"/>
      <c r="H266" s="30"/>
      <c r="K266" s="31"/>
      <c r="T266" s="32"/>
      <c r="AA266" s="30"/>
      <c r="AF266" s="31"/>
    </row>
    <row r="267" spans="3:32" ht="15.75" customHeight="1" x14ac:dyDescent="0.25">
      <c r="C267" s="33"/>
      <c r="H267" s="30"/>
      <c r="K267" s="31"/>
      <c r="T267" s="32"/>
      <c r="AA267" s="30"/>
      <c r="AF267" s="31"/>
    </row>
    <row r="268" spans="3:32" ht="15.75" customHeight="1" x14ac:dyDescent="0.25">
      <c r="C268" s="33"/>
      <c r="H268" s="30"/>
      <c r="K268" s="31"/>
      <c r="T268" s="32"/>
      <c r="AA268" s="30"/>
      <c r="AF268" s="31"/>
    </row>
    <row r="269" spans="3:32" ht="15.75" customHeight="1" x14ac:dyDescent="0.25">
      <c r="C269" s="33"/>
      <c r="H269" s="30"/>
      <c r="K269" s="31"/>
      <c r="T269" s="32"/>
      <c r="AA269" s="30"/>
      <c r="AF269" s="31"/>
    </row>
    <row r="270" spans="3:32" ht="15.75" customHeight="1" x14ac:dyDescent="0.25">
      <c r="C270" s="33"/>
      <c r="H270" s="30"/>
      <c r="K270" s="31"/>
      <c r="T270" s="32"/>
      <c r="AA270" s="30"/>
      <c r="AF270" s="31"/>
    </row>
    <row r="271" spans="3:32" ht="15.75" customHeight="1" x14ac:dyDescent="0.25">
      <c r="C271" s="33"/>
      <c r="H271" s="30"/>
      <c r="K271" s="31"/>
      <c r="T271" s="32"/>
      <c r="AA271" s="30"/>
      <c r="AF271" s="31"/>
    </row>
    <row r="272" spans="3:32" ht="15.75" customHeight="1" x14ac:dyDescent="0.25">
      <c r="C272" s="33"/>
      <c r="H272" s="30"/>
      <c r="K272" s="31"/>
      <c r="T272" s="32"/>
      <c r="AA272" s="30"/>
      <c r="AF272" s="31"/>
    </row>
    <row r="273" spans="3:32" ht="15.75" customHeight="1" x14ac:dyDescent="0.25">
      <c r="C273" s="33"/>
      <c r="H273" s="30"/>
      <c r="K273" s="31"/>
      <c r="T273" s="32"/>
      <c r="AA273" s="30"/>
      <c r="AF273" s="31"/>
    </row>
    <row r="274" spans="3:32" ht="15.75" customHeight="1" x14ac:dyDescent="0.25">
      <c r="C274" s="33"/>
      <c r="H274" s="30"/>
      <c r="K274" s="31"/>
      <c r="T274" s="32"/>
      <c r="AA274" s="30"/>
      <c r="AF274" s="31"/>
    </row>
    <row r="275" spans="3:32" ht="15.75" customHeight="1" x14ac:dyDescent="0.25">
      <c r="C275" s="33"/>
      <c r="H275" s="30"/>
      <c r="K275" s="31"/>
      <c r="T275" s="32"/>
      <c r="AA275" s="30"/>
      <c r="AF275" s="31"/>
    </row>
    <row r="276" spans="3:32" ht="15.75" customHeight="1" x14ac:dyDescent="0.25">
      <c r="C276" s="33"/>
      <c r="H276" s="30"/>
      <c r="K276" s="31"/>
      <c r="T276" s="32"/>
      <c r="AA276" s="30"/>
      <c r="AF276" s="31"/>
    </row>
    <row r="277" spans="3:32" ht="15.75" customHeight="1" x14ac:dyDescent="0.25">
      <c r="C277" s="33"/>
      <c r="H277" s="30"/>
      <c r="K277" s="31"/>
      <c r="T277" s="32"/>
      <c r="AA277" s="30"/>
      <c r="AF277" s="31"/>
    </row>
    <row r="278" spans="3:32" ht="15.75" customHeight="1" x14ac:dyDescent="0.25">
      <c r="C278" s="33"/>
      <c r="H278" s="30"/>
      <c r="K278" s="31"/>
      <c r="T278" s="32"/>
      <c r="AA278" s="30"/>
      <c r="AF278" s="31"/>
    </row>
    <row r="279" spans="3:32" ht="15.75" customHeight="1" x14ac:dyDescent="0.25">
      <c r="C279" s="33"/>
      <c r="H279" s="30"/>
      <c r="K279" s="31"/>
      <c r="T279" s="32"/>
      <c r="AA279" s="30"/>
      <c r="AF279" s="31"/>
    </row>
    <row r="280" spans="3:32" ht="15.75" customHeight="1" x14ac:dyDescent="0.25">
      <c r="C280" s="33"/>
      <c r="H280" s="30"/>
      <c r="K280" s="31"/>
      <c r="T280" s="32"/>
      <c r="AA280" s="30"/>
      <c r="AF280" s="31"/>
    </row>
    <row r="281" spans="3:32" ht="15.75" customHeight="1" x14ac:dyDescent="0.25">
      <c r="C281" s="33"/>
      <c r="H281" s="30"/>
      <c r="K281" s="31"/>
      <c r="T281" s="32"/>
      <c r="AA281" s="30"/>
      <c r="AF281" s="31"/>
    </row>
    <row r="282" spans="3:32" ht="15.75" customHeight="1" x14ac:dyDescent="0.25">
      <c r="C282" s="33"/>
      <c r="H282" s="30"/>
      <c r="K282" s="31"/>
      <c r="T282" s="32"/>
      <c r="AA282" s="30"/>
      <c r="AF282" s="31"/>
    </row>
    <row r="283" spans="3:32" ht="15.75" customHeight="1" x14ac:dyDescent="0.25">
      <c r="C283" s="33"/>
      <c r="H283" s="30"/>
      <c r="K283" s="31"/>
      <c r="T283" s="32"/>
      <c r="AA283" s="30"/>
      <c r="AF283" s="31"/>
    </row>
    <row r="284" spans="3:32" ht="15.75" customHeight="1" x14ac:dyDescent="0.25">
      <c r="C284" s="33"/>
      <c r="H284" s="30"/>
      <c r="K284" s="31"/>
      <c r="T284" s="32"/>
      <c r="AA284" s="30"/>
      <c r="AF284" s="31"/>
    </row>
    <row r="285" spans="3:32" ht="15.75" customHeight="1" x14ac:dyDescent="0.25">
      <c r="C285" s="33"/>
      <c r="H285" s="30"/>
      <c r="K285" s="31"/>
      <c r="T285" s="32"/>
      <c r="AA285" s="30"/>
      <c r="AF285" s="31"/>
    </row>
    <row r="286" spans="3:32" ht="15.75" customHeight="1" x14ac:dyDescent="0.25">
      <c r="C286" s="33"/>
      <c r="H286" s="30"/>
      <c r="K286" s="31"/>
      <c r="T286" s="32"/>
      <c r="AA286" s="30"/>
      <c r="AF286" s="31"/>
    </row>
    <row r="287" spans="3:32" ht="15.75" customHeight="1" x14ac:dyDescent="0.25">
      <c r="C287" s="33"/>
      <c r="H287" s="30"/>
      <c r="K287" s="31"/>
      <c r="T287" s="32"/>
      <c r="AA287" s="30"/>
      <c r="AF287" s="31"/>
    </row>
    <row r="288" spans="3:32" ht="15.75" customHeight="1" x14ac:dyDescent="0.25">
      <c r="C288" s="33"/>
      <c r="H288" s="30"/>
      <c r="K288" s="31"/>
      <c r="T288" s="32"/>
      <c r="AA288" s="30"/>
      <c r="AF288" s="31"/>
    </row>
    <row r="289" spans="3:32" ht="15.75" customHeight="1" x14ac:dyDescent="0.25">
      <c r="C289" s="33"/>
      <c r="H289" s="30"/>
      <c r="K289" s="31"/>
      <c r="T289" s="32"/>
      <c r="AA289" s="30"/>
      <c r="AF289" s="31"/>
    </row>
    <row r="290" spans="3:32" ht="15.75" customHeight="1" x14ac:dyDescent="0.25">
      <c r="C290" s="33"/>
      <c r="H290" s="30"/>
      <c r="K290" s="31"/>
      <c r="T290" s="32"/>
      <c r="AA290" s="30"/>
      <c r="AF290" s="31"/>
    </row>
    <row r="291" spans="3:32" ht="15.75" customHeight="1" x14ac:dyDescent="0.25">
      <c r="C291" s="33"/>
      <c r="H291" s="30"/>
      <c r="K291" s="31"/>
      <c r="T291" s="32"/>
      <c r="AA291" s="30"/>
      <c r="AF291" s="31"/>
    </row>
    <row r="292" spans="3:32" ht="15.75" customHeight="1" x14ac:dyDescent="0.25">
      <c r="C292" s="33"/>
      <c r="H292" s="30"/>
      <c r="K292" s="31"/>
      <c r="T292" s="32"/>
      <c r="AA292" s="30"/>
      <c r="AF292" s="31"/>
    </row>
    <row r="293" spans="3:32" ht="15.75" customHeight="1" x14ac:dyDescent="0.25">
      <c r="C293" s="33"/>
      <c r="H293" s="30"/>
      <c r="K293" s="31"/>
      <c r="T293" s="32"/>
      <c r="AA293" s="30"/>
      <c r="AF293" s="31"/>
    </row>
    <row r="294" spans="3:32" ht="15.75" customHeight="1" x14ac:dyDescent="0.25">
      <c r="C294" s="33"/>
      <c r="H294" s="30"/>
      <c r="K294" s="31"/>
      <c r="T294" s="32"/>
      <c r="AA294" s="30"/>
      <c r="AF294" s="31"/>
    </row>
    <row r="295" spans="3:32" ht="15.75" customHeight="1" x14ac:dyDescent="0.25">
      <c r="C295" s="33"/>
      <c r="H295" s="30"/>
      <c r="K295" s="31"/>
      <c r="T295" s="32"/>
      <c r="AA295" s="30"/>
      <c r="AF295" s="31"/>
    </row>
    <row r="296" spans="3:32" ht="15.75" customHeight="1" x14ac:dyDescent="0.25">
      <c r="C296" s="33"/>
      <c r="H296" s="30"/>
      <c r="K296" s="31"/>
      <c r="T296" s="32"/>
      <c r="AA296" s="30"/>
      <c r="AF296" s="31"/>
    </row>
    <row r="297" spans="3:32" ht="15.75" customHeight="1" x14ac:dyDescent="0.25">
      <c r="C297" s="33"/>
      <c r="H297" s="30"/>
      <c r="K297" s="31"/>
      <c r="T297" s="32"/>
      <c r="AA297" s="30"/>
      <c r="AF297" s="31"/>
    </row>
    <row r="298" spans="3:32" ht="15.75" customHeight="1" x14ac:dyDescent="0.25">
      <c r="C298" s="33"/>
      <c r="H298" s="30"/>
      <c r="K298" s="31"/>
      <c r="T298" s="32"/>
      <c r="AA298" s="30"/>
      <c r="AF298" s="31"/>
    </row>
    <row r="299" spans="3:32" ht="15.75" customHeight="1" x14ac:dyDescent="0.25">
      <c r="C299" s="33"/>
      <c r="H299" s="30"/>
      <c r="K299" s="31"/>
      <c r="T299" s="32"/>
      <c r="AA299" s="30"/>
      <c r="AF299" s="31"/>
    </row>
    <row r="300" spans="3:32" ht="15.75" customHeight="1" x14ac:dyDescent="0.25">
      <c r="C300" s="33"/>
      <c r="H300" s="30"/>
      <c r="K300" s="31"/>
      <c r="T300" s="32"/>
      <c r="AA300" s="30"/>
      <c r="AF300" s="31"/>
    </row>
    <row r="301" spans="3:32" ht="15.75" customHeight="1" x14ac:dyDescent="0.25">
      <c r="C301" s="33"/>
      <c r="H301" s="30"/>
      <c r="K301" s="31"/>
      <c r="T301" s="32"/>
      <c r="AA301" s="30"/>
      <c r="AF301" s="31"/>
    </row>
    <row r="302" spans="3:32" ht="15.75" customHeight="1" x14ac:dyDescent="0.25">
      <c r="C302" s="33"/>
      <c r="H302" s="30"/>
      <c r="K302" s="31"/>
      <c r="T302" s="32"/>
      <c r="AA302" s="30"/>
      <c r="AF302" s="31"/>
    </row>
    <row r="303" spans="3:32" ht="15.75" customHeight="1" x14ac:dyDescent="0.25">
      <c r="C303" s="33"/>
      <c r="H303" s="30"/>
      <c r="K303" s="31"/>
      <c r="T303" s="32"/>
      <c r="AA303" s="30"/>
      <c r="AF303" s="31"/>
    </row>
    <row r="304" spans="3:32" ht="15.75" customHeight="1" x14ac:dyDescent="0.25">
      <c r="C304" s="33"/>
      <c r="H304" s="30"/>
      <c r="K304" s="31"/>
      <c r="T304" s="32"/>
      <c r="AA304" s="30"/>
      <c r="AF304" s="31"/>
    </row>
    <row r="305" spans="3:32" ht="15.75" customHeight="1" x14ac:dyDescent="0.25">
      <c r="C305" s="33"/>
      <c r="H305" s="30"/>
      <c r="K305" s="31"/>
      <c r="T305" s="32"/>
      <c r="AA305" s="30"/>
      <c r="AF305" s="31"/>
    </row>
    <row r="306" spans="3:32" ht="15.75" customHeight="1" x14ac:dyDescent="0.25">
      <c r="C306" s="33"/>
      <c r="H306" s="30"/>
      <c r="K306" s="31"/>
      <c r="T306" s="32"/>
      <c r="AA306" s="30"/>
      <c r="AF306" s="31"/>
    </row>
    <row r="307" spans="3:32" ht="15.75" customHeight="1" x14ac:dyDescent="0.25">
      <c r="C307" s="33"/>
      <c r="H307" s="30"/>
      <c r="K307" s="31"/>
      <c r="T307" s="32"/>
      <c r="AA307" s="30"/>
      <c r="AF307" s="31"/>
    </row>
    <row r="308" spans="3:32" ht="15.75" customHeight="1" x14ac:dyDescent="0.25">
      <c r="C308" s="33"/>
      <c r="H308" s="30"/>
      <c r="K308" s="31"/>
      <c r="T308" s="32"/>
      <c r="AA308" s="30"/>
      <c r="AF308" s="31"/>
    </row>
    <row r="309" spans="3:32" ht="15.75" customHeight="1" x14ac:dyDescent="0.25">
      <c r="C309" s="33"/>
      <c r="H309" s="30"/>
      <c r="K309" s="31"/>
      <c r="T309" s="32"/>
      <c r="AA309" s="30"/>
      <c r="AF309" s="31"/>
    </row>
    <row r="310" spans="3:32" ht="15.75" customHeight="1" x14ac:dyDescent="0.25">
      <c r="C310" s="33"/>
      <c r="H310" s="30"/>
      <c r="K310" s="31"/>
      <c r="T310" s="32"/>
      <c r="AA310" s="30"/>
      <c r="AF310" s="31"/>
    </row>
    <row r="311" spans="3:32" ht="15.75" customHeight="1" x14ac:dyDescent="0.25">
      <c r="C311" s="33"/>
      <c r="H311" s="30"/>
      <c r="K311" s="31"/>
      <c r="T311" s="32"/>
      <c r="AA311" s="30"/>
      <c r="AF311" s="31"/>
    </row>
    <row r="312" spans="3:32" ht="15.75" customHeight="1" x14ac:dyDescent="0.25">
      <c r="C312" s="33"/>
      <c r="H312" s="30"/>
      <c r="K312" s="31"/>
      <c r="T312" s="32"/>
      <c r="AA312" s="30"/>
      <c r="AF312" s="31"/>
    </row>
    <row r="313" spans="3:32" ht="15.75" customHeight="1" x14ac:dyDescent="0.25">
      <c r="C313" s="33"/>
      <c r="H313" s="30"/>
      <c r="K313" s="31"/>
      <c r="T313" s="32"/>
      <c r="AA313" s="30"/>
      <c r="AF313" s="31"/>
    </row>
    <row r="314" spans="3:32" ht="15.75" customHeight="1" x14ac:dyDescent="0.25">
      <c r="C314" s="33"/>
      <c r="H314" s="30"/>
      <c r="K314" s="31"/>
      <c r="T314" s="32"/>
      <c r="AA314" s="30"/>
      <c r="AF314" s="31"/>
    </row>
    <row r="315" spans="3:32" ht="15.75" customHeight="1" x14ac:dyDescent="0.25">
      <c r="C315" s="33"/>
      <c r="H315" s="30"/>
      <c r="K315" s="31"/>
      <c r="T315" s="32"/>
      <c r="AA315" s="30"/>
      <c r="AF315" s="31"/>
    </row>
    <row r="316" spans="3:32" ht="15.75" customHeight="1" x14ac:dyDescent="0.25">
      <c r="C316" s="33"/>
      <c r="H316" s="30"/>
      <c r="K316" s="31"/>
      <c r="T316" s="32"/>
      <c r="AA316" s="30"/>
      <c r="AF316" s="31"/>
    </row>
    <row r="317" spans="3:32" ht="15.75" customHeight="1" x14ac:dyDescent="0.25">
      <c r="C317" s="33"/>
      <c r="H317" s="30"/>
      <c r="K317" s="31"/>
      <c r="T317" s="32"/>
      <c r="AA317" s="30"/>
      <c r="AF317" s="31"/>
    </row>
    <row r="318" spans="3:32" ht="15.75" customHeight="1" x14ac:dyDescent="0.25">
      <c r="C318" s="33"/>
      <c r="H318" s="30"/>
      <c r="K318" s="31"/>
      <c r="T318" s="32"/>
      <c r="AA318" s="30"/>
      <c r="AF318" s="31"/>
    </row>
    <row r="319" spans="3:32" ht="15.75" customHeight="1" x14ac:dyDescent="0.25">
      <c r="C319" s="33"/>
      <c r="H319" s="30"/>
      <c r="K319" s="31"/>
      <c r="T319" s="32"/>
      <c r="AA319" s="30"/>
      <c r="AF319" s="31"/>
    </row>
    <row r="320" spans="3:32" ht="15.75" customHeight="1" x14ac:dyDescent="0.25">
      <c r="C320" s="33"/>
      <c r="H320" s="30"/>
      <c r="K320" s="31"/>
      <c r="T320" s="32"/>
      <c r="AA320" s="30"/>
      <c r="AF320" s="31"/>
    </row>
    <row r="321" spans="3:32" ht="15.75" customHeight="1" x14ac:dyDescent="0.25">
      <c r="C321" s="33"/>
      <c r="H321" s="30"/>
      <c r="K321" s="31"/>
      <c r="T321" s="32"/>
      <c r="AA321" s="30"/>
      <c r="AF321" s="31"/>
    </row>
    <row r="322" spans="3:32" ht="15.75" customHeight="1" x14ac:dyDescent="0.25">
      <c r="C322" s="33"/>
      <c r="H322" s="30"/>
      <c r="K322" s="31"/>
      <c r="T322" s="32"/>
      <c r="AA322" s="30"/>
      <c r="AF322" s="31"/>
    </row>
    <row r="323" spans="3:32" ht="15.75" customHeight="1" x14ac:dyDescent="0.25">
      <c r="C323" s="33"/>
      <c r="H323" s="30"/>
      <c r="K323" s="31"/>
      <c r="T323" s="32"/>
      <c r="AA323" s="30"/>
      <c r="AF323" s="31"/>
    </row>
    <row r="324" spans="3:32" ht="15.75" customHeight="1" x14ac:dyDescent="0.25">
      <c r="C324" s="33"/>
      <c r="H324" s="30"/>
      <c r="K324" s="31"/>
      <c r="T324" s="32"/>
      <c r="AA324" s="30"/>
      <c r="AF324" s="31"/>
    </row>
    <row r="325" spans="3:32" ht="15.75" customHeight="1" x14ac:dyDescent="0.25">
      <c r="C325" s="33"/>
      <c r="H325" s="30"/>
      <c r="K325" s="31"/>
      <c r="T325" s="32"/>
      <c r="AA325" s="30"/>
      <c r="AF325" s="31"/>
    </row>
    <row r="326" spans="3:32" ht="15.75" customHeight="1" x14ac:dyDescent="0.25">
      <c r="C326" s="33"/>
      <c r="H326" s="30"/>
      <c r="K326" s="31"/>
      <c r="T326" s="32"/>
      <c r="AA326" s="30"/>
      <c r="AF326" s="31"/>
    </row>
    <row r="327" spans="3:32" ht="15.75" customHeight="1" x14ac:dyDescent="0.25">
      <c r="C327" s="33"/>
      <c r="H327" s="30"/>
      <c r="K327" s="31"/>
      <c r="T327" s="32"/>
      <c r="AA327" s="30"/>
      <c r="AF327" s="31"/>
    </row>
    <row r="328" spans="3:32" ht="15.75" customHeight="1" x14ac:dyDescent="0.25">
      <c r="C328" s="33"/>
      <c r="H328" s="30"/>
      <c r="K328" s="31"/>
      <c r="T328" s="32"/>
      <c r="AA328" s="30"/>
      <c r="AF328" s="31"/>
    </row>
    <row r="329" spans="3:32" ht="15.75" customHeight="1" x14ac:dyDescent="0.25">
      <c r="C329" s="33"/>
      <c r="H329" s="30"/>
      <c r="K329" s="31"/>
      <c r="T329" s="32"/>
      <c r="AA329" s="30"/>
      <c r="AF329" s="31"/>
    </row>
    <row r="330" spans="3:32" ht="15.75" customHeight="1" x14ac:dyDescent="0.25">
      <c r="C330" s="33"/>
      <c r="H330" s="30"/>
      <c r="K330" s="31"/>
      <c r="T330" s="32"/>
      <c r="AA330" s="30"/>
      <c r="AF330" s="31"/>
    </row>
    <row r="331" spans="3:32" ht="15.75" customHeight="1" x14ac:dyDescent="0.25">
      <c r="C331" s="33"/>
      <c r="H331" s="30"/>
      <c r="K331" s="31"/>
      <c r="T331" s="32"/>
      <c r="AA331" s="30"/>
      <c r="AF331" s="31"/>
    </row>
    <row r="332" spans="3:32" ht="15.75" customHeight="1" x14ac:dyDescent="0.25">
      <c r="C332" s="33"/>
      <c r="H332" s="30"/>
      <c r="K332" s="31"/>
      <c r="T332" s="32"/>
      <c r="AA332" s="30"/>
      <c r="AF332" s="31"/>
    </row>
    <row r="333" spans="3:32" ht="15.75" customHeight="1" x14ac:dyDescent="0.25">
      <c r="C333" s="33"/>
      <c r="H333" s="30"/>
      <c r="K333" s="31"/>
      <c r="T333" s="32"/>
      <c r="AA333" s="30"/>
      <c r="AF333" s="31"/>
    </row>
    <row r="334" spans="3:32" ht="15.75" customHeight="1" x14ac:dyDescent="0.25">
      <c r="C334" s="33"/>
      <c r="H334" s="30"/>
      <c r="K334" s="31"/>
      <c r="T334" s="32"/>
      <c r="AA334" s="30"/>
      <c r="AF334" s="31"/>
    </row>
    <row r="335" spans="3:32" ht="15.75" customHeight="1" x14ac:dyDescent="0.25">
      <c r="C335" s="33"/>
      <c r="H335" s="30"/>
      <c r="K335" s="31"/>
      <c r="T335" s="32"/>
      <c r="AA335" s="30"/>
      <c r="AF335" s="31"/>
    </row>
    <row r="336" spans="3:32" ht="15.75" customHeight="1" x14ac:dyDescent="0.25">
      <c r="C336" s="33"/>
      <c r="H336" s="30"/>
      <c r="K336" s="31"/>
      <c r="T336" s="32"/>
      <c r="AA336" s="30"/>
      <c r="AF336" s="31"/>
    </row>
    <row r="337" spans="3:32" ht="15.75" customHeight="1" x14ac:dyDescent="0.25">
      <c r="C337" s="33"/>
      <c r="H337" s="30"/>
      <c r="K337" s="31"/>
      <c r="T337" s="32"/>
      <c r="AA337" s="30"/>
      <c r="AF337" s="31"/>
    </row>
    <row r="338" spans="3:32" ht="15.75" customHeight="1" x14ac:dyDescent="0.25">
      <c r="C338" s="33"/>
      <c r="H338" s="30"/>
      <c r="K338" s="31"/>
      <c r="T338" s="32"/>
      <c r="AA338" s="30"/>
      <c r="AF338" s="31"/>
    </row>
    <row r="339" spans="3:32" ht="15.75" customHeight="1" x14ac:dyDescent="0.25">
      <c r="C339" s="33"/>
      <c r="H339" s="30"/>
      <c r="K339" s="31"/>
      <c r="T339" s="32"/>
      <c r="AA339" s="30"/>
      <c r="AF339" s="31"/>
    </row>
    <row r="340" spans="3:32" ht="15.75" customHeight="1" x14ac:dyDescent="0.25">
      <c r="C340" s="33"/>
      <c r="H340" s="30"/>
      <c r="K340" s="31"/>
      <c r="T340" s="32"/>
      <c r="AA340" s="30"/>
      <c r="AF340" s="31"/>
    </row>
    <row r="341" spans="3:32" ht="15.75" customHeight="1" x14ac:dyDescent="0.25">
      <c r="C341" s="33"/>
      <c r="H341" s="30"/>
      <c r="K341" s="31"/>
      <c r="T341" s="32"/>
      <c r="AA341" s="30"/>
      <c r="AF341" s="31"/>
    </row>
    <row r="342" spans="3:32" ht="15.75" customHeight="1" x14ac:dyDescent="0.25">
      <c r="C342" s="33"/>
      <c r="H342" s="30"/>
      <c r="K342" s="31"/>
      <c r="T342" s="32"/>
      <c r="AA342" s="30"/>
      <c r="AF342" s="31"/>
    </row>
    <row r="343" spans="3:32" ht="15.75" customHeight="1" x14ac:dyDescent="0.25">
      <c r="C343" s="33"/>
      <c r="H343" s="30"/>
      <c r="K343" s="31"/>
      <c r="T343" s="32"/>
      <c r="AA343" s="30"/>
      <c r="AF343" s="31"/>
    </row>
    <row r="344" spans="3:32" ht="15.75" customHeight="1" x14ac:dyDescent="0.25">
      <c r="C344" s="33"/>
      <c r="H344" s="30"/>
      <c r="K344" s="31"/>
      <c r="T344" s="32"/>
      <c r="AA344" s="30"/>
      <c r="AF344" s="31"/>
    </row>
    <row r="345" spans="3:32" ht="15.75" customHeight="1" x14ac:dyDescent="0.25">
      <c r="C345" s="33"/>
      <c r="H345" s="30"/>
      <c r="K345" s="31"/>
      <c r="T345" s="32"/>
      <c r="AA345" s="30"/>
      <c r="AF345" s="31"/>
    </row>
    <row r="346" spans="3:32" ht="15.75" customHeight="1" x14ac:dyDescent="0.25">
      <c r="C346" s="33"/>
      <c r="H346" s="30"/>
      <c r="K346" s="31"/>
      <c r="T346" s="32"/>
      <c r="AA346" s="30"/>
      <c r="AF346" s="31"/>
    </row>
    <row r="347" spans="3:32" ht="15.75" customHeight="1" x14ac:dyDescent="0.25">
      <c r="C347" s="33"/>
      <c r="H347" s="30"/>
      <c r="K347" s="31"/>
      <c r="T347" s="32"/>
      <c r="AA347" s="30"/>
      <c r="AF347" s="31"/>
    </row>
    <row r="348" spans="3:32" ht="15.75" customHeight="1" x14ac:dyDescent="0.25">
      <c r="C348" s="33"/>
      <c r="H348" s="30"/>
      <c r="K348" s="31"/>
      <c r="T348" s="32"/>
      <c r="AA348" s="30"/>
      <c r="AF348" s="31"/>
    </row>
    <row r="349" spans="3:32" ht="15.75" customHeight="1" x14ac:dyDescent="0.25">
      <c r="C349" s="33"/>
      <c r="H349" s="30"/>
      <c r="K349" s="31"/>
      <c r="T349" s="32"/>
      <c r="AA349" s="30"/>
      <c r="AF349" s="31"/>
    </row>
    <row r="350" spans="3:32" ht="15.75" customHeight="1" x14ac:dyDescent="0.25">
      <c r="C350" s="33"/>
      <c r="H350" s="30"/>
      <c r="K350" s="31"/>
      <c r="T350" s="32"/>
      <c r="AA350" s="30"/>
      <c r="AF350" s="31"/>
    </row>
    <row r="351" spans="3:32" ht="15.75" customHeight="1" x14ac:dyDescent="0.25">
      <c r="C351" s="33"/>
      <c r="H351" s="30"/>
      <c r="K351" s="31"/>
      <c r="T351" s="32"/>
      <c r="AA351" s="30"/>
      <c r="AF351" s="31"/>
    </row>
    <row r="352" spans="3:32" ht="15.75" customHeight="1" x14ac:dyDescent="0.25">
      <c r="C352" s="33"/>
      <c r="H352" s="30"/>
      <c r="K352" s="31"/>
      <c r="T352" s="32"/>
      <c r="AA352" s="30"/>
      <c r="AF352" s="31"/>
    </row>
    <row r="353" spans="3:32" ht="15.75" customHeight="1" x14ac:dyDescent="0.25">
      <c r="C353" s="33"/>
      <c r="H353" s="30"/>
      <c r="K353" s="31"/>
      <c r="T353" s="32"/>
      <c r="AA353" s="30"/>
      <c r="AF353" s="31"/>
    </row>
    <row r="354" spans="3:32" ht="15.75" customHeight="1" x14ac:dyDescent="0.25">
      <c r="C354" s="33"/>
      <c r="H354" s="30"/>
      <c r="K354" s="31"/>
      <c r="T354" s="32"/>
      <c r="AA354" s="30"/>
      <c r="AF354" s="31"/>
    </row>
    <row r="355" spans="3:32" ht="15.75" customHeight="1" x14ac:dyDescent="0.25">
      <c r="C355" s="33"/>
      <c r="H355" s="30"/>
      <c r="K355" s="31"/>
      <c r="T355" s="32"/>
      <c r="AA355" s="30"/>
      <c r="AF355" s="31"/>
    </row>
    <row r="356" spans="3:32" ht="15.75" customHeight="1" x14ac:dyDescent="0.25">
      <c r="C356" s="33"/>
      <c r="H356" s="30"/>
      <c r="K356" s="31"/>
      <c r="T356" s="32"/>
      <c r="AA356" s="30"/>
      <c r="AF356" s="31"/>
    </row>
    <row r="357" spans="3:32" ht="15.75" customHeight="1" x14ac:dyDescent="0.25">
      <c r="C357" s="33"/>
      <c r="H357" s="30"/>
      <c r="K357" s="31"/>
      <c r="T357" s="32"/>
      <c r="AA357" s="30"/>
      <c r="AF357" s="31"/>
    </row>
    <row r="358" spans="3:32" ht="15.75" customHeight="1" x14ac:dyDescent="0.25">
      <c r="C358" s="33"/>
      <c r="H358" s="30"/>
      <c r="K358" s="31"/>
      <c r="T358" s="32"/>
      <c r="AA358" s="30"/>
      <c r="AF358" s="31"/>
    </row>
    <row r="359" spans="3:32" ht="15.75" customHeight="1" x14ac:dyDescent="0.25">
      <c r="C359" s="33"/>
      <c r="H359" s="30"/>
      <c r="K359" s="31"/>
      <c r="T359" s="32"/>
      <c r="AA359" s="30"/>
      <c r="AF359" s="31"/>
    </row>
    <row r="360" spans="3:32" ht="15.75" customHeight="1" x14ac:dyDescent="0.25">
      <c r="C360" s="33"/>
      <c r="H360" s="30"/>
      <c r="K360" s="31"/>
      <c r="T360" s="32"/>
      <c r="AA360" s="30"/>
      <c r="AF360" s="31"/>
    </row>
    <row r="361" spans="3:32" ht="15.75" customHeight="1" x14ac:dyDescent="0.25">
      <c r="C361" s="33"/>
      <c r="H361" s="30"/>
      <c r="K361" s="31"/>
      <c r="T361" s="32"/>
      <c r="AA361" s="30"/>
      <c r="AF361" s="31"/>
    </row>
    <row r="362" spans="3:32" ht="15.75" customHeight="1" x14ac:dyDescent="0.25">
      <c r="C362" s="33"/>
      <c r="H362" s="30"/>
      <c r="K362" s="31"/>
      <c r="T362" s="32"/>
      <c r="AA362" s="30"/>
      <c r="AF362" s="31"/>
    </row>
    <row r="363" spans="3:32" ht="15.75" customHeight="1" x14ac:dyDescent="0.25">
      <c r="C363" s="33"/>
      <c r="H363" s="30"/>
      <c r="K363" s="31"/>
      <c r="T363" s="32"/>
      <c r="AA363" s="30"/>
      <c r="AF363" s="31"/>
    </row>
    <row r="364" spans="3:32" ht="15.75" customHeight="1" x14ac:dyDescent="0.25">
      <c r="C364" s="33"/>
      <c r="H364" s="30"/>
      <c r="K364" s="31"/>
      <c r="T364" s="32"/>
      <c r="AA364" s="30"/>
      <c r="AF364" s="31"/>
    </row>
    <row r="365" spans="3:32" ht="15.75" customHeight="1" x14ac:dyDescent="0.25">
      <c r="C365" s="33"/>
      <c r="H365" s="30"/>
      <c r="K365" s="31"/>
      <c r="T365" s="32"/>
      <c r="AA365" s="30"/>
      <c r="AF365" s="31"/>
    </row>
    <row r="366" spans="3:32" ht="15.75" customHeight="1" x14ac:dyDescent="0.25">
      <c r="C366" s="33"/>
      <c r="H366" s="30"/>
      <c r="K366" s="31"/>
      <c r="T366" s="32"/>
      <c r="AA366" s="30"/>
      <c r="AF366" s="31"/>
    </row>
    <row r="367" spans="3:32" ht="15.75" customHeight="1" x14ac:dyDescent="0.25">
      <c r="C367" s="33"/>
      <c r="H367" s="30"/>
      <c r="K367" s="31"/>
      <c r="T367" s="32"/>
      <c r="AA367" s="30"/>
      <c r="AF367" s="31"/>
    </row>
    <row r="368" spans="3:32" ht="15.75" customHeight="1" x14ac:dyDescent="0.25">
      <c r="C368" s="33"/>
      <c r="H368" s="30"/>
      <c r="K368" s="31"/>
      <c r="T368" s="32"/>
      <c r="AA368" s="30"/>
      <c r="AF368" s="31"/>
    </row>
    <row r="369" spans="3:32" ht="15.75" customHeight="1" x14ac:dyDescent="0.25">
      <c r="C369" s="33"/>
      <c r="H369" s="30"/>
      <c r="K369" s="31"/>
      <c r="T369" s="32"/>
      <c r="AA369" s="30"/>
      <c r="AF369" s="31"/>
    </row>
    <row r="370" spans="3:32" ht="15.75" customHeight="1" x14ac:dyDescent="0.25">
      <c r="C370" s="33"/>
      <c r="H370" s="30"/>
      <c r="K370" s="31"/>
      <c r="T370" s="32"/>
      <c r="AA370" s="30"/>
      <c r="AF370" s="31"/>
    </row>
    <row r="371" spans="3:32" ht="15.75" customHeight="1" x14ac:dyDescent="0.25">
      <c r="C371" s="33"/>
      <c r="H371" s="30"/>
      <c r="K371" s="31"/>
      <c r="T371" s="32"/>
      <c r="AA371" s="30"/>
      <c r="AF371" s="31"/>
    </row>
    <row r="372" spans="3:32" ht="15.75" customHeight="1" x14ac:dyDescent="0.25">
      <c r="C372" s="33"/>
      <c r="H372" s="30"/>
      <c r="K372" s="31"/>
      <c r="T372" s="32"/>
      <c r="AA372" s="30"/>
      <c r="AF372" s="31"/>
    </row>
    <row r="373" spans="3:32" ht="15.75" customHeight="1" x14ac:dyDescent="0.25">
      <c r="C373" s="33"/>
      <c r="H373" s="30"/>
      <c r="K373" s="31"/>
      <c r="T373" s="32"/>
      <c r="AA373" s="30"/>
      <c r="AF373" s="31"/>
    </row>
    <row r="374" spans="3:32" ht="15.75" customHeight="1" x14ac:dyDescent="0.25">
      <c r="C374" s="33"/>
      <c r="H374" s="30"/>
      <c r="K374" s="31"/>
      <c r="T374" s="32"/>
      <c r="AA374" s="30"/>
      <c r="AF374" s="31"/>
    </row>
    <row r="375" spans="3:32" ht="15.75" customHeight="1" x14ac:dyDescent="0.25">
      <c r="C375" s="33"/>
      <c r="H375" s="30"/>
      <c r="K375" s="31"/>
      <c r="T375" s="32"/>
      <c r="AA375" s="30"/>
      <c r="AF375" s="31"/>
    </row>
    <row r="376" spans="3:32" ht="15.75" customHeight="1" x14ac:dyDescent="0.25">
      <c r="C376" s="33"/>
      <c r="H376" s="30"/>
      <c r="K376" s="31"/>
      <c r="T376" s="32"/>
      <c r="AA376" s="30"/>
      <c r="AF376" s="31"/>
    </row>
    <row r="377" spans="3:32" ht="15.75" customHeight="1" x14ac:dyDescent="0.25">
      <c r="C377" s="33"/>
      <c r="H377" s="30"/>
      <c r="K377" s="31"/>
      <c r="T377" s="32"/>
      <c r="AA377" s="30"/>
      <c r="AF377" s="31"/>
    </row>
    <row r="378" spans="3:32" ht="15.75" customHeight="1" x14ac:dyDescent="0.25">
      <c r="C378" s="33"/>
      <c r="H378" s="30"/>
      <c r="K378" s="31"/>
      <c r="T378" s="32"/>
      <c r="AA378" s="30"/>
      <c r="AF378" s="31"/>
    </row>
    <row r="379" spans="3:32" ht="15.75" customHeight="1" x14ac:dyDescent="0.25">
      <c r="C379" s="33"/>
      <c r="H379" s="30"/>
      <c r="K379" s="31"/>
      <c r="T379" s="32"/>
      <c r="AA379" s="30"/>
      <c r="AF379" s="31"/>
    </row>
    <row r="380" spans="3:32" ht="15.75" customHeight="1" x14ac:dyDescent="0.25">
      <c r="C380" s="33"/>
      <c r="H380" s="30"/>
      <c r="K380" s="31"/>
      <c r="T380" s="32"/>
      <c r="AA380" s="30"/>
      <c r="AF380" s="31"/>
    </row>
    <row r="381" spans="3:32" ht="15.75" customHeight="1" x14ac:dyDescent="0.25">
      <c r="C381" s="33"/>
      <c r="H381" s="30"/>
      <c r="K381" s="31"/>
      <c r="T381" s="32"/>
      <c r="AA381" s="30"/>
      <c r="AF381" s="31"/>
    </row>
    <row r="382" spans="3:32" ht="15.75" customHeight="1" x14ac:dyDescent="0.25">
      <c r="C382" s="33"/>
      <c r="H382" s="30"/>
      <c r="K382" s="31"/>
      <c r="T382" s="32"/>
      <c r="AA382" s="30"/>
      <c r="AF382" s="31"/>
    </row>
    <row r="383" spans="3:32" ht="15.75" customHeight="1" x14ac:dyDescent="0.25">
      <c r="C383" s="33"/>
      <c r="H383" s="30"/>
      <c r="K383" s="31"/>
      <c r="T383" s="32"/>
      <c r="AA383" s="30"/>
      <c r="AF383" s="31"/>
    </row>
    <row r="384" spans="3:32" ht="15.75" customHeight="1" x14ac:dyDescent="0.25">
      <c r="C384" s="33"/>
      <c r="H384" s="30"/>
      <c r="K384" s="31"/>
      <c r="T384" s="32"/>
      <c r="AA384" s="30"/>
      <c r="AF384" s="31"/>
    </row>
    <row r="385" spans="3:32" ht="15.75" customHeight="1" x14ac:dyDescent="0.25">
      <c r="C385" s="33"/>
      <c r="H385" s="30"/>
      <c r="K385" s="31"/>
      <c r="T385" s="32"/>
      <c r="AA385" s="30"/>
      <c r="AF385" s="31"/>
    </row>
    <row r="386" spans="3:32" ht="15.75" customHeight="1" x14ac:dyDescent="0.25">
      <c r="C386" s="33"/>
      <c r="H386" s="30"/>
      <c r="K386" s="31"/>
      <c r="T386" s="32"/>
      <c r="AA386" s="30"/>
      <c r="AF386" s="31"/>
    </row>
    <row r="387" spans="3:32" ht="15.75" customHeight="1" x14ac:dyDescent="0.25">
      <c r="C387" s="33"/>
      <c r="H387" s="30"/>
      <c r="K387" s="31"/>
      <c r="T387" s="32"/>
      <c r="AA387" s="30"/>
      <c r="AF387" s="31"/>
    </row>
    <row r="388" spans="3:32" ht="15.75" customHeight="1" x14ac:dyDescent="0.25">
      <c r="C388" s="33"/>
      <c r="H388" s="30"/>
      <c r="K388" s="31"/>
      <c r="T388" s="32"/>
      <c r="AA388" s="30"/>
      <c r="AF388" s="31"/>
    </row>
    <row r="389" spans="3:32" ht="15.75" customHeight="1" x14ac:dyDescent="0.25">
      <c r="C389" s="33"/>
      <c r="H389" s="30"/>
      <c r="K389" s="31"/>
      <c r="T389" s="32"/>
      <c r="AA389" s="30"/>
      <c r="AF389" s="31"/>
    </row>
    <row r="390" spans="3:32" ht="15.75" customHeight="1" x14ac:dyDescent="0.25">
      <c r="C390" s="33"/>
      <c r="H390" s="30"/>
      <c r="K390" s="31"/>
      <c r="T390" s="32"/>
      <c r="AA390" s="30"/>
      <c r="AF390" s="31"/>
    </row>
    <row r="391" spans="3:32" ht="15.75" customHeight="1" x14ac:dyDescent="0.25">
      <c r="C391" s="33"/>
      <c r="H391" s="30"/>
      <c r="K391" s="31"/>
      <c r="T391" s="32"/>
      <c r="AA391" s="30"/>
      <c r="AF391" s="31"/>
    </row>
    <row r="392" spans="3:32" ht="15.75" customHeight="1" x14ac:dyDescent="0.25">
      <c r="C392" s="33"/>
      <c r="H392" s="30"/>
      <c r="K392" s="31"/>
      <c r="T392" s="32"/>
      <c r="AA392" s="30"/>
      <c r="AF392" s="31"/>
    </row>
    <row r="393" spans="3:32" ht="15.75" customHeight="1" x14ac:dyDescent="0.25">
      <c r="C393" s="33"/>
      <c r="H393" s="30"/>
      <c r="K393" s="31"/>
      <c r="T393" s="32"/>
      <c r="AA393" s="30"/>
      <c r="AF393" s="31"/>
    </row>
    <row r="394" spans="3:32" ht="15.75" customHeight="1" x14ac:dyDescent="0.25">
      <c r="C394" s="33"/>
      <c r="H394" s="30"/>
      <c r="K394" s="31"/>
      <c r="T394" s="32"/>
      <c r="AA394" s="30"/>
      <c r="AF394" s="31"/>
    </row>
    <row r="395" spans="3:32" ht="15.75" customHeight="1" x14ac:dyDescent="0.25">
      <c r="C395" s="33"/>
      <c r="H395" s="30"/>
      <c r="K395" s="31"/>
      <c r="T395" s="32"/>
      <c r="AA395" s="30"/>
      <c r="AF395" s="31"/>
    </row>
    <row r="396" spans="3:32" ht="15.75" customHeight="1" x14ac:dyDescent="0.25">
      <c r="C396" s="33"/>
      <c r="H396" s="30"/>
      <c r="K396" s="31"/>
      <c r="T396" s="32"/>
      <c r="AA396" s="30"/>
      <c r="AF396" s="31"/>
    </row>
    <row r="397" spans="3:32" ht="15.75" customHeight="1" x14ac:dyDescent="0.25">
      <c r="C397" s="33"/>
      <c r="H397" s="30"/>
      <c r="K397" s="31"/>
      <c r="T397" s="32"/>
      <c r="AA397" s="30"/>
      <c r="AF397" s="31"/>
    </row>
    <row r="398" spans="3:32" ht="15.75" customHeight="1" x14ac:dyDescent="0.25">
      <c r="C398" s="33"/>
      <c r="H398" s="30"/>
      <c r="K398" s="31"/>
      <c r="T398" s="32"/>
      <c r="AA398" s="30"/>
      <c r="AF398" s="31"/>
    </row>
    <row r="399" spans="3:32" ht="15.75" customHeight="1" x14ac:dyDescent="0.25">
      <c r="C399" s="33"/>
      <c r="H399" s="30"/>
      <c r="K399" s="31"/>
      <c r="T399" s="32"/>
      <c r="AA399" s="30"/>
      <c r="AF399" s="31"/>
    </row>
    <row r="400" spans="3:32" ht="15.75" customHeight="1" x14ac:dyDescent="0.25">
      <c r="C400" s="33"/>
      <c r="H400" s="30"/>
      <c r="K400" s="31"/>
      <c r="T400" s="32"/>
      <c r="AA400" s="30"/>
      <c r="AF400" s="31"/>
    </row>
    <row r="401" spans="3:32" ht="15.75" customHeight="1" x14ac:dyDescent="0.25">
      <c r="C401" s="33"/>
      <c r="H401" s="30"/>
      <c r="K401" s="31"/>
      <c r="T401" s="32"/>
      <c r="AA401" s="30"/>
      <c r="AF401" s="31"/>
    </row>
    <row r="402" spans="3:32" ht="15.75" customHeight="1" x14ac:dyDescent="0.25">
      <c r="C402" s="33"/>
      <c r="H402" s="30"/>
      <c r="K402" s="31"/>
      <c r="T402" s="32"/>
      <c r="AA402" s="30"/>
      <c r="AF402" s="31"/>
    </row>
    <row r="403" spans="3:32" ht="15.75" customHeight="1" x14ac:dyDescent="0.25">
      <c r="C403" s="33"/>
      <c r="H403" s="30"/>
      <c r="K403" s="31"/>
      <c r="T403" s="32"/>
      <c r="AA403" s="30"/>
      <c r="AF403" s="31"/>
    </row>
    <row r="404" spans="3:32" ht="15.75" customHeight="1" x14ac:dyDescent="0.25">
      <c r="C404" s="33"/>
      <c r="H404" s="30"/>
      <c r="K404" s="31"/>
      <c r="T404" s="32"/>
      <c r="AA404" s="30"/>
      <c r="AF404" s="31"/>
    </row>
    <row r="405" spans="3:32" ht="15.75" customHeight="1" x14ac:dyDescent="0.25">
      <c r="C405" s="33"/>
      <c r="H405" s="30"/>
      <c r="K405" s="31"/>
      <c r="T405" s="32"/>
      <c r="AA405" s="30"/>
      <c r="AF405" s="31"/>
    </row>
    <row r="406" spans="3:32" ht="15.75" customHeight="1" x14ac:dyDescent="0.25">
      <c r="C406" s="33"/>
      <c r="H406" s="30"/>
      <c r="K406" s="31"/>
      <c r="T406" s="32"/>
      <c r="AA406" s="30"/>
      <c r="AF406" s="31"/>
    </row>
    <row r="407" spans="3:32" ht="15.75" customHeight="1" x14ac:dyDescent="0.25">
      <c r="C407" s="33"/>
      <c r="H407" s="30"/>
      <c r="K407" s="31"/>
      <c r="T407" s="32"/>
      <c r="AA407" s="30"/>
      <c r="AF407" s="31"/>
    </row>
    <row r="408" spans="3:32" ht="15.75" customHeight="1" x14ac:dyDescent="0.25">
      <c r="C408" s="33"/>
      <c r="H408" s="30"/>
      <c r="K408" s="31"/>
      <c r="T408" s="32"/>
      <c r="AA408" s="30"/>
      <c r="AF408" s="31"/>
    </row>
    <row r="409" spans="3:32" ht="15.75" customHeight="1" x14ac:dyDescent="0.25">
      <c r="C409" s="33"/>
      <c r="H409" s="30"/>
      <c r="K409" s="31"/>
      <c r="T409" s="32"/>
      <c r="AA409" s="30"/>
      <c r="AF409" s="31"/>
    </row>
    <row r="410" spans="3:32" ht="15.75" customHeight="1" x14ac:dyDescent="0.25">
      <c r="C410" s="33"/>
      <c r="H410" s="30"/>
      <c r="K410" s="31"/>
      <c r="T410" s="32"/>
      <c r="AA410" s="30"/>
      <c r="AF410" s="31"/>
    </row>
    <row r="411" spans="3:32" ht="15.75" customHeight="1" x14ac:dyDescent="0.25">
      <c r="C411" s="33"/>
      <c r="H411" s="30"/>
      <c r="K411" s="31"/>
      <c r="T411" s="32"/>
      <c r="AA411" s="30"/>
      <c r="AF411" s="31"/>
    </row>
    <row r="412" spans="3:32" ht="15.75" customHeight="1" x14ac:dyDescent="0.25">
      <c r="C412" s="33"/>
      <c r="H412" s="30"/>
      <c r="K412" s="31"/>
      <c r="T412" s="32"/>
      <c r="AA412" s="30"/>
      <c r="AF412" s="31"/>
    </row>
    <row r="413" spans="3:32" ht="15.75" customHeight="1" x14ac:dyDescent="0.25">
      <c r="C413" s="33"/>
      <c r="H413" s="30"/>
      <c r="K413" s="31"/>
      <c r="T413" s="32"/>
      <c r="AA413" s="30"/>
      <c r="AF413" s="31"/>
    </row>
    <row r="414" spans="3:32" ht="15.75" customHeight="1" x14ac:dyDescent="0.25">
      <c r="C414" s="33"/>
      <c r="H414" s="30"/>
      <c r="K414" s="31"/>
      <c r="T414" s="32"/>
      <c r="AA414" s="30"/>
      <c r="AF414" s="31"/>
    </row>
    <row r="415" spans="3:32" ht="15.75" customHeight="1" x14ac:dyDescent="0.25">
      <c r="C415" s="33"/>
      <c r="H415" s="30"/>
      <c r="K415" s="31"/>
      <c r="T415" s="32"/>
      <c r="AA415" s="30"/>
      <c r="AF415" s="31"/>
    </row>
    <row r="416" spans="3:32" ht="15.75" customHeight="1" x14ac:dyDescent="0.25">
      <c r="C416" s="33"/>
      <c r="H416" s="30"/>
      <c r="K416" s="31"/>
      <c r="T416" s="32"/>
      <c r="AA416" s="30"/>
      <c r="AF416" s="31"/>
    </row>
    <row r="417" spans="3:32" ht="15.75" customHeight="1" x14ac:dyDescent="0.25">
      <c r="C417" s="33"/>
      <c r="H417" s="30"/>
      <c r="K417" s="31"/>
      <c r="T417" s="32"/>
      <c r="AA417" s="30"/>
      <c r="AF417" s="31"/>
    </row>
    <row r="418" spans="3:32" ht="15.75" customHeight="1" x14ac:dyDescent="0.25">
      <c r="C418" s="33"/>
      <c r="H418" s="30"/>
      <c r="K418" s="31"/>
      <c r="T418" s="32"/>
      <c r="AA418" s="30"/>
      <c r="AF418" s="31"/>
    </row>
    <row r="419" spans="3:32" ht="15.75" customHeight="1" x14ac:dyDescent="0.25">
      <c r="C419" s="33"/>
      <c r="H419" s="30"/>
      <c r="K419" s="31"/>
      <c r="T419" s="32"/>
      <c r="AA419" s="30"/>
      <c r="AF419" s="31"/>
    </row>
    <row r="420" spans="3:32" ht="15.75" customHeight="1" x14ac:dyDescent="0.25">
      <c r="C420" s="33"/>
      <c r="H420" s="30"/>
      <c r="K420" s="31"/>
      <c r="T420" s="32"/>
      <c r="AA420" s="30"/>
      <c r="AF420" s="31"/>
    </row>
    <row r="421" spans="3:32" ht="15.75" customHeight="1" x14ac:dyDescent="0.25">
      <c r="C421" s="33"/>
      <c r="H421" s="30"/>
      <c r="K421" s="31"/>
      <c r="T421" s="32"/>
      <c r="AA421" s="30"/>
      <c r="AF421" s="31"/>
    </row>
    <row r="422" spans="3:32" ht="15.75" customHeight="1" x14ac:dyDescent="0.25">
      <c r="C422" s="33"/>
      <c r="H422" s="30"/>
      <c r="K422" s="31"/>
      <c r="T422" s="32"/>
      <c r="AA422" s="30"/>
      <c r="AF422" s="31"/>
    </row>
    <row r="423" spans="3:32" ht="15.75" customHeight="1" x14ac:dyDescent="0.25">
      <c r="C423" s="33"/>
      <c r="H423" s="30"/>
      <c r="K423" s="31"/>
      <c r="T423" s="32"/>
      <c r="AA423" s="30"/>
      <c r="AF423" s="31"/>
    </row>
    <row r="424" spans="3:32" ht="15.75" customHeight="1" x14ac:dyDescent="0.25">
      <c r="C424" s="33"/>
      <c r="H424" s="30"/>
      <c r="K424" s="31"/>
      <c r="T424" s="32"/>
      <c r="AA424" s="30"/>
      <c r="AF424" s="31"/>
    </row>
    <row r="425" spans="3:32" ht="15.75" customHeight="1" x14ac:dyDescent="0.25">
      <c r="C425" s="33"/>
      <c r="H425" s="30"/>
      <c r="K425" s="31"/>
      <c r="T425" s="32"/>
      <c r="AA425" s="30"/>
      <c r="AF425" s="31"/>
    </row>
    <row r="426" spans="3:32" ht="15.75" customHeight="1" x14ac:dyDescent="0.25">
      <c r="C426" s="33"/>
      <c r="H426" s="30"/>
      <c r="K426" s="31"/>
      <c r="T426" s="32"/>
      <c r="AA426" s="30"/>
      <c r="AF426" s="31"/>
    </row>
    <row r="427" spans="3:32" ht="15.75" customHeight="1" x14ac:dyDescent="0.25">
      <c r="C427" s="33"/>
      <c r="H427" s="30"/>
      <c r="K427" s="31"/>
      <c r="T427" s="32"/>
      <c r="AA427" s="30"/>
      <c r="AF427" s="31"/>
    </row>
    <row r="428" spans="3:32" ht="15.75" customHeight="1" x14ac:dyDescent="0.25">
      <c r="C428" s="33"/>
      <c r="H428" s="30"/>
      <c r="K428" s="31"/>
      <c r="T428" s="32"/>
      <c r="AA428" s="30"/>
      <c r="AF428" s="31"/>
    </row>
    <row r="429" spans="3:32" ht="15.75" customHeight="1" x14ac:dyDescent="0.25">
      <c r="C429" s="33"/>
      <c r="H429" s="30"/>
      <c r="K429" s="31"/>
      <c r="T429" s="32"/>
      <c r="AA429" s="30"/>
      <c r="AF429" s="31"/>
    </row>
    <row r="430" spans="3:32" ht="15.75" customHeight="1" x14ac:dyDescent="0.25">
      <c r="C430" s="33"/>
      <c r="H430" s="30"/>
      <c r="K430" s="31"/>
      <c r="T430" s="32"/>
      <c r="AA430" s="30"/>
      <c r="AF430" s="31"/>
    </row>
    <row r="431" spans="3:32" ht="15.75" customHeight="1" x14ac:dyDescent="0.25">
      <c r="C431" s="33"/>
      <c r="H431" s="30"/>
      <c r="K431" s="31"/>
      <c r="T431" s="32"/>
      <c r="AA431" s="30"/>
      <c r="AF431" s="31"/>
    </row>
    <row r="432" spans="3:32" ht="15.75" customHeight="1" x14ac:dyDescent="0.25">
      <c r="C432" s="33"/>
      <c r="H432" s="30"/>
      <c r="K432" s="31"/>
      <c r="T432" s="32"/>
      <c r="AA432" s="30"/>
      <c r="AF432" s="31"/>
    </row>
    <row r="433" spans="3:32" ht="15.75" customHeight="1" x14ac:dyDescent="0.25">
      <c r="C433" s="33"/>
      <c r="H433" s="30"/>
      <c r="K433" s="31"/>
      <c r="T433" s="32"/>
      <c r="AA433" s="30"/>
      <c r="AF433" s="31"/>
    </row>
    <row r="434" spans="3:32" ht="15.75" customHeight="1" x14ac:dyDescent="0.25">
      <c r="C434" s="33"/>
      <c r="H434" s="30"/>
      <c r="K434" s="31"/>
      <c r="T434" s="32"/>
      <c r="AA434" s="30"/>
      <c r="AF434" s="31"/>
    </row>
    <row r="435" spans="3:32" ht="15.75" customHeight="1" x14ac:dyDescent="0.25">
      <c r="C435" s="33"/>
      <c r="H435" s="30"/>
      <c r="K435" s="31"/>
      <c r="T435" s="32"/>
      <c r="AA435" s="30"/>
      <c r="AF435" s="31"/>
    </row>
    <row r="436" spans="3:32" ht="15.75" customHeight="1" x14ac:dyDescent="0.25">
      <c r="C436" s="33"/>
      <c r="H436" s="30"/>
      <c r="K436" s="31"/>
      <c r="T436" s="32"/>
      <c r="AA436" s="30"/>
      <c r="AF436" s="31"/>
    </row>
    <row r="437" spans="3:32" ht="15.75" customHeight="1" x14ac:dyDescent="0.25">
      <c r="C437" s="33"/>
      <c r="H437" s="30"/>
      <c r="K437" s="31"/>
      <c r="T437" s="32"/>
      <c r="AA437" s="30"/>
      <c r="AF437" s="31"/>
    </row>
    <row r="438" spans="3:32" ht="15.75" customHeight="1" x14ac:dyDescent="0.25">
      <c r="C438" s="33"/>
      <c r="H438" s="30"/>
      <c r="K438" s="31"/>
      <c r="T438" s="32"/>
      <c r="AA438" s="30"/>
      <c r="AF438" s="31"/>
    </row>
    <row r="439" spans="3:32" ht="15.75" customHeight="1" x14ac:dyDescent="0.25">
      <c r="C439" s="33"/>
      <c r="H439" s="30"/>
      <c r="K439" s="31"/>
      <c r="T439" s="32"/>
      <c r="AA439" s="30"/>
      <c r="AF439" s="31"/>
    </row>
    <row r="440" spans="3:32" ht="15.75" customHeight="1" x14ac:dyDescent="0.25">
      <c r="C440" s="33"/>
      <c r="H440" s="30"/>
      <c r="K440" s="31"/>
      <c r="T440" s="32"/>
      <c r="AA440" s="30"/>
      <c r="AF440" s="31"/>
    </row>
    <row r="441" spans="3:32" ht="15.75" customHeight="1" x14ac:dyDescent="0.25">
      <c r="C441" s="33"/>
      <c r="H441" s="30"/>
      <c r="K441" s="31"/>
      <c r="T441" s="32"/>
      <c r="AA441" s="30"/>
      <c r="AF441" s="31"/>
    </row>
    <row r="442" spans="3:32" ht="15.75" customHeight="1" x14ac:dyDescent="0.25">
      <c r="C442" s="33"/>
      <c r="H442" s="30"/>
      <c r="K442" s="31"/>
      <c r="T442" s="32"/>
      <c r="AA442" s="30"/>
      <c r="AF442" s="31"/>
    </row>
    <row r="443" spans="3:32" ht="15.75" customHeight="1" x14ac:dyDescent="0.25">
      <c r="C443" s="33"/>
      <c r="H443" s="30"/>
      <c r="K443" s="31"/>
      <c r="T443" s="32"/>
      <c r="AA443" s="30"/>
      <c r="AF443" s="31"/>
    </row>
    <row r="444" spans="3:32" ht="15.75" customHeight="1" x14ac:dyDescent="0.25">
      <c r="C444" s="33"/>
      <c r="H444" s="30"/>
      <c r="K444" s="31"/>
      <c r="T444" s="32"/>
      <c r="AA444" s="30"/>
      <c r="AF444" s="31"/>
    </row>
    <row r="445" spans="3:32" ht="15.75" customHeight="1" x14ac:dyDescent="0.25">
      <c r="C445" s="33"/>
      <c r="H445" s="30"/>
      <c r="K445" s="31"/>
      <c r="T445" s="32"/>
      <c r="AA445" s="30"/>
      <c r="AF445" s="31"/>
    </row>
    <row r="446" spans="3:32" ht="15.75" customHeight="1" x14ac:dyDescent="0.25">
      <c r="C446" s="33"/>
      <c r="H446" s="30"/>
      <c r="K446" s="31"/>
      <c r="T446" s="32"/>
      <c r="AA446" s="30"/>
      <c r="AF446" s="31"/>
    </row>
    <row r="447" spans="3:32" ht="15.75" customHeight="1" x14ac:dyDescent="0.25">
      <c r="C447" s="33"/>
      <c r="H447" s="30"/>
      <c r="K447" s="31"/>
      <c r="T447" s="32"/>
      <c r="AA447" s="30"/>
      <c r="AF447" s="31"/>
    </row>
    <row r="448" spans="3:32" ht="15.75" customHeight="1" x14ac:dyDescent="0.25">
      <c r="C448" s="33"/>
      <c r="H448" s="30"/>
      <c r="K448" s="31"/>
      <c r="T448" s="32"/>
      <c r="AA448" s="30"/>
      <c r="AF448" s="31"/>
    </row>
    <row r="449" spans="3:32" ht="15.75" customHeight="1" x14ac:dyDescent="0.25">
      <c r="C449" s="33"/>
      <c r="H449" s="30"/>
      <c r="K449" s="31"/>
      <c r="T449" s="32"/>
      <c r="AA449" s="30"/>
      <c r="AF449" s="31"/>
    </row>
    <row r="450" spans="3:32" ht="15.75" customHeight="1" x14ac:dyDescent="0.25">
      <c r="C450" s="33"/>
      <c r="H450" s="30"/>
      <c r="K450" s="31"/>
      <c r="T450" s="32"/>
      <c r="AA450" s="30"/>
      <c r="AF450" s="31"/>
    </row>
    <row r="451" spans="3:32" ht="15.75" customHeight="1" x14ac:dyDescent="0.25">
      <c r="C451" s="33"/>
      <c r="H451" s="30"/>
      <c r="K451" s="31"/>
      <c r="T451" s="32"/>
      <c r="AA451" s="30"/>
      <c r="AF451" s="31"/>
    </row>
    <row r="452" spans="3:32" ht="15.75" customHeight="1" x14ac:dyDescent="0.25">
      <c r="C452" s="33"/>
      <c r="H452" s="30"/>
      <c r="K452" s="31"/>
      <c r="T452" s="32"/>
      <c r="AA452" s="30"/>
      <c r="AF452" s="31"/>
    </row>
    <row r="453" spans="3:32" ht="15.75" customHeight="1" x14ac:dyDescent="0.25">
      <c r="C453" s="33"/>
      <c r="H453" s="30"/>
      <c r="K453" s="31"/>
      <c r="T453" s="32"/>
      <c r="AA453" s="30"/>
      <c r="AF453" s="31"/>
    </row>
    <row r="454" spans="3:32" ht="15.75" customHeight="1" x14ac:dyDescent="0.25">
      <c r="C454" s="33"/>
      <c r="H454" s="30"/>
      <c r="K454" s="31"/>
      <c r="T454" s="32"/>
      <c r="AA454" s="30"/>
      <c r="AF454" s="31"/>
    </row>
    <row r="455" spans="3:32" ht="15.75" customHeight="1" x14ac:dyDescent="0.25">
      <c r="C455" s="33"/>
      <c r="H455" s="30"/>
      <c r="K455" s="31"/>
      <c r="T455" s="32"/>
      <c r="AA455" s="30"/>
      <c r="AF455" s="31"/>
    </row>
    <row r="456" spans="3:32" ht="15.75" customHeight="1" x14ac:dyDescent="0.25">
      <c r="C456" s="33"/>
      <c r="H456" s="30"/>
      <c r="K456" s="31"/>
      <c r="T456" s="32"/>
      <c r="AA456" s="30"/>
      <c r="AF456" s="31"/>
    </row>
    <row r="457" spans="3:32" ht="15.75" customHeight="1" x14ac:dyDescent="0.25">
      <c r="C457" s="33"/>
      <c r="H457" s="30"/>
      <c r="K457" s="31"/>
      <c r="T457" s="32"/>
      <c r="AA457" s="30"/>
      <c r="AF457" s="31"/>
    </row>
    <row r="458" spans="3:32" ht="15.75" customHeight="1" x14ac:dyDescent="0.25">
      <c r="C458" s="33"/>
      <c r="H458" s="30"/>
      <c r="K458" s="31"/>
      <c r="T458" s="32"/>
      <c r="AA458" s="30"/>
      <c r="AF458" s="31"/>
    </row>
    <row r="459" spans="3:32" ht="15.75" customHeight="1" x14ac:dyDescent="0.25">
      <c r="C459" s="33"/>
      <c r="H459" s="30"/>
      <c r="K459" s="31"/>
      <c r="T459" s="32"/>
      <c r="AA459" s="30"/>
      <c r="AF459" s="31"/>
    </row>
    <row r="460" spans="3:32" ht="15.75" customHeight="1" x14ac:dyDescent="0.25">
      <c r="C460" s="33"/>
      <c r="H460" s="30"/>
      <c r="K460" s="31"/>
      <c r="T460" s="32"/>
      <c r="AA460" s="30"/>
      <c r="AF460" s="31"/>
    </row>
    <row r="461" spans="3:32" ht="15.75" customHeight="1" x14ac:dyDescent="0.25">
      <c r="C461" s="33"/>
      <c r="H461" s="30"/>
      <c r="K461" s="31"/>
      <c r="T461" s="32"/>
      <c r="AA461" s="30"/>
      <c r="AF461" s="31"/>
    </row>
    <row r="462" spans="3:32" ht="15.75" customHeight="1" x14ac:dyDescent="0.25">
      <c r="C462" s="33"/>
      <c r="H462" s="30"/>
      <c r="K462" s="31"/>
      <c r="T462" s="32"/>
      <c r="AA462" s="30"/>
      <c r="AF462" s="31"/>
    </row>
    <row r="463" spans="3:32" ht="15.75" customHeight="1" x14ac:dyDescent="0.25">
      <c r="C463" s="33"/>
      <c r="H463" s="30"/>
      <c r="K463" s="31"/>
      <c r="T463" s="32"/>
      <c r="AA463" s="30"/>
      <c r="AF463" s="31"/>
    </row>
    <row r="464" spans="3:32" ht="15.75" customHeight="1" x14ac:dyDescent="0.25">
      <c r="C464" s="33"/>
      <c r="H464" s="30"/>
      <c r="K464" s="31"/>
      <c r="T464" s="32"/>
      <c r="AA464" s="30"/>
      <c r="AF464" s="31"/>
    </row>
    <row r="465" spans="3:32" ht="15.75" customHeight="1" x14ac:dyDescent="0.25">
      <c r="C465" s="33"/>
      <c r="H465" s="30"/>
      <c r="K465" s="31"/>
      <c r="T465" s="32"/>
      <c r="AA465" s="30"/>
      <c r="AF465" s="31"/>
    </row>
    <row r="466" spans="3:32" ht="15.75" customHeight="1" x14ac:dyDescent="0.25">
      <c r="C466" s="33"/>
      <c r="H466" s="30"/>
      <c r="K466" s="31"/>
      <c r="T466" s="32"/>
      <c r="AA466" s="30"/>
      <c r="AF466" s="31"/>
    </row>
    <row r="467" spans="3:32" ht="15.75" customHeight="1" x14ac:dyDescent="0.25">
      <c r="C467" s="33"/>
      <c r="H467" s="30"/>
      <c r="K467" s="31"/>
      <c r="T467" s="32"/>
      <c r="AA467" s="30"/>
      <c r="AF467" s="31"/>
    </row>
    <row r="468" spans="3:32" ht="15.75" customHeight="1" x14ac:dyDescent="0.25">
      <c r="C468" s="33"/>
      <c r="H468" s="30"/>
      <c r="K468" s="31"/>
      <c r="T468" s="32"/>
      <c r="AA468" s="30"/>
      <c r="AF468" s="31"/>
    </row>
    <row r="469" spans="3:32" ht="15.75" customHeight="1" x14ac:dyDescent="0.25">
      <c r="C469" s="33"/>
      <c r="H469" s="30"/>
      <c r="K469" s="31"/>
      <c r="T469" s="32"/>
      <c r="AA469" s="30"/>
      <c r="AF469" s="31"/>
    </row>
    <row r="470" spans="3:32" ht="15.75" customHeight="1" x14ac:dyDescent="0.25">
      <c r="C470" s="33"/>
      <c r="H470" s="30"/>
      <c r="K470" s="31"/>
      <c r="T470" s="32"/>
      <c r="AA470" s="30"/>
      <c r="AF470" s="31"/>
    </row>
    <row r="471" spans="3:32" ht="15.75" customHeight="1" x14ac:dyDescent="0.25">
      <c r="C471" s="33"/>
      <c r="H471" s="30"/>
      <c r="K471" s="31"/>
      <c r="T471" s="32"/>
      <c r="AA471" s="30"/>
      <c r="AF471" s="31"/>
    </row>
    <row r="472" spans="3:32" ht="15.75" customHeight="1" x14ac:dyDescent="0.25">
      <c r="C472" s="33"/>
      <c r="H472" s="30"/>
      <c r="K472" s="31"/>
      <c r="T472" s="32"/>
      <c r="AA472" s="30"/>
      <c r="AF472" s="31"/>
    </row>
    <row r="473" spans="3:32" ht="15.75" customHeight="1" x14ac:dyDescent="0.25">
      <c r="C473" s="33"/>
      <c r="H473" s="30"/>
      <c r="K473" s="31"/>
      <c r="T473" s="32"/>
      <c r="AA473" s="30"/>
      <c r="AF473" s="31"/>
    </row>
    <row r="474" spans="3:32" ht="15.75" customHeight="1" x14ac:dyDescent="0.25">
      <c r="C474" s="33"/>
      <c r="H474" s="30"/>
      <c r="K474" s="31"/>
      <c r="T474" s="32"/>
      <c r="AA474" s="30"/>
      <c r="AF474" s="31"/>
    </row>
    <row r="475" spans="3:32" ht="15.75" customHeight="1" x14ac:dyDescent="0.25">
      <c r="C475" s="33"/>
      <c r="H475" s="30"/>
      <c r="K475" s="31"/>
      <c r="T475" s="32"/>
      <c r="AA475" s="30"/>
      <c r="AF475" s="31"/>
    </row>
    <row r="476" spans="3:32" ht="15.75" customHeight="1" x14ac:dyDescent="0.25">
      <c r="C476" s="33"/>
      <c r="H476" s="30"/>
      <c r="K476" s="31"/>
      <c r="T476" s="32"/>
      <c r="AA476" s="30"/>
      <c r="AF476" s="31"/>
    </row>
    <row r="477" spans="3:32" ht="15.75" customHeight="1" x14ac:dyDescent="0.25">
      <c r="C477" s="33"/>
      <c r="H477" s="30"/>
      <c r="K477" s="31"/>
      <c r="T477" s="32"/>
      <c r="AA477" s="30"/>
      <c r="AF477" s="31"/>
    </row>
    <row r="478" spans="3:32" ht="15.75" customHeight="1" x14ac:dyDescent="0.25">
      <c r="C478" s="33"/>
      <c r="H478" s="30"/>
      <c r="K478" s="31"/>
      <c r="T478" s="32"/>
      <c r="AA478" s="30"/>
      <c r="AF478" s="31"/>
    </row>
    <row r="479" spans="3:32" ht="15.75" customHeight="1" x14ac:dyDescent="0.25">
      <c r="C479" s="33"/>
      <c r="H479" s="30"/>
      <c r="K479" s="31"/>
      <c r="T479" s="32"/>
      <c r="AA479" s="30"/>
      <c r="AF479" s="31"/>
    </row>
    <row r="480" spans="3:32" ht="15.75" customHeight="1" x14ac:dyDescent="0.25">
      <c r="C480" s="33"/>
      <c r="H480" s="30"/>
      <c r="K480" s="31"/>
      <c r="T480" s="32"/>
      <c r="AA480" s="30"/>
      <c r="AF480" s="31"/>
    </row>
    <row r="481" spans="3:32" ht="15.75" customHeight="1" x14ac:dyDescent="0.25">
      <c r="C481" s="33"/>
      <c r="H481" s="30"/>
      <c r="K481" s="31"/>
      <c r="T481" s="32"/>
      <c r="AA481" s="30"/>
      <c r="AF481" s="31"/>
    </row>
    <row r="482" spans="3:32" ht="15.75" customHeight="1" x14ac:dyDescent="0.25">
      <c r="C482" s="33"/>
      <c r="H482" s="30"/>
      <c r="K482" s="31"/>
      <c r="T482" s="32"/>
      <c r="AA482" s="30"/>
      <c r="AF482" s="31"/>
    </row>
    <row r="483" spans="3:32" ht="15.75" customHeight="1" x14ac:dyDescent="0.25">
      <c r="C483" s="33"/>
      <c r="H483" s="30"/>
      <c r="K483" s="31"/>
      <c r="T483" s="32"/>
      <c r="AA483" s="30"/>
      <c r="AF483" s="31"/>
    </row>
    <row r="484" spans="3:32" ht="15.75" customHeight="1" x14ac:dyDescent="0.25">
      <c r="C484" s="33"/>
      <c r="H484" s="30"/>
      <c r="K484" s="31"/>
      <c r="T484" s="32"/>
      <c r="AA484" s="30"/>
      <c r="AF484" s="31"/>
    </row>
    <row r="485" spans="3:32" ht="15.75" customHeight="1" x14ac:dyDescent="0.25">
      <c r="C485" s="33"/>
      <c r="H485" s="30"/>
      <c r="K485" s="31"/>
      <c r="T485" s="32"/>
      <c r="AA485" s="30"/>
      <c r="AF485" s="31"/>
    </row>
    <row r="486" spans="3:32" ht="15.75" customHeight="1" x14ac:dyDescent="0.25">
      <c r="C486" s="33"/>
      <c r="H486" s="30"/>
      <c r="K486" s="31"/>
      <c r="T486" s="32"/>
      <c r="AA486" s="30"/>
      <c r="AF486" s="31"/>
    </row>
    <row r="487" spans="3:32" ht="15.75" customHeight="1" x14ac:dyDescent="0.25">
      <c r="C487" s="33"/>
      <c r="H487" s="30"/>
      <c r="K487" s="31"/>
      <c r="T487" s="32"/>
      <c r="AA487" s="30"/>
      <c r="AF487" s="31"/>
    </row>
    <row r="488" spans="3:32" ht="15.75" customHeight="1" x14ac:dyDescent="0.25">
      <c r="C488" s="33"/>
      <c r="H488" s="30"/>
      <c r="K488" s="31"/>
      <c r="T488" s="32"/>
      <c r="AA488" s="30"/>
      <c r="AF488" s="31"/>
    </row>
    <row r="489" spans="3:32" ht="15.75" customHeight="1" x14ac:dyDescent="0.25">
      <c r="C489" s="33"/>
      <c r="H489" s="30"/>
      <c r="K489" s="31"/>
      <c r="T489" s="32"/>
      <c r="AA489" s="30"/>
      <c r="AF489" s="31"/>
    </row>
    <row r="490" spans="3:32" ht="15.75" customHeight="1" x14ac:dyDescent="0.25">
      <c r="C490" s="33"/>
      <c r="H490" s="30"/>
      <c r="K490" s="31"/>
      <c r="T490" s="32"/>
      <c r="AA490" s="30"/>
      <c r="AF490" s="31"/>
    </row>
    <row r="491" spans="3:32" ht="15.75" customHeight="1" x14ac:dyDescent="0.25">
      <c r="C491" s="33"/>
      <c r="H491" s="30"/>
      <c r="K491" s="31"/>
      <c r="T491" s="32"/>
      <c r="AA491" s="30"/>
      <c r="AF491" s="31"/>
    </row>
    <row r="492" spans="3:32" ht="15.75" customHeight="1" x14ac:dyDescent="0.25">
      <c r="C492" s="33"/>
      <c r="H492" s="30"/>
      <c r="K492" s="31"/>
      <c r="T492" s="32"/>
      <c r="AA492" s="30"/>
      <c r="AF492" s="31"/>
    </row>
    <row r="493" spans="3:32" ht="15.75" customHeight="1" x14ac:dyDescent="0.25">
      <c r="C493" s="33"/>
      <c r="H493" s="30"/>
      <c r="K493" s="31"/>
      <c r="T493" s="32"/>
      <c r="AA493" s="30"/>
      <c r="AF493" s="31"/>
    </row>
    <row r="494" spans="3:32" ht="15.75" customHeight="1" x14ac:dyDescent="0.25">
      <c r="C494" s="33"/>
      <c r="H494" s="30"/>
      <c r="K494" s="31"/>
      <c r="T494" s="32"/>
      <c r="AA494" s="30"/>
      <c r="AF494" s="31"/>
    </row>
    <row r="495" spans="3:32" ht="15.75" customHeight="1" x14ac:dyDescent="0.25">
      <c r="C495" s="33"/>
      <c r="H495" s="30"/>
      <c r="K495" s="31"/>
      <c r="T495" s="32"/>
      <c r="AA495" s="30"/>
      <c r="AF495" s="31"/>
    </row>
    <row r="496" spans="3:32" ht="15.75" customHeight="1" x14ac:dyDescent="0.25">
      <c r="C496" s="33"/>
      <c r="H496" s="30"/>
      <c r="K496" s="31"/>
      <c r="T496" s="32"/>
      <c r="AA496" s="30"/>
      <c r="AF496" s="31"/>
    </row>
    <row r="497" spans="3:32" ht="15.75" customHeight="1" x14ac:dyDescent="0.25">
      <c r="C497" s="33"/>
      <c r="H497" s="30"/>
      <c r="K497" s="31"/>
      <c r="T497" s="32"/>
      <c r="AA497" s="30"/>
      <c r="AF497" s="31"/>
    </row>
    <row r="498" spans="3:32" ht="15.75" customHeight="1" x14ac:dyDescent="0.25">
      <c r="C498" s="33"/>
      <c r="H498" s="30"/>
      <c r="K498" s="31"/>
      <c r="T498" s="32"/>
      <c r="AA498" s="30"/>
      <c r="AF498" s="31"/>
    </row>
    <row r="499" spans="3:32" ht="15.75" customHeight="1" x14ac:dyDescent="0.25">
      <c r="C499" s="33"/>
      <c r="H499" s="30"/>
      <c r="K499" s="31"/>
      <c r="T499" s="32"/>
      <c r="AA499" s="30"/>
      <c r="AF499" s="31"/>
    </row>
    <row r="500" spans="3:32" ht="15.75" customHeight="1" x14ac:dyDescent="0.25">
      <c r="C500" s="33"/>
      <c r="H500" s="30"/>
      <c r="K500" s="31"/>
      <c r="T500" s="32"/>
      <c r="AA500" s="30"/>
      <c r="AF500" s="31"/>
    </row>
    <row r="501" spans="3:32" ht="15.75" customHeight="1" x14ac:dyDescent="0.25">
      <c r="C501" s="33"/>
      <c r="H501" s="30"/>
      <c r="K501" s="31"/>
      <c r="T501" s="32"/>
      <c r="AA501" s="30"/>
      <c r="AF501" s="31"/>
    </row>
    <row r="502" spans="3:32" ht="15.75" customHeight="1" x14ac:dyDescent="0.25">
      <c r="C502" s="33"/>
      <c r="H502" s="30"/>
      <c r="K502" s="31"/>
      <c r="T502" s="32"/>
      <c r="AA502" s="30"/>
      <c r="AF502" s="31"/>
    </row>
    <row r="503" spans="3:32" ht="15.75" customHeight="1" x14ac:dyDescent="0.25">
      <c r="C503" s="33"/>
      <c r="H503" s="30"/>
      <c r="K503" s="31"/>
      <c r="T503" s="32"/>
      <c r="AA503" s="30"/>
      <c r="AF503" s="31"/>
    </row>
    <row r="504" spans="3:32" ht="15.75" customHeight="1" x14ac:dyDescent="0.25">
      <c r="C504" s="33"/>
      <c r="H504" s="30"/>
      <c r="K504" s="31"/>
      <c r="T504" s="32"/>
      <c r="AA504" s="30"/>
      <c r="AF504" s="31"/>
    </row>
    <row r="505" spans="3:32" ht="15.75" customHeight="1" x14ac:dyDescent="0.25">
      <c r="C505" s="33"/>
      <c r="H505" s="30"/>
      <c r="K505" s="31"/>
      <c r="T505" s="32"/>
      <c r="AA505" s="30"/>
      <c r="AF505" s="31"/>
    </row>
    <row r="506" spans="3:32" ht="15.75" customHeight="1" x14ac:dyDescent="0.25">
      <c r="C506" s="33"/>
      <c r="H506" s="30"/>
      <c r="K506" s="31"/>
      <c r="T506" s="32"/>
      <c r="AA506" s="30"/>
      <c r="AF506" s="31"/>
    </row>
    <row r="507" spans="3:32" ht="15.75" customHeight="1" x14ac:dyDescent="0.25">
      <c r="C507" s="33"/>
      <c r="H507" s="30"/>
      <c r="K507" s="31"/>
      <c r="T507" s="32"/>
      <c r="AA507" s="30"/>
      <c r="AF507" s="31"/>
    </row>
    <row r="508" spans="3:32" ht="15.75" customHeight="1" x14ac:dyDescent="0.25">
      <c r="C508" s="33"/>
      <c r="H508" s="30"/>
      <c r="K508" s="31"/>
      <c r="T508" s="32"/>
      <c r="AA508" s="30"/>
      <c r="AF508" s="31"/>
    </row>
    <row r="509" spans="3:32" ht="15.75" customHeight="1" x14ac:dyDescent="0.25">
      <c r="C509" s="33"/>
      <c r="H509" s="30"/>
      <c r="K509" s="31"/>
      <c r="T509" s="32"/>
      <c r="AA509" s="30"/>
      <c r="AF509" s="31"/>
    </row>
    <row r="510" spans="3:32" ht="15.75" customHeight="1" x14ac:dyDescent="0.25">
      <c r="C510" s="33"/>
      <c r="H510" s="30"/>
      <c r="K510" s="31"/>
      <c r="T510" s="32"/>
      <c r="AA510" s="30"/>
      <c r="AF510" s="31"/>
    </row>
    <row r="511" spans="3:32" ht="15.75" customHeight="1" x14ac:dyDescent="0.25">
      <c r="C511" s="33"/>
      <c r="H511" s="30"/>
      <c r="K511" s="31"/>
      <c r="T511" s="32"/>
      <c r="AA511" s="30"/>
      <c r="AF511" s="31"/>
    </row>
    <row r="512" spans="3:32" ht="15.75" customHeight="1" x14ac:dyDescent="0.25">
      <c r="C512" s="33"/>
      <c r="H512" s="30"/>
      <c r="K512" s="31"/>
      <c r="T512" s="32"/>
      <c r="AA512" s="30"/>
      <c r="AF512" s="31"/>
    </row>
    <row r="513" spans="3:32" ht="15.75" customHeight="1" x14ac:dyDescent="0.25">
      <c r="C513" s="33"/>
      <c r="H513" s="30"/>
      <c r="K513" s="31"/>
      <c r="T513" s="32"/>
      <c r="AA513" s="30"/>
      <c r="AF513" s="31"/>
    </row>
    <row r="514" spans="3:32" ht="15.75" customHeight="1" x14ac:dyDescent="0.25">
      <c r="C514" s="33"/>
      <c r="H514" s="30"/>
      <c r="K514" s="31"/>
      <c r="T514" s="32"/>
      <c r="AA514" s="30"/>
      <c r="AF514" s="31"/>
    </row>
    <row r="515" spans="3:32" ht="15.75" customHeight="1" x14ac:dyDescent="0.25">
      <c r="C515" s="33"/>
      <c r="H515" s="30"/>
      <c r="K515" s="31"/>
      <c r="T515" s="32"/>
      <c r="AA515" s="30"/>
      <c r="AF515" s="31"/>
    </row>
    <row r="516" spans="3:32" ht="15.75" customHeight="1" x14ac:dyDescent="0.25">
      <c r="C516" s="33"/>
      <c r="H516" s="30"/>
      <c r="K516" s="31"/>
      <c r="T516" s="32"/>
      <c r="AA516" s="30"/>
      <c r="AF516" s="31"/>
    </row>
    <row r="517" spans="3:32" ht="15.75" customHeight="1" x14ac:dyDescent="0.25">
      <c r="C517" s="33"/>
      <c r="H517" s="30"/>
      <c r="K517" s="31"/>
      <c r="T517" s="32"/>
      <c r="AA517" s="30"/>
      <c r="AF517" s="31"/>
    </row>
    <row r="518" spans="3:32" ht="15.75" customHeight="1" x14ac:dyDescent="0.25">
      <c r="C518" s="33"/>
      <c r="H518" s="30"/>
      <c r="K518" s="31"/>
      <c r="T518" s="32"/>
      <c r="AA518" s="30"/>
      <c r="AF518" s="31"/>
    </row>
    <row r="519" spans="3:32" ht="15.75" customHeight="1" x14ac:dyDescent="0.25">
      <c r="C519" s="33"/>
      <c r="H519" s="30"/>
      <c r="K519" s="31"/>
      <c r="T519" s="32"/>
      <c r="AA519" s="30"/>
      <c r="AF519" s="31"/>
    </row>
    <row r="520" spans="3:32" ht="15.75" customHeight="1" x14ac:dyDescent="0.25">
      <c r="C520" s="33"/>
      <c r="H520" s="30"/>
      <c r="K520" s="31"/>
      <c r="T520" s="32"/>
      <c r="AA520" s="30"/>
      <c r="AF520" s="31"/>
    </row>
    <row r="521" spans="3:32" ht="15.75" customHeight="1" x14ac:dyDescent="0.25">
      <c r="C521" s="33"/>
      <c r="H521" s="30"/>
      <c r="K521" s="31"/>
      <c r="T521" s="32"/>
      <c r="AA521" s="30"/>
      <c r="AF521" s="31"/>
    </row>
    <row r="522" spans="3:32" ht="15.75" customHeight="1" x14ac:dyDescent="0.25">
      <c r="C522" s="33"/>
      <c r="H522" s="30"/>
      <c r="K522" s="31"/>
      <c r="T522" s="32"/>
      <c r="AA522" s="30"/>
      <c r="AF522" s="31"/>
    </row>
    <row r="523" spans="3:32" ht="15.75" customHeight="1" x14ac:dyDescent="0.25">
      <c r="C523" s="33"/>
      <c r="H523" s="30"/>
      <c r="K523" s="31"/>
      <c r="T523" s="32"/>
      <c r="AA523" s="30"/>
      <c r="AF523" s="31"/>
    </row>
    <row r="524" spans="3:32" ht="15.75" customHeight="1" x14ac:dyDescent="0.25">
      <c r="C524" s="33"/>
      <c r="H524" s="30"/>
      <c r="K524" s="31"/>
      <c r="T524" s="32"/>
      <c r="AA524" s="30"/>
      <c r="AF524" s="31"/>
    </row>
    <row r="525" spans="3:32" ht="15.75" customHeight="1" x14ac:dyDescent="0.25">
      <c r="C525" s="33"/>
      <c r="H525" s="30"/>
      <c r="K525" s="31"/>
      <c r="T525" s="32"/>
      <c r="AA525" s="30"/>
      <c r="AF525" s="31"/>
    </row>
    <row r="526" spans="3:32" ht="15.75" customHeight="1" x14ac:dyDescent="0.25">
      <c r="C526" s="33"/>
      <c r="H526" s="30"/>
      <c r="K526" s="31"/>
      <c r="T526" s="32"/>
      <c r="AA526" s="30"/>
      <c r="AF526" s="31"/>
    </row>
    <row r="527" spans="3:32" ht="15.75" customHeight="1" x14ac:dyDescent="0.25">
      <c r="C527" s="33"/>
      <c r="H527" s="30"/>
      <c r="K527" s="31"/>
      <c r="T527" s="32"/>
      <c r="AA527" s="30"/>
      <c r="AF527" s="31"/>
    </row>
    <row r="528" spans="3:32" ht="15.75" customHeight="1" x14ac:dyDescent="0.25">
      <c r="C528" s="33"/>
      <c r="H528" s="30"/>
      <c r="K528" s="31"/>
      <c r="T528" s="32"/>
      <c r="AA528" s="30"/>
      <c r="AF528" s="31"/>
    </row>
    <row r="529" spans="3:32" ht="15.75" customHeight="1" x14ac:dyDescent="0.25">
      <c r="C529" s="33"/>
      <c r="H529" s="30"/>
      <c r="K529" s="31"/>
      <c r="T529" s="32"/>
      <c r="AA529" s="30"/>
      <c r="AF529" s="31"/>
    </row>
    <row r="530" spans="3:32" ht="15.75" customHeight="1" x14ac:dyDescent="0.25">
      <c r="C530" s="33"/>
      <c r="H530" s="30"/>
      <c r="K530" s="31"/>
      <c r="T530" s="32"/>
      <c r="AA530" s="30"/>
      <c r="AF530" s="31"/>
    </row>
    <row r="531" spans="3:32" ht="15.75" customHeight="1" x14ac:dyDescent="0.25">
      <c r="C531" s="33"/>
      <c r="H531" s="30"/>
      <c r="K531" s="31"/>
      <c r="T531" s="32"/>
      <c r="AA531" s="30"/>
      <c r="AF531" s="31"/>
    </row>
    <row r="532" spans="3:32" ht="15.75" customHeight="1" x14ac:dyDescent="0.25">
      <c r="C532" s="33"/>
      <c r="H532" s="30"/>
      <c r="K532" s="31"/>
      <c r="T532" s="32"/>
      <c r="AA532" s="30"/>
      <c r="AF532" s="31"/>
    </row>
    <row r="533" spans="3:32" ht="15.75" customHeight="1" x14ac:dyDescent="0.25">
      <c r="C533" s="33"/>
      <c r="H533" s="30"/>
      <c r="K533" s="31"/>
      <c r="T533" s="32"/>
      <c r="AA533" s="30"/>
      <c r="AF533" s="31"/>
    </row>
    <row r="534" spans="3:32" ht="15.75" customHeight="1" x14ac:dyDescent="0.25">
      <c r="C534" s="33"/>
      <c r="H534" s="30"/>
      <c r="K534" s="31"/>
      <c r="T534" s="32"/>
      <c r="AA534" s="30"/>
      <c r="AF534" s="31"/>
    </row>
    <row r="535" spans="3:32" ht="15.75" customHeight="1" x14ac:dyDescent="0.25">
      <c r="C535" s="33"/>
      <c r="H535" s="30"/>
      <c r="K535" s="31"/>
      <c r="T535" s="32"/>
      <c r="AA535" s="30"/>
      <c r="AF535" s="31"/>
    </row>
    <row r="536" spans="3:32" ht="15.75" customHeight="1" x14ac:dyDescent="0.25">
      <c r="C536" s="33"/>
      <c r="H536" s="30"/>
      <c r="K536" s="31"/>
      <c r="T536" s="32"/>
      <c r="AA536" s="30"/>
      <c r="AF536" s="31"/>
    </row>
    <row r="537" spans="3:32" ht="15.75" customHeight="1" x14ac:dyDescent="0.25">
      <c r="C537" s="33"/>
      <c r="H537" s="30"/>
      <c r="K537" s="31"/>
      <c r="T537" s="32"/>
      <c r="AA537" s="30"/>
      <c r="AF537" s="31"/>
    </row>
    <row r="538" spans="3:32" ht="15.75" customHeight="1" x14ac:dyDescent="0.25">
      <c r="C538" s="33"/>
      <c r="H538" s="30"/>
      <c r="K538" s="31"/>
      <c r="T538" s="32"/>
      <c r="AA538" s="30"/>
      <c r="AF538" s="31"/>
    </row>
    <row r="539" spans="3:32" ht="15.75" customHeight="1" x14ac:dyDescent="0.25">
      <c r="C539" s="33"/>
      <c r="H539" s="30"/>
      <c r="K539" s="31"/>
      <c r="T539" s="32"/>
      <c r="AA539" s="30"/>
      <c r="AF539" s="31"/>
    </row>
    <row r="540" spans="3:32" ht="15.75" customHeight="1" x14ac:dyDescent="0.25">
      <c r="C540" s="33"/>
      <c r="H540" s="30"/>
      <c r="K540" s="31"/>
      <c r="T540" s="32"/>
      <c r="AA540" s="30"/>
      <c r="AF540" s="31"/>
    </row>
    <row r="541" spans="3:32" ht="15.75" customHeight="1" x14ac:dyDescent="0.25">
      <c r="C541" s="33"/>
      <c r="H541" s="30"/>
      <c r="K541" s="31"/>
      <c r="T541" s="32"/>
      <c r="AA541" s="30"/>
      <c r="AF541" s="31"/>
    </row>
    <row r="542" spans="3:32" ht="15.75" customHeight="1" x14ac:dyDescent="0.25">
      <c r="C542" s="33"/>
      <c r="H542" s="30"/>
      <c r="K542" s="31"/>
      <c r="T542" s="32"/>
      <c r="AA542" s="30"/>
      <c r="AF542" s="31"/>
    </row>
    <row r="543" spans="3:32" ht="15.75" customHeight="1" x14ac:dyDescent="0.25">
      <c r="C543" s="33"/>
      <c r="H543" s="30"/>
      <c r="K543" s="31"/>
      <c r="T543" s="32"/>
      <c r="AA543" s="30"/>
      <c r="AF543" s="31"/>
    </row>
    <row r="544" spans="3:32" ht="15.75" customHeight="1" x14ac:dyDescent="0.25">
      <c r="C544" s="33"/>
      <c r="H544" s="30"/>
      <c r="K544" s="31"/>
      <c r="T544" s="32"/>
      <c r="AA544" s="30"/>
      <c r="AF544" s="31"/>
    </row>
    <row r="545" spans="3:32" ht="15.75" customHeight="1" x14ac:dyDescent="0.25">
      <c r="C545" s="33"/>
      <c r="H545" s="30"/>
      <c r="K545" s="31"/>
      <c r="T545" s="32"/>
      <c r="AA545" s="30"/>
      <c r="AF545" s="31"/>
    </row>
    <row r="546" spans="3:32" ht="15.75" customHeight="1" x14ac:dyDescent="0.25">
      <c r="C546" s="33"/>
      <c r="H546" s="30"/>
      <c r="K546" s="31"/>
      <c r="T546" s="32"/>
      <c r="AA546" s="30"/>
      <c r="AF546" s="31"/>
    </row>
    <row r="547" spans="3:32" ht="15.75" customHeight="1" x14ac:dyDescent="0.25">
      <c r="C547" s="33"/>
      <c r="H547" s="30"/>
      <c r="K547" s="31"/>
      <c r="T547" s="32"/>
      <c r="AA547" s="30"/>
      <c r="AF547" s="31"/>
    </row>
    <row r="548" spans="3:32" ht="15.75" customHeight="1" x14ac:dyDescent="0.25">
      <c r="C548" s="33"/>
      <c r="H548" s="30"/>
      <c r="K548" s="31"/>
      <c r="T548" s="32"/>
      <c r="AA548" s="30"/>
      <c r="AF548" s="31"/>
    </row>
    <row r="549" spans="3:32" ht="15.75" customHeight="1" x14ac:dyDescent="0.25">
      <c r="C549" s="33"/>
      <c r="H549" s="30"/>
      <c r="K549" s="31"/>
      <c r="T549" s="32"/>
      <c r="AA549" s="30"/>
      <c r="AF549" s="31"/>
    </row>
    <row r="550" spans="3:32" ht="15.75" customHeight="1" x14ac:dyDescent="0.25">
      <c r="C550" s="33"/>
      <c r="H550" s="30"/>
      <c r="K550" s="31"/>
      <c r="T550" s="32"/>
      <c r="AA550" s="30"/>
      <c r="AF550" s="31"/>
    </row>
    <row r="551" spans="3:32" ht="15.75" customHeight="1" x14ac:dyDescent="0.25">
      <c r="C551" s="33"/>
      <c r="H551" s="30"/>
      <c r="K551" s="31"/>
      <c r="T551" s="32"/>
      <c r="AA551" s="30"/>
      <c r="AF551" s="31"/>
    </row>
    <row r="552" spans="3:32" ht="15.75" customHeight="1" x14ac:dyDescent="0.25">
      <c r="C552" s="33"/>
      <c r="H552" s="30"/>
      <c r="K552" s="31"/>
      <c r="T552" s="32"/>
      <c r="AA552" s="30"/>
      <c r="AF552" s="31"/>
    </row>
    <row r="553" spans="3:32" ht="15.75" customHeight="1" x14ac:dyDescent="0.25">
      <c r="C553" s="33"/>
      <c r="H553" s="30"/>
      <c r="K553" s="31"/>
      <c r="T553" s="32"/>
      <c r="AA553" s="30"/>
      <c r="AF553" s="31"/>
    </row>
    <row r="554" spans="3:32" ht="15.75" customHeight="1" x14ac:dyDescent="0.25">
      <c r="C554" s="33"/>
      <c r="H554" s="30"/>
      <c r="K554" s="31"/>
      <c r="T554" s="32"/>
      <c r="AA554" s="30"/>
      <c r="AF554" s="31"/>
    </row>
    <row r="555" spans="3:32" ht="15.75" customHeight="1" x14ac:dyDescent="0.25">
      <c r="C555" s="33"/>
      <c r="H555" s="30"/>
      <c r="K555" s="31"/>
      <c r="T555" s="32"/>
      <c r="AA555" s="30"/>
      <c r="AF555" s="31"/>
    </row>
    <row r="556" spans="3:32" ht="15.75" customHeight="1" x14ac:dyDescent="0.25">
      <c r="C556" s="33"/>
      <c r="H556" s="30"/>
      <c r="K556" s="31"/>
      <c r="T556" s="32"/>
      <c r="AA556" s="30"/>
      <c r="AF556" s="31"/>
    </row>
    <row r="557" spans="3:32" ht="15.75" customHeight="1" x14ac:dyDescent="0.25">
      <c r="C557" s="33"/>
      <c r="H557" s="30"/>
      <c r="K557" s="31"/>
      <c r="T557" s="32"/>
      <c r="AA557" s="30"/>
      <c r="AF557" s="31"/>
    </row>
    <row r="558" spans="3:32" ht="15.75" customHeight="1" x14ac:dyDescent="0.25">
      <c r="C558" s="33"/>
      <c r="H558" s="30"/>
      <c r="K558" s="31"/>
      <c r="T558" s="32"/>
      <c r="AA558" s="30"/>
      <c r="AF558" s="31"/>
    </row>
    <row r="559" spans="3:32" ht="15.75" customHeight="1" x14ac:dyDescent="0.25">
      <c r="C559" s="33"/>
      <c r="H559" s="30"/>
      <c r="K559" s="31"/>
      <c r="T559" s="32"/>
      <c r="AA559" s="30"/>
      <c r="AF559" s="31"/>
    </row>
    <row r="560" spans="3:32" ht="15.75" customHeight="1" x14ac:dyDescent="0.25">
      <c r="C560" s="33"/>
      <c r="H560" s="30"/>
      <c r="K560" s="31"/>
      <c r="T560" s="32"/>
      <c r="AA560" s="30"/>
      <c r="AF560" s="31"/>
    </row>
    <row r="561" spans="3:32" ht="15.75" customHeight="1" x14ac:dyDescent="0.25">
      <c r="C561" s="33"/>
      <c r="H561" s="30"/>
      <c r="K561" s="31"/>
      <c r="T561" s="32"/>
      <c r="AA561" s="30"/>
      <c r="AF561" s="31"/>
    </row>
    <row r="562" spans="3:32" ht="15.75" customHeight="1" x14ac:dyDescent="0.25">
      <c r="C562" s="33"/>
      <c r="H562" s="30"/>
      <c r="K562" s="31"/>
      <c r="T562" s="32"/>
      <c r="AA562" s="30"/>
      <c r="AF562" s="31"/>
    </row>
    <row r="563" spans="3:32" ht="15.75" customHeight="1" x14ac:dyDescent="0.25">
      <c r="C563" s="33"/>
      <c r="H563" s="30"/>
      <c r="K563" s="31"/>
      <c r="T563" s="32"/>
      <c r="AA563" s="30"/>
      <c r="AF563" s="31"/>
    </row>
    <row r="564" spans="3:32" ht="15.75" customHeight="1" x14ac:dyDescent="0.25">
      <c r="C564" s="33"/>
      <c r="H564" s="30"/>
      <c r="K564" s="31"/>
      <c r="T564" s="32"/>
      <c r="AA564" s="30"/>
      <c r="AF564" s="31"/>
    </row>
    <row r="565" spans="3:32" ht="15.75" customHeight="1" x14ac:dyDescent="0.25">
      <c r="C565" s="33"/>
      <c r="H565" s="30"/>
      <c r="K565" s="31"/>
      <c r="T565" s="32"/>
      <c r="AA565" s="30"/>
      <c r="AF565" s="31"/>
    </row>
    <row r="566" spans="3:32" ht="15.75" customHeight="1" x14ac:dyDescent="0.25">
      <c r="C566" s="33"/>
      <c r="H566" s="30"/>
      <c r="K566" s="31"/>
      <c r="T566" s="32"/>
      <c r="AA566" s="30"/>
      <c r="AF566" s="31"/>
    </row>
    <row r="567" spans="3:32" ht="15.75" customHeight="1" x14ac:dyDescent="0.25">
      <c r="C567" s="33"/>
      <c r="H567" s="30"/>
      <c r="K567" s="31"/>
      <c r="T567" s="32"/>
      <c r="AA567" s="30"/>
      <c r="AF567" s="31"/>
    </row>
    <row r="568" spans="3:32" ht="15.75" customHeight="1" x14ac:dyDescent="0.25">
      <c r="C568" s="33"/>
      <c r="H568" s="30"/>
      <c r="K568" s="31"/>
      <c r="T568" s="32"/>
      <c r="AA568" s="30"/>
      <c r="AF568" s="31"/>
    </row>
    <row r="569" spans="3:32" ht="15.75" customHeight="1" x14ac:dyDescent="0.25">
      <c r="C569" s="33"/>
      <c r="H569" s="30"/>
      <c r="K569" s="31"/>
      <c r="T569" s="32"/>
      <c r="AA569" s="30"/>
      <c r="AF569" s="31"/>
    </row>
    <row r="570" spans="3:32" ht="15.75" customHeight="1" x14ac:dyDescent="0.25">
      <c r="C570" s="33"/>
      <c r="H570" s="30"/>
      <c r="K570" s="31"/>
      <c r="T570" s="32"/>
      <c r="AA570" s="30"/>
      <c r="AF570" s="31"/>
    </row>
    <row r="571" spans="3:32" ht="15.75" customHeight="1" x14ac:dyDescent="0.25">
      <c r="C571" s="33"/>
      <c r="H571" s="30"/>
      <c r="K571" s="31"/>
      <c r="T571" s="32"/>
      <c r="AA571" s="30"/>
      <c r="AF571" s="31"/>
    </row>
    <row r="572" spans="3:32" ht="15.75" customHeight="1" x14ac:dyDescent="0.25">
      <c r="C572" s="33"/>
      <c r="H572" s="30"/>
      <c r="K572" s="31"/>
      <c r="T572" s="32"/>
      <c r="AA572" s="30"/>
      <c r="AF572" s="31"/>
    </row>
    <row r="573" spans="3:32" ht="15.75" customHeight="1" x14ac:dyDescent="0.25">
      <c r="C573" s="33"/>
      <c r="H573" s="30"/>
      <c r="K573" s="31"/>
      <c r="T573" s="32"/>
      <c r="AA573" s="30"/>
      <c r="AF573" s="31"/>
    </row>
    <row r="574" spans="3:32" ht="15.75" customHeight="1" x14ac:dyDescent="0.25">
      <c r="C574" s="33"/>
      <c r="H574" s="30"/>
      <c r="K574" s="31"/>
      <c r="T574" s="32"/>
      <c r="AA574" s="30"/>
      <c r="AF574" s="31"/>
    </row>
    <row r="575" spans="3:32" ht="15.75" customHeight="1" x14ac:dyDescent="0.25">
      <c r="C575" s="33"/>
      <c r="H575" s="30"/>
      <c r="K575" s="31"/>
      <c r="T575" s="32"/>
      <c r="AA575" s="30"/>
      <c r="AF575" s="31"/>
    </row>
    <row r="576" spans="3:32" ht="15.75" customHeight="1" x14ac:dyDescent="0.25">
      <c r="C576" s="33"/>
      <c r="H576" s="30"/>
      <c r="K576" s="31"/>
      <c r="T576" s="32"/>
      <c r="AA576" s="30"/>
      <c r="AF576" s="31"/>
    </row>
    <row r="577" spans="3:32" ht="15.75" customHeight="1" x14ac:dyDescent="0.25">
      <c r="C577" s="33"/>
      <c r="H577" s="30"/>
      <c r="K577" s="31"/>
      <c r="T577" s="32"/>
      <c r="AA577" s="30"/>
      <c r="AF577" s="31"/>
    </row>
    <row r="578" spans="3:32" ht="15.75" customHeight="1" x14ac:dyDescent="0.25">
      <c r="C578" s="33"/>
      <c r="H578" s="30"/>
      <c r="K578" s="31"/>
      <c r="T578" s="32"/>
      <c r="AA578" s="30"/>
      <c r="AF578" s="31"/>
    </row>
    <row r="579" spans="3:32" ht="15.75" customHeight="1" x14ac:dyDescent="0.25">
      <c r="C579" s="33"/>
      <c r="H579" s="30"/>
      <c r="K579" s="31"/>
      <c r="T579" s="32"/>
      <c r="AA579" s="30"/>
      <c r="AF579" s="31"/>
    </row>
    <row r="580" spans="3:32" ht="15.75" customHeight="1" x14ac:dyDescent="0.25">
      <c r="C580" s="33"/>
      <c r="H580" s="30"/>
      <c r="K580" s="31"/>
      <c r="T580" s="32"/>
      <c r="AA580" s="30"/>
      <c r="AF580" s="31"/>
    </row>
    <row r="581" spans="3:32" ht="15.75" customHeight="1" x14ac:dyDescent="0.25">
      <c r="C581" s="33"/>
      <c r="H581" s="30"/>
      <c r="K581" s="31"/>
      <c r="T581" s="32"/>
      <c r="AA581" s="30"/>
      <c r="AF581" s="31"/>
    </row>
    <row r="582" spans="3:32" ht="15.75" customHeight="1" x14ac:dyDescent="0.25">
      <c r="C582" s="33"/>
      <c r="H582" s="30"/>
      <c r="K582" s="31"/>
      <c r="T582" s="32"/>
      <c r="AA582" s="30"/>
      <c r="AF582" s="31"/>
    </row>
    <row r="583" spans="3:32" ht="15.75" customHeight="1" x14ac:dyDescent="0.25">
      <c r="C583" s="33"/>
      <c r="H583" s="30"/>
      <c r="K583" s="31"/>
      <c r="T583" s="32"/>
      <c r="AA583" s="30"/>
      <c r="AF583" s="31"/>
    </row>
    <row r="584" spans="3:32" ht="15.75" customHeight="1" x14ac:dyDescent="0.25">
      <c r="C584" s="33"/>
      <c r="H584" s="30"/>
      <c r="K584" s="31"/>
      <c r="T584" s="32"/>
      <c r="AA584" s="30"/>
      <c r="AF584" s="31"/>
    </row>
    <row r="585" spans="3:32" ht="15.75" customHeight="1" x14ac:dyDescent="0.25">
      <c r="C585" s="33"/>
      <c r="H585" s="30"/>
      <c r="K585" s="31"/>
      <c r="T585" s="32"/>
      <c r="AA585" s="30"/>
      <c r="AF585" s="31"/>
    </row>
    <row r="586" spans="3:32" ht="15.75" customHeight="1" x14ac:dyDescent="0.25">
      <c r="C586" s="33"/>
      <c r="H586" s="30"/>
      <c r="K586" s="31"/>
      <c r="T586" s="32"/>
      <c r="AA586" s="30"/>
      <c r="AF586" s="31"/>
    </row>
    <row r="587" spans="3:32" ht="15.75" customHeight="1" x14ac:dyDescent="0.25">
      <c r="C587" s="33"/>
      <c r="H587" s="30"/>
      <c r="K587" s="31"/>
      <c r="T587" s="32"/>
      <c r="AA587" s="30"/>
      <c r="AF587" s="31"/>
    </row>
    <row r="588" spans="3:32" ht="15.75" customHeight="1" x14ac:dyDescent="0.25">
      <c r="C588" s="33"/>
      <c r="H588" s="30"/>
      <c r="K588" s="31"/>
      <c r="T588" s="32"/>
      <c r="AA588" s="30"/>
      <c r="AF588" s="31"/>
    </row>
    <row r="589" spans="3:32" ht="15.75" customHeight="1" x14ac:dyDescent="0.25">
      <c r="C589" s="33"/>
      <c r="H589" s="30"/>
      <c r="K589" s="31"/>
      <c r="T589" s="32"/>
      <c r="AA589" s="30"/>
      <c r="AF589" s="31"/>
    </row>
    <row r="590" spans="3:32" ht="15.75" customHeight="1" x14ac:dyDescent="0.25">
      <c r="C590" s="33"/>
      <c r="H590" s="30"/>
      <c r="K590" s="31"/>
      <c r="T590" s="32"/>
      <c r="AA590" s="30"/>
      <c r="AF590" s="31"/>
    </row>
    <row r="591" spans="3:32" ht="15.75" customHeight="1" x14ac:dyDescent="0.25">
      <c r="C591" s="33"/>
      <c r="H591" s="30"/>
      <c r="K591" s="31"/>
      <c r="T591" s="32"/>
      <c r="AA591" s="30"/>
      <c r="AF591" s="31"/>
    </row>
    <row r="592" spans="3:32" ht="15.75" customHeight="1" x14ac:dyDescent="0.25">
      <c r="C592" s="33"/>
      <c r="H592" s="30"/>
      <c r="K592" s="31"/>
      <c r="T592" s="32"/>
      <c r="AA592" s="30"/>
      <c r="AF592" s="31"/>
    </row>
    <row r="593" spans="3:32" ht="15.75" customHeight="1" x14ac:dyDescent="0.25">
      <c r="C593" s="33"/>
      <c r="H593" s="30"/>
      <c r="K593" s="31"/>
      <c r="T593" s="32"/>
      <c r="AA593" s="30"/>
      <c r="AF593" s="31"/>
    </row>
    <row r="594" spans="3:32" ht="15.75" customHeight="1" x14ac:dyDescent="0.25">
      <c r="C594" s="33"/>
      <c r="H594" s="30"/>
      <c r="K594" s="31"/>
      <c r="T594" s="32"/>
      <c r="AA594" s="30"/>
      <c r="AF594" s="31"/>
    </row>
    <row r="595" spans="3:32" ht="15.75" customHeight="1" x14ac:dyDescent="0.25">
      <c r="C595" s="33"/>
      <c r="H595" s="30"/>
      <c r="K595" s="31"/>
      <c r="T595" s="32"/>
      <c r="AA595" s="30"/>
      <c r="AF595" s="31"/>
    </row>
    <row r="596" spans="3:32" ht="15.75" customHeight="1" x14ac:dyDescent="0.25">
      <c r="C596" s="33"/>
      <c r="H596" s="30"/>
      <c r="K596" s="31"/>
      <c r="T596" s="32"/>
      <c r="AA596" s="30"/>
      <c r="AF596" s="31"/>
    </row>
    <row r="597" spans="3:32" ht="15.75" customHeight="1" x14ac:dyDescent="0.25">
      <c r="C597" s="33"/>
      <c r="H597" s="30"/>
      <c r="K597" s="31"/>
      <c r="T597" s="32"/>
      <c r="AA597" s="30"/>
      <c r="AF597" s="31"/>
    </row>
    <row r="598" spans="3:32" ht="15.75" customHeight="1" x14ac:dyDescent="0.25">
      <c r="C598" s="33"/>
      <c r="H598" s="30"/>
      <c r="K598" s="31"/>
      <c r="T598" s="32"/>
      <c r="AA598" s="30"/>
      <c r="AF598" s="31"/>
    </row>
    <row r="599" spans="3:32" ht="15.75" customHeight="1" x14ac:dyDescent="0.25">
      <c r="C599" s="33"/>
      <c r="H599" s="30"/>
      <c r="K599" s="31"/>
      <c r="T599" s="32"/>
      <c r="AA599" s="30"/>
      <c r="AF599" s="31"/>
    </row>
    <row r="600" spans="3:32" ht="15.75" customHeight="1" x14ac:dyDescent="0.25">
      <c r="C600" s="33"/>
      <c r="H600" s="30"/>
      <c r="K600" s="31"/>
      <c r="T600" s="32"/>
      <c r="AA600" s="30"/>
      <c r="AF600" s="31"/>
    </row>
    <row r="601" spans="3:32" ht="15.75" customHeight="1" x14ac:dyDescent="0.25">
      <c r="C601" s="33"/>
      <c r="H601" s="30"/>
      <c r="K601" s="31"/>
      <c r="T601" s="32"/>
      <c r="AA601" s="30"/>
      <c r="AF601" s="31"/>
    </row>
    <row r="602" spans="3:32" ht="15.75" customHeight="1" x14ac:dyDescent="0.25">
      <c r="C602" s="33"/>
      <c r="H602" s="30"/>
      <c r="K602" s="31"/>
      <c r="T602" s="32"/>
      <c r="AA602" s="30"/>
      <c r="AF602" s="31"/>
    </row>
    <row r="603" spans="3:32" ht="15.75" customHeight="1" x14ac:dyDescent="0.25">
      <c r="C603" s="33"/>
      <c r="H603" s="30"/>
      <c r="K603" s="31"/>
      <c r="T603" s="32"/>
      <c r="AA603" s="30"/>
      <c r="AF603" s="31"/>
    </row>
    <row r="604" spans="3:32" ht="15.75" customHeight="1" x14ac:dyDescent="0.25">
      <c r="C604" s="33"/>
      <c r="H604" s="30"/>
      <c r="K604" s="31"/>
      <c r="T604" s="32"/>
      <c r="AA604" s="30"/>
      <c r="AF604" s="31"/>
    </row>
    <row r="605" spans="3:32" ht="15.75" customHeight="1" x14ac:dyDescent="0.25">
      <c r="C605" s="33"/>
      <c r="H605" s="30"/>
      <c r="K605" s="31"/>
      <c r="T605" s="32"/>
      <c r="AA605" s="30"/>
      <c r="AF605" s="31"/>
    </row>
    <row r="606" spans="3:32" ht="15.75" customHeight="1" x14ac:dyDescent="0.25">
      <c r="C606" s="33"/>
      <c r="H606" s="30"/>
      <c r="K606" s="31"/>
      <c r="T606" s="32"/>
      <c r="AA606" s="30"/>
      <c r="AF606" s="31"/>
    </row>
    <row r="607" spans="3:32" ht="15.75" customHeight="1" x14ac:dyDescent="0.25">
      <c r="C607" s="33"/>
      <c r="H607" s="30"/>
      <c r="K607" s="31"/>
      <c r="T607" s="32"/>
      <c r="AA607" s="30"/>
      <c r="AF607" s="31"/>
    </row>
    <row r="608" spans="3:32" ht="15.75" customHeight="1" x14ac:dyDescent="0.25">
      <c r="C608" s="33"/>
      <c r="H608" s="30"/>
      <c r="K608" s="31"/>
      <c r="T608" s="32"/>
      <c r="AA608" s="30"/>
      <c r="AF608" s="31"/>
    </row>
    <row r="609" spans="3:32" ht="15.75" customHeight="1" x14ac:dyDescent="0.25">
      <c r="C609" s="33"/>
      <c r="H609" s="30"/>
      <c r="K609" s="31"/>
      <c r="T609" s="32"/>
      <c r="AA609" s="30"/>
      <c r="AF609" s="31"/>
    </row>
    <row r="610" spans="3:32" ht="15.75" customHeight="1" x14ac:dyDescent="0.25">
      <c r="C610" s="33"/>
      <c r="H610" s="30"/>
      <c r="K610" s="31"/>
      <c r="T610" s="32"/>
      <c r="AA610" s="30"/>
      <c r="AF610" s="31"/>
    </row>
    <row r="611" spans="3:32" ht="15.75" customHeight="1" x14ac:dyDescent="0.25">
      <c r="C611" s="33"/>
      <c r="H611" s="30"/>
      <c r="K611" s="31"/>
      <c r="T611" s="32"/>
      <c r="AA611" s="30"/>
      <c r="AF611" s="31"/>
    </row>
    <row r="612" spans="3:32" ht="15.75" customHeight="1" x14ac:dyDescent="0.25">
      <c r="C612" s="33"/>
      <c r="H612" s="30"/>
      <c r="K612" s="31"/>
      <c r="T612" s="32"/>
      <c r="AA612" s="30"/>
      <c r="AF612" s="31"/>
    </row>
    <row r="613" spans="3:32" ht="15.75" customHeight="1" x14ac:dyDescent="0.25">
      <c r="C613" s="33"/>
      <c r="H613" s="30"/>
      <c r="K613" s="31"/>
      <c r="T613" s="32"/>
      <c r="AA613" s="30"/>
      <c r="AF613" s="31"/>
    </row>
    <row r="614" spans="3:32" ht="15.75" customHeight="1" x14ac:dyDescent="0.25">
      <c r="C614" s="33"/>
      <c r="H614" s="30"/>
      <c r="K614" s="31"/>
      <c r="T614" s="32"/>
      <c r="AA614" s="30"/>
      <c r="AF614" s="31"/>
    </row>
    <row r="615" spans="3:32" ht="15.75" customHeight="1" x14ac:dyDescent="0.25">
      <c r="C615" s="33"/>
      <c r="H615" s="30"/>
      <c r="K615" s="31"/>
      <c r="T615" s="32"/>
      <c r="AA615" s="30"/>
      <c r="AF615" s="31"/>
    </row>
    <row r="616" spans="3:32" ht="15.75" customHeight="1" x14ac:dyDescent="0.25">
      <c r="C616" s="33"/>
      <c r="H616" s="30"/>
      <c r="K616" s="31"/>
      <c r="T616" s="32"/>
      <c r="AA616" s="30"/>
      <c r="AF616" s="31"/>
    </row>
    <row r="617" spans="3:32" ht="15.75" customHeight="1" x14ac:dyDescent="0.25">
      <c r="C617" s="33"/>
      <c r="H617" s="30"/>
      <c r="K617" s="31"/>
      <c r="T617" s="32"/>
      <c r="AA617" s="30"/>
      <c r="AF617" s="31"/>
    </row>
    <row r="618" spans="3:32" ht="15.75" customHeight="1" x14ac:dyDescent="0.25">
      <c r="C618" s="33"/>
      <c r="H618" s="30"/>
      <c r="K618" s="31"/>
      <c r="T618" s="32"/>
      <c r="AA618" s="30"/>
      <c r="AF618" s="31"/>
    </row>
    <row r="619" spans="3:32" ht="15.75" customHeight="1" x14ac:dyDescent="0.25">
      <c r="C619" s="33"/>
      <c r="H619" s="30"/>
      <c r="K619" s="31"/>
      <c r="T619" s="32"/>
      <c r="AA619" s="30"/>
      <c r="AF619" s="31"/>
    </row>
    <row r="620" spans="3:32" ht="15.75" customHeight="1" x14ac:dyDescent="0.25">
      <c r="C620" s="33"/>
      <c r="H620" s="30"/>
      <c r="K620" s="31"/>
      <c r="T620" s="32"/>
      <c r="AA620" s="30"/>
      <c r="AF620" s="31"/>
    </row>
    <row r="621" spans="3:32" ht="15.75" customHeight="1" x14ac:dyDescent="0.25">
      <c r="C621" s="33"/>
      <c r="H621" s="30"/>
      <c r="K621" s="31"/>
      <c r="T621" s="32"/>
      <c r="AA621" s="30"/>
      <c r="AF621" s="31"/>
    </row>
    <row r="622" spans="3:32" ht="15.75" customHeight="1" x14ac:dyDescent="0.25">
      <c r="C622" s="33"/>
      <c r="H622" s="30"/>
      <c r="K622" s="31"/>
      <c r="T622" s="32"/>
      <c r="AA622" s="30"/>
      <c r="AF622" s="31"/>
    </row>
    <row r="623" spans="3:32" ht="15.75" customHeight="1" x14ac:dyDescent="0.25">
      <c r="C623" s="33"/>
      <c r="H623" s="30"/>
      <c r="K623" s="31"/>
      <c r="T623" s="32"/>
      <c r="AA623" s="30"/>
      <c r="AF623" s="31"/>
    </row>
    <row r="624" spans="3:32" ht="15.75" customHeight="1" x14ac:dyDescent="0.25">
      <c r="C624" s="33"/>
      <c r="H624" s="30"/>
      <c r="K624" s="31"/>
      <c r="T624" s="32"/>
      <c r="AA624" s="30"/>
      <c r="AF624" s="31"/>
    </row>
    <row r="625" spans="3:32" ht="15.75" customHeight="1" x14ac:dyDescent="0.25">
      <c r="C625" s="33"/>
      <c r="H625" s="30"/>
      <c r="K625" s="31"/>
      <c r="T625" s="32"/>
      <c r="AA625" s="30"/>
      <c r="AF625" s="31"/>
    </row>
    <row r="626" spans="3:32" ht="15.75" customHeight="1" x14ac:dyDescent="0.25">
      <c r="C626" s="33"/>
      <c r="H626" s="30"/>
      <c r="K626" s="31"/>
      <c r="T626" s="32"/>
      <c r="AA626" s="30"/>
      <c r="AF626" s="31"/>
    </row>
    <row r="627" spans="3:32" ht="15.75" customHeight="1" x14ac:dyDescent="0.25">
      <c r="C627" s="33"/>
      <c r="H627" s="30"/>
      <c r="K627" s="31"/>
      <c r="T627" s="32"/>
      <c r="AA627" s="30"/>
      <c r="AF627" s="31"/>
    </row>
    <row r="628" spans="3:32" ht="15.75" customHeight="1" x14ac:dyDescent="0.25">
      <c r="C628" s="33"/>
      <c r="H628" s="30"/>
      <c r="K628" s="31"/>
      <c r="T628" s="32"/>
      <c r="AA628" s="30"/>
      <c r="AF628" s="31"/>
    </row>
    <row r="629" spans="3:32" ht="15.75" customHeight="1" x14ac:dyDescent="0.25">
      <c r="C629" s="33"/>
      <c r="H629" s="30"/>
      <c r="K629" s="31"/>
      <c r="T629" s="32"/>
      <c r="AA629" s="30"/>
      <c r="AF629" s="31"/>
    </row>
    <row r="630" spans="3:32" ht="15.75" customHeight="1" x14ac:dyDescent="0.25">
      <c r="C630" s="33"/>
      <c r="H630" s="30"/>
      <c r="K630" s="31"/>
      <c r="T630" s="32"/>
      <c r="AA630" s="30"/>
      <c r="AF630" s="31"/>
    </row>
    <row r="631" spans="3:32" ht="15.75" customHeight="1" x14ac:dyDescent="0.25">
      <c r="C631" s="33"/>
      <c r="H631" s="30"/>
      <c r="K631" s="31"/>
      <c r="T631" s="32"/>
      <c r="AA631" s="30"/>
      <c r="AF631" s="31"/>
    </row>
    <row r="632" spans="3:32" ht="15.75" customHeight="1" x14ac:dyDescent="0.25">
      <c r="C632" s="33"/>
      <c r="H632" s="30"/>
      <c r="K632" s="31"/>
      <c r="T632" s="32"/>
      <c r="AA632" s="30"/>
      <c r="AF632" s="31"/>
    </row>
    <row r="633" spans="3:32" ht="15.75" customHeight="1" x14ac:dyDescent="0.25">
      <c r="C633" s="33"/>
      <c r="H633" s="30"/>
      <c r="K633" s="31"/>
      <c r="T633" s="32"/>
      <c r="AA633" s="30"/>
      <c r="AF633" s="31"/>
    </row>
    <row r="634" spans="3:32" ht="15.75" customHeight="1" x14ac:dyDescent="0.25">
      <c r="C634" s="33"/>
      <c r="H634" s="30"/>
      <c r="K634" s="31"/>
      <c r="T634" s="32"/>
      <c r="AA634" s="30"/>
      <c r="AF634" s="31"/>
    </row>
    <row r="635" spans="3:32" ht="15.75" customHeight="1" x14ac:dyDescent="0.25">
      <c r="C635" s="33"/>
      <c r="H635" s="30"/>
      <c r="K635" s="31"/>
      <c r="T635" s="32"/>
      <c r="AA635" s="30"/>
      <c r="AF635" s="31"/>
    </row>
    <row r="636" spans="3:32" ht="15.75" customHeight="1" x14ac:dyDescent="0.25">
      <c r="C636" s="33"/>
      <c r="H636" s="30"/>
      <c r="K636" s="31"/>
      <c r="T636" s="32"/>
      <c r="AA636" s="30"/>
      <c r="AF636" s="31"/>
    </row>
    <row r="637" spans="3:32" ht="15.75" customHeight="1" x14ac:dyDescent="0.25">
      <c r="C637" s="33"/>
      <c r="H637" s="30"/>
      <c r="K637" s="31"/>
      <c r="T637" s="32"/>
      <c r="AA637" s="30"/>
      <c r="AF637" s="31"/>
    </row>
    <row r="638" spans="3:32" ht="15.75" customHeight="1" x14ac:dyDescent="0.25">
      <c r="C638" s="33"/>
      <c r="H638" s="30"/>
      <c r="K638" s="31"/>
      <c r="T638" s="32"/>
      <c r="AA638" s="30"/>
      <c r="AF638" s="31"/>
    </row>
    <row r="639" spans="3:32" ht="15.75" customHeight="1" x14ac:dyDescent="0.25">
      <c r="C639" s="33"/>
      <c r="H639" s="30"/>
      <c r="K639" s="31"/>
      <c r="T639" s="32"/>
      <c r="AA639" s="30"/>
      <c r="AF639" s="31"/>
    </row>
    <row r="640" spans="3:32" ht="15.75" customHeight="1" x14ac:dyDescent="0.25">
      <c r="C640" s="33"/>
      <c r="H640" s="30"/>
      <c r="K640" s="31"/>
      <c r="T640" s="32"/>
      <c r="AA640" s="30"/>
      <c r="AF640" s="31"/>
    </row>
    <row r="641" spans="3:32" ht="15.75" customHeight="1" x14ac:dyDescent="0.25">
      <c r="C641" s="33"/>
      <c r="H641" s="30"/>
      <c r="K641" s="31"/>
      <c r="T641" s="32"/>
      <c r="AA641" s="30"/>
      <c r="AF641" s="31"/>
    </row>
    <row r="642" spans="3:32" ht="15.75" customHeight="1" x14ac:dyDescent="0.25">
      <c r="C642" s="33"/>
      <c r="H642" s="30"/>
      <c r="K642" s="31"/>
      <c r="T642" s="32"/>
      <c r="AA642" s="30"/>
      <c r="AF642" s="31"/>
    </row>
    <row r="643" spans="3:32" ht="15.75" customHeight="1" x14ac:dyDescent="0.25">
      <c r="C643" s="33"/>
      <c r="H643" s="30"/>
      <c r="K643" s="31"/>
      <c r="T643" s="32"/>
      <c r="AA643" s="30"/>
      <c r="AF643" s="31"/>
    </row>
    <row r="644" spans="3:32" ht="15.75" customHeight="1" x14ac:dyDescent="0.25">
      <c r="C644" s="33"/>
      <c r="H644" s="30"/>
      <c r="K644" s="31"/>
      <c r="T644" s="32"/>
      <c r="AA644" s="30"/>
      <c r="AF644" s="31"/>
    </row>
    <row r="645" spans="3:32" ht="15.75" customHeight="1" x14ac:dyDescent="0.25">
      <c r="C645" s="33"/>
      <c r="H645" s="30"/>
      <c r="K645" s="31"/>
      <c r="T645" s="32"/>
      <c r="AA645" s="30"/>
      <c r="AF645" s="31"/>
    </row>
    <row r="646" spans="3:32" ht="15.75" customHeight="1" x14ac:dyDescent="0.25">
      <c r="C646" s="33"/>
      <c r="H646" s="30"/>
      <c r="K646" s="31"/>
      <c r="T646" s="32"/>
      <c r="AA646" s="30"/>
      <c r="AF646" s="31"/>
    </row>
    <row r="647" spans="3:32" ht="15.75" customHeight="1" x14ac:dyDescent="0.25">
      <c r="C647" s="33"/>
      <c r="H647" s="30"/>
      <c r="K647" s="31"/>
      <c r="T647" s="32"/>
      <c r="AA647" s="30"/>
      <c r="AF647" s="31"/>
    </row>
    <row r="648" spans="3:32" ht="15.75" customHeight="1" x14ac:dyDescent="0.25">
      <c r="C648" s="33"/>
      <c r="H648" s="30"/>
      <c r="K648" s="31"/>
      <c r="T648" s="32"/>
      <c r="AA648" s="30"/>
      <c r="AF648" s="31"/>
    </row>
    <row r="649" spans="3:32" ht="15.75" customHeight="1" x14ac:dyDescent="0.25">
      <c r="C649" s="33"/>
      <c r="H649" s="30"/>
      <c r="K649" s="31"/>
      <c r="T649" s="32"/>
      <c r="AA649" s="30"/>
      <c r="AF649" s="31"/>
    </row>
    <row r="650" spans="3:32" ht="15.75" customHeight="1" x14ac:dyDescent="0.25">
      <c r="C650" s="33"/>
      <c r="H650" s="30"/>
      <c r="K650" s="31"/>
      <c r="T650" s="32"/>
      <c r="AA650" s="30"/>
      <c r="AF650" s="31"/>
    </row>
    <row r="651" spans="3:32" ht="15.75" customHeight="1" x14ac:dyDescent="0.25">
      <c r="C651" s="33"/>
      <c r="H651" s="30"/>
      <c r="K651" s="31"/>
      <c r="T651" s="32"/>
      <c r="AA651" s="30"/>
      <c r="AF651" s="31"/>
    </row>
    <row r="652" spans="3:32" ht="15.75" customHeight="1" x14ac:dyDescent="0.25">
      <c r="C652" s="33"/>
      <c r="H652" s="30"/>
      <c r="K652" s="31"/>
      <c r="T652" s="32"/>
      <c r="AA652" s="30"/>
      <c r="AF652" s="31"/>
    </row>
    <row r="653" spans="3:32" ht="15.75" customHeight="1" x14ac:dyDescent="0.25">
      <c r="C653" s="33"/>
      <c r="H653" s="30"/>
      <c r="K653" s="31"/>
      <c r="T653" s="32"/>
      <c r="AA653" s="30"/>
      <c r="AF653" s="31"/>
    </row>
    <row r="654" spans="3:32" ht="15.75" customHeight="1" x14ac:dyDescent="0.25">
      <c r="C654" s="33"/>
      <c r="H654" s="30"/>
      <c r="K654" s="31"/>
      <c r="T654" s="32"/>
      <c r="AA654" s="30"/>
      <c r="AF654" s="31"/>
    </row>
    <row r="655" spans="3:32" ht="15.75" customHeight="1" x14ac:dyDescent="0.25">
      <c r="C655" s="33"/>
      <c r="H655" s="30"/>
      <c r="K655" s="31"/>
      <c r="T655" s="32"/>
      <c r="AA655" s="30"/>
      <c r="AF655" s="31"/>
    </row>
    <row r="656" spans="3:32" ht="15.75" customHeight="1" x14ac:dyDescent="0.25">
      <c r="C656" s="33"/>
      <c r="H656" s="30"/>
      <c r="K656" s="31"/>
      <c r="T656" s="32"/>
      <c r="AA656" s="30"/>
      <c r="AF656" s="31"/>
    </row>
    <row r="657" spans="3:32" ht="15.75" customHeight="1" x14ac:dyDescent="0.25">
      <c r="C657" s="33"/>
      <c r="H657" s="30"/>
      <c r="K657" s="31"/>
      <c r="T657" s="32"/>
      <c r="AA657" s="30"/>
      <c r="AF657" s="31"/>
    </row>
    <row r="658" spans="3:32" ht="15.75" customHeight="1" x14ac:dyDescent="0.25">
      <c r="C658" s="33"/>
      <c r="H658" s="30"/>
      <c r="K658" s="31"/>
      <c r="T658" s="32"/>
      <c r="AA658" s="30"/>
      <c r="AF658" s="31"/>
    </row>
    <row r="659" spans="3:32" ht="15.75" customHeight="1" x14ac:dyDescent="0.25">
      <c r="C659" s="33"/>
      <c r="H659" s="30"/>
      <c r="K659" s="31"/>
      <c r="T659" s="32"/>
      <c r="AA659" s="30"/>
      <c r="AF659" s="31"/>
    </row>
    <row r="660" spans="3:32" ht="15.75" customHeight="1" x14ac:dyDescent="0.25">
      <c r="C660" s="33"/>
      <c r="H660" s="30"/>
      <c r="K660" s="31"/>
      <c r="T660" s="32"/>
      <c r="AA660" s="30"/>
      <c r="AF660" s="31"/>
    </row>
    <row r="661" spans="3:32" ht="15.75" customHeight="1" x14ac:dyDescent="0.25">
      <c r="C661" s="33"/>
      <c r="H661" s="30"/>
      <c r="K661" s="31"/>
      <c r="T661" s="32"/>
      <c r="AA661" s="30"/>
      <c r="AF661" s="31"/>
    </row>
    <row r="662" spans="3:32" ht="15.75" customHeight="1" x14ac:dyDescent="0.25">
      <c r="C662" s="33"/>
      <c r="H662" s="30"/>
      <c r="K662" s="31"/>
      <c r="T662" s="32"/>
      <c r="AA662" s="30"/>
      <c r="AF662" s="31"/>
    </row>
    <row r="663" spans="3:32" ht="15.75" customHeight="1" x14ac:dyDescent="0.25">
      <c r="C663" s="33"/>
      <c r="H663" s="30"/>
      <c r="K663" s="31"/>
      <c r="T663" s="32"/>
      <c r="AA663" s="30"/>
      <c r="AF663" s="31"/>
    </row>
    <row r="664" spans="3:32" ht="15.75" customHeight="1" x14ac:dyDescent="0.25">
      <c r="C664" s="33"/>
      <c r="H664" s="30"/>
      <c r="K664" s="31"/>
      <c r="T664" s="32"/>
      <c r="AA664" s="30"/>
      <c r="AF664" s="31"/>
    </row>
    <row r="665" spans="3:32" ht="15.75" customHeight="1" x14ac:dyDescent="0.25">
      <c r="C665" s="33"/>
      <c r="H665" s="30"/>
      <c r="K665" s="31"/>
      <c r="T665" s="32"/>
      <c r="AA665" s="30"/>
      <c r="AF665" s="31"/>
    </row>
    <row r="666" spans="3:32" ht="15.75" customHeight="1" x14ac:dyDescent="0.25">
      <c r="C666" s="33"/>
      <c r="H666" s="30"/>
      <c r="K666" s="31"/>
      <c r="T666" s="32"/>
      <c r="AA666" s="30"/>
      <c r="AF666" s="31"/>
    </row>
    <row r="667" spans="3:32" ht="15.75" customHeight="1" x14ac:dyDescent="0.25">
      <c r="C667" s="33"/>
      <c r="H667" s="30"/>
      <c r="K667" s="31"/>
      <c r="T667" s="32"/>
      <c r="AA667" s="30"/>
      <c r="AF667" s="31"/>
    </row>
    <row r="668" spans="3:32" ht="15.75" customHeight="1" x14ac:dyDescent="0.25">
      <c r="C668" s="33"/>
      <c r="H668" s="30"/>
      <c r="K668" s="31"/>
      <c r="T668" s="32"/>
      <c r="AA668" s="30"/>
      <c r="AF668" s="31"/>
    </row>
    <row r="669" spans="3:32" ht="15.75" customHeight="1" x14ac:dyDescent="0.25">
      <c r="C669" s="33"/>
      <c r="H669" s="30"/>
      <c r="K669" s="31"/>
      <c r="T669" s="32"/>
      <c r="AA669" s="30"/>
      <c r="AF669" s="31"/>
    </row>
    <row r="670" spans="3:32" ht="15.75" customHeight="1" x14ac:dyDescent="0.25">
      <c r="C670" s="33"/>
      <c r="H670" s="30"/>
      <c r="K670" s="31"/>
      <c r="T670" s="32"/>
      <c r="AA670" s="30"/>
      <c r="AF670" s="31"/>
    </row>
    <row r="671" spans="3:32" ht="15.75" customHeight="1" x14ac:dyDescent="0.25">
      <c r="C671" s="33"/>
      <c r="H671" s="30"/>
      <c r="K671" s="31"/>
      <c r="T671" s="32"/>
      <c r="AA671" s="30"/>
      <c r="AF671" s="31"/>
    </row>
    <row r="672" spans="3:32" ht="15.75" customHeight="1" x14ac:dyDescent="0.25">
      <c r="C672" s="33"/>
      <c r="H672" s="30"/>
      <c r="K672" s="31"/>
      <c r="T672" s="32"/>
      <c r="AA672" s="30"/>
      <c r="AF672" s="31"/>
    </row>
    <row r="673" spans="3:32" ht="15.75" customHeight="1" x14ac:dyDescent="0.25">
      <c r="C673" s="33"/>
      <c r="H673" s="30"/>
      <c r="K673" s="31"/>
      <c r="T673" s="32"/>
      <c r="AA673" s="30"/>
      <c r="AF673" s="31"/>
    </row>
    <row r="674" spans="3:32" ht="15.75" customHeight="1" x14ac:dyDescent="0.25">
      <c r="C674" s="33"/>
      <c r="H674" s="30"/>
      <c r="K674" s="31"/>
      <c r="T674" s="32"/>
      <c r="AA674" s="30"/>
      <c r="AF674" s="31"/>
    </row>
    <row r="675" spans="3:32" ht="15.75" customHeight="1" x14ac:dyDescent="0.25">
      <c r="C675" s="33"/>
      <c r="H675" s="30"/>
      <c r="K675" s="31"/>
      <c r="T675" s="32"/>
      <c r="AA675" s="30"/>
      <c r="AF675" s="31"/>
    </row>
    <row r="676" spans="3:32" ht="15.75" customHeight="1" x14ac:dyDescent="0.25">
      <c r="C676" s="33"/>
      <c r="H676" s="30"/>
      <c r="K676" s="31"/>
      <c r="T676" s="32"/>
      <c r="AA676" s="30"/>
      <c r="AF676" s="31"/>
    </row>
    <row r="677" spans="3:32" ht="15.75" customHeight="1" x14ac:dyDescent="0.25">
      <c r="C677" s="33"/>
      <c r="H677" s="30"/>
      <c r="K677" s="31"/>
      <c r="T677" s="32"/>
      <c r="AA677" s="30"/>
      <c r="AF677" s="31"/>
    </row>
    <row r="678" spans="3:32" ht="15.75" customHeight="1" x14ac:dyDescent="0.25">
      <c r="C678" s="33"/>
      <c r="H678" s="30"/>
      <c r="K678" s="31"/>
      <c r="T678" s="32"/>
      <c r="AA678" s="30"/>
      <c r="AF678" s="31"/>
    </row>
    <row r="679" spans="3:32" ht="15.75" customHeight="1" x14ac:dyDescent="0.25">
      <c r="C679" s="33"/>
      <c r="H679" s="30"/>
      <c r="K679" s="31"/>
      <c r="T679" s="32"/>
      <c r="AA679" s="30"/>
      <c r="AF679" s="31"/>
    </row>
    <row r="680" spans="3:32" ht="15.75" customHeight="1" x14ac:dyDescent="0.25">
      <c r="C680" s="33"/>
      <c r="H680" s="30"/>
      <c r="K680" s="31"/>
      <c r="T680" s="32"/>
      <c r="AA680" s="30"/>
      <c r="AF680" s="31"/>
    </row>
    <row r="681" spans="3:32" ht="15.75" customHeight="1" x14ac:dyDescent="0.25">
      <c r="C681" s="33"/>
      <c r="H681" s="30"/>
      <c r="K681" s="31"/>
      <c r="T681" s="32"/>
      <c r="AA681" s="30"/>
      <c r="AF681" s="31"/>
    </row>
    <row r="682" spans="3:32" ht="15.75" customHeight="1" x14ac:dyDescent="0.25">
      <c r="C682" s="33"/>
      <c r="H682" s="30"/>
      <c r="K682" s="31"/>
      <c r="T682" s="32"/>
      <c r="AA682" s="30"/>
      <c r="AF682" s="31"/>
    </row>
    <row r="683" spans="3:32" ht="15.75" customHeight="1" x14ac:dyDescent="0.25">
      <c r="C683" s="33"/>
      <c r="H683" s="30"/>
      <c r="K683" s="31"/>
      <c r="T683" s="32"/>
      <c r="AA683" s="30"/>
      <c r="AF683" s="31"/>
    </row>
    <row r="684" spans="3:32" ht="15.75" customHeight="1" x14ac:dyDescent="0.25">
      <c r="C684" s="33"/>
      <c r="H684" s="30"/>
      <c r="K684" s="31"/>
      <c r="T684" s="32"/>
      <c r="AA684" s="30"/>
      <c r="AF684" s="31"/>
    </row>
    <row r="685" spans="3:32" ht="15.75" customHeight="1" x14ac:dyDescent="0.25">
      <c r="C685" s="33"/>
      <c r="H685" s="30"/>
      <c r="K685" s="31"/>
      <c r="T685" s="32"/>
      <c r="AA685" s="30"/>
      <c r="AF685" s="31"/>
    </row>
    <row r="686" spans="3:32" ht="15.75" customHeight="1" x14ac:dyDescent="0.25">
      <c r="C686" s="33"/>
      <c r="H686" s="30"/>
      <c r="K686" s="31"/>
      <c r="T686" s="32"/>
      <c r="AA686" s="30"/>
      <c r="AF686" s="31"/>
    </row>
    <row r="687" spans="3:32" ht="15.75" customHeight="1" x14ac:dyDescent="0.25">
      <c r="C687" s="33"/>
      <c r="H687" s="30"/>
      <c r="K687" s="31"/>
      <c r="T687" s="32"/>
      <c r="AA687" s="30"/>
      <c r="AF687" s="31"/>
    </row>
    <row r="688" spans="3:32" ht="15.75" customHeight="1" x14ac:dyDescent="0.25">
      <c r="C688" s="33"/>
      <c r="H688" s="30"/>
      <c r="K688" s="31"/>
      <c r="T688" s="32"/>
      <c r="AA688" s="30"/>
      <c r="AF688" s="31"/>
    </row>
    <row r="689" spans="3:32" ht="15.75" customHeight="1" x14ac:dyDescent="0.25">
      <c r="C689" s="33"/>
      <c r="H689" s="30"/>
      <c r="K689" s="31"/>
      <c r="T689" s="32"/>
      <c r="AA689" s="30"/>
      <c r="AF689" s="31"/>
    </row>
    <row r="690" spans="3:32" ht="15.75" customHeight="1" x14ac:dyDescent="0.25">
      <c r="C690" s="33"/>
      <c r="H690" s="30"/>
      <c r="K690" s="31"/>
      <c r="T690" s="32"/>
      <c r="AA690" s="30"/>
      <c r="AF690" s="31"/>
    </row>
    <row r="691" spans="3:32" ht="15.75" customHeight="1" x14ac:dyDescent="0.25">
      <c r="C691" s="33"/>
      <c r="H691" s="30"/>
      <c r="K691" s="31"/>
      <c r="T691" s="32"/>
      <c r="AA691" s="30"/>
      <c r="AF691" s="31"/>
    </row>
    <row r="692" spans="3:32" ht="15.75" customHeight="1" x14ac:dyDescent="0.25">
      <c r="C692" s="33"/>
      <c r="H692" s="30"/>
      <c r="K692" s="31"/>
      <c r="T692" s="32"/>
      <c r="AA692" s="30"/>
      <c r="AF692" s="31"/>
    </row>
    <row r="693" spans="3:32" ht="15.75" customHeight="1" x14ac:dyDescent="0.25">
      <c r="C693" s="33"/>
      <c r="H693" s="30"/>
      <c r="K693" s="31"/>
      <c r="T693" s="32"/>
      <c r="AA693" s="30"/>
      <c r="AF693" s="31"/>
    </row>
    <row r="694" spans="3:32" ht="15.75" customHeight="1" x14ac:dyDescent="0.25">
      <c r="C694" s="33"/>
      <c r="H694" s="30"/>
      <c r="K694" s="31"/>
      <c r="T694" s="32"/>
      <c r="AA694" s="30"/>
      <c r="AF694" s="31"/>
    </row>
    <row r="695" spans="3:32" ht="15.75" customHeight="1" x14ac:dyDescent="0.25">
      <c r="C695" s="33"/>
      <c r="H695" s="30"/>
      <c r="K695" s="31"/>
      <c r="T695" s="32"/>
      <c r="AA695" s="30"/>
      <c r="AF695" s="31"/>
    </row>
    <row r="696" spans="3:32" ht="15.75" customHeight="1" x14ac:dyDescent="0.25">
      <c r="C696" s="33"/>
      <c r="H696" s="30"/>
      <c r="K696" s="31"/>
      <c r="T696" s="32"/>
      <c r="AA696" s="30"/>
      <c r="AF696" s="31"/>
    </row>
    <row r="697" spans="3:32" ht="15.75" customHeight="1" x14ac:dyDescent="0.25">
      <c r="C697" s="33"/>
      <c r="H697" s="30"/>
      <c r="K697" s="31"/>
      <c r="T697" s="32"/>
      <c r="AA697" s="30"/>
      <c r="AF697" s="31"/>
    </row>
    <row r="698" spans="3:32" ht="15.75" customHeight="1" x14ac:dyDescent="0.25">
      <c r="C698" s="33"/>
      <c r="H698" s="30"/>
      <c r="K698" s="31"/>
      <c r="T698" s="32"/>
      <c r="AA698" s="30"/>
      <c r="AF698" s="31"/>
    </row>
    <row r="699" spans="3:32" ht="15.75" customHeight="1" x14ac:dyDescent="0.25">
      <c r="C699" s="33"/>
      <c r="H699" s="30"/>
      <c r="K699" s="31"/>
      <c r="T699" s="32"/>
      <c r="AA699" s="30"/>
      <c r="AF699" s="31"/>
    </row>
    <row r="700" spans="3:32" ht="15.75" customHeight="1" x14ac:dyDescent="0.25">
      <c r="C700" s="33"/>
      <c r="H700" s="30"/>
      <c r="K700" s="31"/>
      <c r="T700" s="32"/>
      <c r="AA700" s="30"/>
      <c r="AF700" s="31"/>
    </row>
    <row r="701" spans="3:32" ht="15.75" customHeight="1" x14ac:dyDescent="0.25">
      <c r="C701" s="33"/>
      <c r="H701" s="30"/>
      <c r="K701" s="31"/>
      <c r="T701" s="32"/>
      <c r="AA701" s="30"/>
      <c r="AF701" s="31"/>
    </row>
    <row r="702" spans="3:32" ht="15.75" customHeight="1" x14ac:dyDescent="0.25">
      <c r="C702" s="33"/>
      <c r="H702" s="30"/>
      <c r="K702" s="31"/>
      <c r="T702" s="32"/>
      <c r="AA702" s="30"/>
      <c r="AF702" s="31"/>
    </row>
    <row r="703" spans="3:32" ht="15.75" customHeight="1" x14ac:dyDescent="0.25">
      <c r="C703" s="33"/>
      <c r="H703" s="30"/>
      <c r="K703" s="31"/>
      <c r="T703" s="32"/>
      <c r="AA703" s="30"/>
      <c r="AF703" s="31"/>
    </row>
    <row r="704" spans="3:32" ht="15.75" customHeight="1" x14ac:dyDescent="0.25">
      <c r="C704" s="33"/>
      <c r="H704" s="30"/>
      <c r="K704" s="31"/>
      <c r="T704" s="32"/>
      <c r="AA704" s="30"/>
      <c r="AF704" s="31"/>
    </row>
    <row r="705" spans="3:32" ht="15.75" customHeight="1" x14ac:dyDescent="0.25">
      <c r="C705" s="33"/>
      <c r="H705" s="30"/>
      <c r="K705" s="31"/>
      <c r="T705" s="32"/>
      <c r="AA705" s="30"/>
      <c r="AF705" s="31"/>
    </row>
    <row r="706" spans="3:32" ht="15.75" customHeight="1" x14ac:dyDescent="0.25">
      <c r="C706" s="33"/>
      <c r="H706" s="30"/>
      <c r="K706" s="31"/>
      <c r="T706" s="32"/>
      <c r="AA706" s="30"/>
      <c r="AF706" s="31"/>
    </row>
    <row r="707" spans="3:32" ht="15.75" customHeight="1" x14ac:dyDescent="0.25">
      <c r="C707" s="33"/>
      <c r="H707" s="30"/>
      <c r="K707" s="31"/>
      <c r="T707" s="32"/>
      <c r="AA707" s="30"/>
      <c r="AF707" s="31"/>
    </row>
    <row r="708" spans="3:32" ht="15.75" customHeight="1" x14ac:dyDescent="0.25">
      <c r="C708" s="33"/>
      <c r="H708" s="30"/>
      <c r="K708" s="31"/>
      <c r="T708" s="32"/>
      <c r="AA708" s="30"/>
      <c r="AF708" s="31"/>
    </row>
    <row r="709" spans="3:32" ht="15.75" customHeight="1" x14ac:dyDescent="0.25">
      <c r="C709" s="33"/>
      <c r="H709" s="30"/>
      <c r="K709" s="31"/>
      <c r="T709" s="32"/>
      <c r="AA709" s="30"/>
      <c r="AF709" s="31"/>
    </row>
    <row r="710" spans="3:32" ht="15.75" customHeight="1" x14ac:dyDescent="0.25">
      <c r="C710" s="33"/>
      <c r="H710" s="30"/>
      <c r="K710" s="31"/>
      <c r="T710" s="32"/>
      <c r="AA710" s="30"/>
      <c r="AF710" s="31"/>
    </row>
    <row r="711" spans="3:32" ht="15.75" customHeight="1" x14ac:dyDescent="0.25">
      <c r="C711" s="33"/>
      <c r="H711" s="30"/>
      <c r="K711" s="31"/>
      <c r="T711" s="32"/>
      <c r="AA711" s="30"/>
      <c r="AF711" s="31"/>
    </row>
    <row r="712" spans="3:32" ht="15.75" customHeight="1" x14ac:dyDescent="0.25">
      <c r="C712" s="33"/>
      <c r="H712" s="30"/>
      <c r="K712" s="31"/>
      <c r="T712" s="32"/>
      <c r="AA712" s="30"/>
      <c r="AF712" s="31"/>
    </row>
    <row r="713" spans="3:32" ht="15.75" customHeight="1" x14ac:dyDescent="0.25">
      <c r="C713" s="33"/>
      <c r="H713" s="30"/>
      <c r="K713" s="31"/>
      <c r="T713" s="32"/>
      <c r="AA713" s="30"/>
      <c r="AF713" s="31"/>
    </row>
    <row r="714" spans="3:32" ht="15.75" customHeight="1" x14ac:dyDescent="0.25">
      <c r="C714" s="33"/>
      <c r="H714" s="30"/>
      <c r="K714" s="31"/>
      <c r="T714" s="32"/>
      <c r="AA714" s="30"/>
      <c r="AF714" s="31"/>
    </row>
    <row r="715" spans="3:32" ht="15.75" customHeight="1" x14ac:dyDescent="0.25">
      <c r="C715" s="33"/>
      <c r="H715" s="30"/>
      <c r="K715" s="31"/>
      <c r="T715" s="32"/>
      <c r="AA715" s="30"/>
      <c r="AF715" s="31"/>
    </row>
    <row r="716" spans="3:32" ht="15.75" customHeight="1" x14ac:dyDescent="0.25">
      <c r="C716" s="33"/>
      <c r="H716" s="30"/>
      <c r="K716" s="31"/>
      <c r="T716" s="32"/>
      <c r="AA716" s="30"/>
      <c r="AF716" s="31"/>
    </row>
    <row r="717" spans="3:32" ht="15.75" customHeight="1" x14ac:dyDescent="0.25">
      <c r="C717" s="33"/>
      <c r="H717" s="30"/>
      <c r="K717" s="31"/>
      <c r="T717" s="32"/>
      <c r="AA717" s="30"/>
      <c r="AF717" s="31"/>
    </row>
    <row r="718" spans="3:32" ht="15.75" customHeight="1" x14ac:dyDescent="0.25">
      <c r="C718" s="33"/>
      <c r="H718" s="30"/>
      <c r="K718" s="31"/>
      <c r="T718" s="32"/>
      <c r="AA718" s="30"/>
      <c r="AF718" s="31"/>
    </row>
    <row r="719" spans="3:32" ht="15.75" customHeight="1" x14ac:dyDescent="0.25">
      <c r="C719" s="33"/>
      <c r="H719" s="30"/>
      <c r="K719" s="31"/>
      <c r="T719" s="32"/>
      <c r="AA719" s="30"/>
      <c r="AF719" s="31"/>
    </row>
    <row r="720" spans="3:32" ht="15.75" customHeight="1" x14ac:dyDescent="0.25">
      <c r="C720" s="33"/>
      <c r="H720" s="30"/>
      <c r="K720" s="31"/>
      <c r="T720" s="32"/>
      <c r="AA720" s="30"/>
      <c r="AF720" s="31"/>
    </row>
    <row r="721" spans="3:32" ht="15.75" customHeight="1" x14ac:dyDescent="0.25">
      <c r="C721" s="33"/>
      <c r="H721" s="30"/>
      <c r="K721" s="31"/>
      <c r="T721" s="32"/>
      <c r="AA721" s="30"/>
      <c r="AF721" s="31"/>
    </row>
    <row r="722" spans="3:32" ht="15.75" customHeight="1" x14ac:dyDescent="0.25">
      <c r="C722" s="33"/>
      <c r="H722" s="30"/>
      <c r="K722" s="31"/>
      <c r="T722" s="32"/>
      <c r="AA722" s="30"/>
      <c r="AF722" s="31"/>
    </row>
    <row r="723" spans="3:32" ht="15.75" customHeight="1" x14ac:dyDescent="0.25">
      <c r="C723" s="33"/>
      <c r="H723" s="30"/>
      <c r="K723" s="31"/>
      <c r="T723" s="32"/>
      <c r="AA723" s="30"/>
      <c r="AF723" s="31"/>
    </row>
    <row r="724" spans="3:32" ht="15.75" customHeight="1" x14ac:dyDescent="0.25">
      <c r="C724" s="33"/>
      <c r="H724" s="30"/>
      <c r="K724" s="31"/>
      <c r="T724" s="32"/>
      <c r="AA724" s="30"/>
      <c r="AF724" s="31"/>
    </row>
    <row r="725" spans="3:32" ht="15.75" customHeight="1" x14ac:dyDescent="0.25">
      <c r="C725" s="33"/>
      <c r="H725" s="30"/>
      <c r="K725" s="31"/>
      <c r="T725" s="32"/>
      <c r="AA725" s="30"/>
      <c r="AF725" s="31"/>
    </row>
    <row r="726" spans="3:32" ht="15.75" customHeight="1" x14ac:dyDescent="0.25">
      <c r="C726" s="33"/>
      <c r="H726" s="30"/>
      <c r="K726" s="31"/>
      <c r="T726" s="32"/>
      <c r="AA726" s="30"/>
      <c r="AF726" s="31"/>
    </row>
    <row r="727" spans="3:32" ht="15.75" customHeight="1" x14ac:dyDescent="0.25">
      <c r="C727" s="33"/>
      <c r="H727" s="30"/>
      <c r="K727" s="31"/>
      <c r="T727" s="32"/>
      <c r="AA727" s="30"/>
      <c r="AF727" s="31"/>
    </row>
    <row r="728" spans="3:32" ht="15.75" customHeight="1" x14ac:dyDescent="0.25">
      <c r="C728" s="33"/>
      <c r="H728" s="30"/>
      <c r="K728" s="31"/>
      <c r="T728" s="32"/>
      <c r="AA728" s="30"/>
      <c r="AF728" s="31"/>
    </row>
    <row r="729" spans="3:32" ht="15.75" customHeight="1" x14ac:dyDescent="0.25">
      <c r="C729" s="33"/>
      <c r="H729" s="30"/>
      <c r="K729" s="31"/>
      <c r="T729" s="32"/>
      <c r="AA729" s="30"/>
      <c r="AF729" s="31"/>
    </row>
    <row r="730" spans="3:32" ht="15.75" customHeight="1" x14ac:dyDescent="0.25">
      <c r="C730" s="33"/>
      <c r="H730" s="30"/>
      <c r="K730" s="31"/>
      <c r="T730" s="32"/>
      <c r="AA730" s="30"/>
      <c r="AF730" s="31"/>
    </row>
    <row r="731" spans="3:32" ht="15.75" customHeight="1" x14ac:dyDescent="0.25">
      <c r="C731" s="33"/>
      <c r="H731" s="30"/>
      <c r="K731" s="31"/>
      <c r="T731" s="32"/>
      <c r="AA731" s="30"/>
      <c r="AF731" s="31"/>
    </row>
    <row r="732" spans="3:32" ht="15.75" customHeight="1" x14ac:dyDescent="0.25">
      <c r="C732" s="33"/>
      <c r="H732" s="30"/>
      <c r="K732" s="31"/>
      <c r="T732" s="32"/>
      <c r="AA732" s="30"/>
      <c r="AF732" s="31"/>
    </row>
    <row r="733" spans="3:32" ht="15.75" customHeight="1" x14ac:dyDescent="0.25">
      <c r="C733" s="33"/>
      <c r="H733" s="30"/>
      <c r="K733" s="31"/>
      <c r="T733" s="32"/>
      <c r="AA733" s="30"/>
      <c r="AF733" s="31"/>
    </row>
    <row r="734" spans="3:32" ht="15.75" customHeight="1" x14ac:dyDescent="0.25">
      <c r="C734" s="33"/>
      <c r="H734" s="30"/>
      <c r="K734" s="31"/>
      <c r="T734" s="32"/>
      <c r="AA734" s="30"/>
      <c r="AF734" s="31"/>
    </row>
    <row r="735" spans="3:32" ht="15.75" customHeight="1" x14ac:dyDescent="0.25">
      <c r="C735" s="33"/>
      <c r="H735" s="30"/>
      <c r="K735" s="31"/>
      <c r="T735" s="32"/>
      <c r="AA735" s="30"/>
      <c r="AF735" s="31"/>
    </row>
    <row r="736" spans="3:32" ht="15.75" customHeight="1" x14ac:dyDescent="0.25">
      <c r="C736" s="33"/>
      <c r="H736" s="30"/>
      <c r="K736" s="31"/>
      <c r="T736" s="32"/>
      <c r="AA736" s="30"/>
      <c r="AF736" s="31"/>
    </row>
    <row r="737" spans="3:32" ht="15.75" customHeight="1" x14ac:dyDescent="0.25">
      <c r="C737" s="33"/>
      <c r="H737" s="30"/>
      <c r="K737" s="31"/>
      <c r="T737" s="32"/>
      <c r="AA737" s="30"/>
      <c r="AF737" s="31"/>
    </row>
    <row r="738" spans="3:32" ht="15.75" customHeight="1" x14ac:dyDescent="0.25">
      <c r="C738" s="33"/>
      <c r="H738" s="30"/>
      <c r="K738" s="31"/>
      <c r="T738" s="32"/>
      <c r="AA738" s="30"/>
      <c r="AF738" s="31"/>
    </row>
    <row r="739" spans="3:32" ht="15.75" customHeight="1" x14ac:dyDescent="0.25">
      <c r="C739" s="33"/>
      <c r="H739" s="30"/>
      <c r="K739" s="31"/>
      <c r="T739" s="32"/>
      <c r="AA739" s="30"/>
      <c r="AF739" s="31"/>
    </row>
    <row r="740" spans="3:32" ht="15.75" customHeight="1" x14ac:dyDescent="0.25">
      <c r="C740" s="33"/>
      <c r="H740" s="30"/>
      <c r="K740" s="31"/>
      <c r="T740" s="32"/>
      <c r="AA740" s="30"/>
      <c r="AF740" s="31"/>
    </row>
    <row r="741" spans="3:32" ht="15.75" customHeight="1" x14ac:dyDescent="0.25">
      <c r="C741" s="33"/>
      <c r="H741" s="30"/>
      <c r="K741" s="31"/>
      <c r="T741" s="32"/>
      <c r="AA741" s="30"/>
      <c r="AF741" s="31"/>
    </row>
    <row r="742" spans="3:32" ht="15.75" customHeight="1" x14ac:dyDescent="0.25">
      <c r="C742" s="33"/>
      <c r="H742" s="30"/>
      <c r="K742" s="31"/>
      <c r="T742" s="32"/>
      <c r="AA742" s="30"/>
      <c r="AF742" s="31"/>
    </row>
    <row r="743" spans="3:32" ht="15.75" customHeight="1" x14ac:dyDescent="0.25">
      <c r="C743" s="33"/>
      <c r="H743" s="30"/>
      <c r="K743" s="31"/>
      <c r="T743" s="32"/>
      <c r="AA743" s="30"/>
      <c r="AF743" s="31"/>
    </row>
    <row r="744" spans="3:32" ht="15.75" customHeight="1" x14ac:dyDescent="0.25">
      <c r="C744" s="33"/>
      <c r="H744" s="30"/>
      <c r="K744" s="31"/>
      <c r="T744" s="32"/>
      <c r="AA744" s="30"/>
      <c r="AF744" s="31"/>
    </row>
    <row r="745" spans="3:32" ht="15.75" customHeight="1" x14ac:dyDescent="0.25">
      <c r="C745" s="33"/>
      <c r="H745" s="30"/>
      <c r="K745" s="31"/>
      <c r="T745" s="32"/>
      <c r="AA745" s="30"/>
      <c r="AF745" s="31"/>
    </row>
    <row r="746" spans="3:32" ht="15.75" customHeight="1" x14ac:dyDescent="0.25">
      <c r="C746" s="33"/>
      <c r="H746" s="30"/>
      <c r="K746" s="31"/>
      <c r="T746" s="32"/>
      <c r="AA746" s="30"/>
      <c r="AF746" s="31"/>
    </row>
    <row r="747" spans="3:32" ht="15.75" customHeight="1" x14ac:dyDescent="0.25">
      <c r="C747" s="33"/>
      <c r="H747" s="30"/>
      <c r="K747" s="31"/>
      <c r="T747" s="32"/>
      <c r="AA747" s="30"/>
      <c r="AF747" s="31"/>
    </row>
    <row r="748" spans="3:32" ht="15.75" customHeight="1" x14ac:dyDescent="0.25">
      <c r="C748" s="33"/>
      <c r="H748" s="30"/>
      <c r="K748" s="31"/>
      <c r="T748" s="32"/>
      <c r="AA748" s="30"/>
      <c r="AF748" s="31"/>
    </row>
    <row r="749" spans="3:32" ht="15.75" customHeight="1" x14ac:dyDescent="0.25">
      <c r="C749" s="33"/>
      <c r="H749" s="30"/>
      <c r="K749" s="31"/>
      <c r="T749" s="32"/>
      <c r="AA749" s="30"/>
      <c r="AF749" s="31"/>
    </row>
    <row r="750" spans="3:32" ht="15.75" customHeight="1" x14ac:dyDescent="0.25">
      <c r="C750" s="33"/>
      <c r="H750" s="30"/>
      <c r="K750" s="31"/>
      <c r="T750" s="32"/>
      <c r="AA750" s="30"/>
      <c r="AF750" s="31"/>
    </row>
    <row r="751" spans="3:32" ht="15.75" customHeight="1" x14ac:dyDescent="0.25">
      <c r="C751" s="33"/>
      <c r="H751" s="30"/>
      <c r="K751" s="31"/>
      <c r="T751" s="32"/>
      <c r="AA751" s="30"/>
      <c r="AF751" s="31"/>
    </row>
    <row r="752" spans="3:32" ht="15.75" customHeight="1" x14ac:dyDescent="0.25">
      <c r="C752" s="33"/>
      <c r="H752" s="30"/>
      <c r="K752" s="31"/>
      <c r="T752" s="32"/>
      <c r="AA752" s="30"/>
      <c r="AF752" s="31"/>
    </row>
    <row r="753" spans="3:32" ht="15.75" customHeight="1" x14ac:dyDescent="0.25">
      <c r="C753" s="33"/>
      <c r="H753" s="30"/>
      <c r="K753" s="31"/>
      <c r="T753" s="32"/>
      <c r="AA753" s="30"/>
      <c r="AF753" s="31"/>
    </row>
    <row r="754" spans="3:32" ht="15.75" customHeight="1" x14ac:dyDescent="0.25">
      <c r="C754" s="33"/>
      <c r="H754" s="30"/>
      <c r="K754" s="31"/>
      <c r="T754" s="32"/>
      <c r="AA754" s="30"/>
      <c r="AF754" s="31"/>
    </row>
    <row r="755" spans="3:32" ht="15.75" customHeight="1" x14ac:dyDescent="0.25">
      <c r="C755" s="33"/>
      <c r="H755" s="30"/>
      <c r="K755" s="31"/>
      <c r="T755" s="32"/>
      <c r="AA755" s="30"/>
      <c r="AF755" s="31"/>
    </row>
    <row r="756" spans="3:32" ht="15.75" customHeight="1" x14ac:dyDescent="0.25">
      <c r="C756" s="33"/>
      <c r="H756" s="30"/>
      <c r="K756" s="31"/>
      <c r="T756" s="32"/>
      <c r="AA756" s="30"/>
      <c r="AF756" s="31"/>
    </row>
    <row r="757" spans="3:32" ht="15.75" customHeight="1" x14ac:dyDescent="0.25">
      <c r="C757" s="33"/>
      <c r="H757" s="30"/>
      <c r="K757" s="31"/>
      <c r="T757" s="32"/>
      <c r="AA757" s="30"/>
      <c r="AF757" s="31"/>
    </row>
    <row r="758" spans="3:32" ht="15.75" customHeight="1" x14ac:dyDescent="0.25">
      <c r="C758" s="33"/>
      <c r="H758" s="30"/>
      <c r="K758" s="31"/>
      <c r="T758" s="32"/>
      <c r="AA758" s="30"/>
      <c r="AF758" s="31"/>
    </row>
    <row r="759" spans="3:32" ht="15.75" customHeight="1" x14ac:dyDescent="0.25">
      <c r="C759" s="33"/>
      <c r="H759" s="30"/>
      <c r="K759" s="31"/>
      <c r="T759" s="32"/>
      <c r="AA759" s="30"/>
      <c r="AF759" s="31"/>
    </row>
    <row r="760" spans="3:32" ht="15.75" customHeight="1" x14ac:dyDescent="0.25">
      <c r="C760" s="33"/>
      <c r="H760" s="30"/>
      <c r="K760" s="31"/>
      <c r="T760" s="32"/>
      <c r="AA760" s="30"/>
      <c r="AF760" s="31"/>
    </row>
    <row r="761" spans="3:32" ht="15.75" customHeight="1" x14ac:dyDescent="0.25">
      <c r="C761" s="33"/>
      <c r="H761" s="30"/>
      <c r="K761" s="31"/>
      <c r="T761" s="32"/>
      <c r="AA761" s="30"/>
      <c r="AF761" s="31"/>
    </row>
    <row r="762" spans="3:32" ht="15.75" customHeight="1" x14ac:dyDescent="0.25">
      <c r="C762" s="33"/>
      <c r="H762" s="30"/>
      <c r="K762" s="31"/>
      <c r="T762" s="32"/>
      <c r="AA762" s="30"/>
      <c r="AF762" s="31"/>
    </row>
    <row r="763" spans="3:32" ht="15.75" customHeight="1" x14ac:dyDescent="0.25">
      <c r="C763" s="33"/>
      <c r="H763" s="30"/>
      <c r="K763" s="31"/>
      <c r="T763" s="32"/>
      <c r="AA763" s="30"/>
      <c r="AF763" s="31"/>
    </row>
    <row r="764" spans="3:32" ht="15.75" customHeight="1" x14ac:dyDescent="0.25">
      <c r="C764" s="33"/>
      <c r="H764" s="30"/>
      <c r="K764" s="31"/>
      <c r="T764" s="32"/>
      <c r="AA764" s="30"/>
      <c r="AF764" s="31"/>
    </row>
    <row r="765" spans="3:32" ht="15.75" customHeight="1" x14ac:dyDescent="0.25">
      <c r="C765" s="33"/>
      <c r="H765" s="30"/>
      <c r="K765" s="31"/>
      <c r="T765" s="32"/>
      <c r="AA765" s="30"/>
      <c r="AF765" s="31"/>
    </row>
    <row r="766" spans="3:32" ht="15.75" customHeight="1" x14ac:dyDescent="0.25">
      <c r="C766" s="33"/>
      <c r="H766" s="30"/>
      <c r="K766" s="31"/>
      <c r="T766" s="32"/>
      <c r="AA766" s="30"/>
      <c r="AF766" s="31"/>
    </row>
    <row r="767" spans="3:32" ht="15.75" customHeight="1" x14ac:dyDescent="0.25">
      <c r="C767" s="33"/>
      <c r="H767" s="30"/>
      <c r="K767" s="31"/>
      <c r="T767" s="32"/>
      <c r="AA767" s="30"/>
      <c r="AF767" s="31"/>
    </row>
    <row r="768" spans="3:32" ht="15.75" customHeight="1" x14ac:dyDescent="0.25">
      <c r="C768" s="33"/>
      <c r="H768" s="30"/>
      <c r="K768" s="31"/>
      <c r="T768" s="32"/>
      <c r="AA768" s="30"/>
      <c r="AF768" s="31"/>
    </row>
    <row r="769" spans="3:32" ht="15.75" customHeight="1" x14ac:dyDescent="0.25">
      <c r="C769" s="33"/>
      <c r="H769" s="30"/>
      <c r="K769" s="31"/>
      <c r="T769" s="32"/>
      <c r="AA769" s="30"/>
      <c r="AF769" s="31"/>
    </row>
    <row r="770" spans="3:32" ht="15.75" customHeight="1" x14ac:dyDescent="0.25">
      <c r="C770" s="33"/>
      <c r="H770" s="30"/>
      <c r="K770" s="31"/>
      <c r="T770" s="32"/>
      <c r="AA770" s="30"/>
      <c r="AF770" s="31"/>
    </row>
    <row r="771" spans="3:32" ht="15.75" customHeight="1" x14ac:dyDescent="0.25">
      <c r="C771" s="33"/>
      <c r="H771" s="30"/>
      <c r="K771" s="31"/>
      <c r="T771" s="32"/>
      <c r="AA771" s="30"/>
      <c r="AF771" s="31"/>
    </row>
    <row r="772" spans="3:32" ht="15.75" customHeight="1" x14ac:dyDescent="0.25">
      <c r="C772" s="33"/>
      <c r="H772" s="30"/>
      <c r="K772" s="31"/>
      <c r="T772" s="32"/>
      <c r="AA772" s="30"/>
      <c r="AF772" s="31"/>
    </row>
    <row r="773" spans="3:32" ht="15.75" customHeight="1" x14ac:dyDescent="0.25">
      <c r="C773" s="33"/>
      <c r="H773" s="30"/>
      <c r="K773" s="31"/>
      <c r="T773" s="32"/>
      <c r="AA773" s="30"/>
      <c r="AF773" s="31"/>
    </row>
    <row r="774" spans="3:32" ht="15.75" customHeight="1" x14ac:dyDescent="0.25">
      <c r="C774" s="33"/>
      <c r="H774" s="30"/>
      <c r="K774" s="31"/>
      <c r="T774" s="32"/>
      <c r="AA774" s="30"/>
      <c r="AF774" s="31"/>
    </row>
    <row r="775" spans="3:32" ht="15.75" customHeight="1" x14ac:dyDescent="0.25">
      <c r="C775" s="33"/>
      <c r="H775" s="30"/>
      <c r="K775" s="31"/>
      <c r="T775" s="32"/>
      <c r="AA775" s="30"/>
      <c r="AF775" s="31"/>
    </row>
    <row r="776" spans="3:32" ht="15.75" customHeight="1" x14ac:dyDescent="0.25">
      <c r="C776" s="33"/>
      <c r="H776" s="30"/>
      <c r="K776" s="31"/>
      <c r="T776" s="32"/>
      <c r="AA776" s="30"/>
      <c r="AF776" s="31"/>
    </row>
    <row r="777" spans="3:32" ht="15.75" customHeight="1" x14ac:dyDescent="0.25">
      <c r="C777" s="33"/>
      <c r="H777" s="30"/>
      <c r="K777" s="31"/>
      <c r="T777" s="32"/>
      <c r="AA777" s="30"/>
      <c r="AF777" s="31"/>
    </row>
    <row r="778" spans="3:32" ht="15.75" customHeight="1" x14ac:dyDescent="0.25">
      <c r="C778" s="33"/>
      <c r="H778" s="30"/>
      <c r="K778" s="31"/>
      <c r="T778" s="32"/>
      <c r="AA778" s="30"/>
      <c r="AF778" s="31"/>
    </row>
    <row r="779" spans="3:32" ht="15.75" customHeight="1" x14ac:dyDescent="0.25">
      <c r="C779" s="33"/>
      <c r="H779" s="30"/>
      <c r="K779" s="31"/>
      <c r="T779" s="32"/>
      <c r="AA779" s="30"/>
      <c r="AF779" s="31"/>
    </row>
    <row r="780" spans="3:32" ht="15.75" customHeight="1" x14ac:dyDescent="0.25">
      <c r="C780" s="33"/>
      <c r="H780" s="30"/>
      <c r="K780" s="31"/>
      <c r="T780" s="32"/>
      <c r="AA780" s="30"/>
      <c r="AF780" s="31"/>
    </row>
    <row r="781" spans="3:32" ht="15.75" customHeight="1" x14ac:dyDescent="0.25">
      <c r="C781" s="33"/>
      <c r="H781" s="30"/>
      <c r="K781" s="31"/>
      <c r="T781" s="32"/>
      <c r="AA781" s="30"/>
      <c r="AF781" s="31"/>
    </row>
    <row r="782" spans="3:32" ht="15.75" customHeight="1" x14ac:dyDescent="0.25">
      <c r="C782" s="33"/>
      <c r="H782" s="30"/>
      <c r="K782" s="31"/>
      <c r="T782" s="32"/>
      <c r="AA782" s="30"/>
      <c r="AF782" s="31"/>
    </row>
    <row r="783" spans="3:32" ht="15.75" customHeight="1" x14ac:dyDescent="0.25">
      <c r="C783" s="33"/>
      <c r="H783" s="30"/>
      <c r="K783" s="31"/>
      <c r="T783" s="32"/>
      <c r="AA783" s="30"/>
      <c r="AF783" s="31"/>
    </row>
    <row r="784" spans="3:32" ht="15.75" customHeight="1" x14ac:dyDescent="0.25">
      <c r="C784" s="33"/>
      <c r="H784" s="30"/>
      <c r="K784" s="31"/>
      <c r="T784" s="32"/>
      <c r="AA784" s="30"/>
      <c r="AF784" s="31"/>
    </row>
    <row r="785" spans="3:32" ht="15.75" customHeight="1" x14ac:dyDescent="0.25">
      <c r="C785" s="33"/>
      <c r="H785" s="30"/>
      <c r="K785" s="31"/>
      <c r="T785" s="32"/>
      <c r="AA785" s="30"/>
      <c r="AF785" s="31"/>
    </row>
    <row r="786" spans="3:32" ht="15.75" customHeight="1" x14ac:dyDescent="0.25">
      <c r="C786" s="33"/>
      <c r="H786" s="30"/>
      <c r="K786" s="31"/>
      <c r="T786" s="32"/>
      <c r="AA786" s="30"/>
      <c r="AF786" s="31"/>
    </row>
    <row r="787" spans="3:32" ht="15.75" customHeight="1" x14ac:dyDescent="0.25">
      <c r="C787" s="33"/>
      <c r="H787" s="30"/>
      <c r="K787" s="31"/>
      <c r="T787" s="32"/>
      <c r="AA787" s="30"/>
      <c r="AF787" s="31"/>
    </row>
    <row r="788" spans="3:32" ht="15.75" customHeight="1" x14ac:dyDescent="0.25">
      <c r="C788" s="33"/>
      <c r="H788" s="30"/>
      <c r="K788" s="31"/>
      <c r="T788" s="32"/>
      <c r="AA788" s="30"/>
      <c r="AF788" s="31"/>
    </row>
    <row r="789" spans="3:32" ht="15.75" customHeight="1" x14ac:dyDescent="0.25">
      <c r="C789" s="33"/>
      <c r="H789" s="30"/>
      <c r="K789" s="31"/>
      <c r="T789" s="32"/>
      <c r="AA789" s="30"/>
      <c r="AF789" s="31"/>
    </row>
    <row r="790" spans="3:32" ht="15.75" customHeight="1" x14ac:dyDescent="0.25">
      <c r="C790" s="33"/>
      <c r="H790" s="30"/>
      <c r="K790" s="31"/>
      <c r="T790" s="32"/>
      <c r="AA790" s="30"/>
      <c r="AF790" s="31"/>
    </row>
    <row r="791" spans="3:32" ht="15.75" customHeight="1" x14ac:dyDescent="0.25">
      <c r="C791" s="33"/>
      <c r="H791" s="30"/>
      <c r="K791" s="31"/>
      <c r="T791" s="32"/>
      <c r="AA791" s="30"/>
      <c r="AF791" s="31"/>
    </row>
    <row r="792" spans="3:32" ht="15.75" customHeight="1" x14ac:dyDescent="0.25">
      <c r="C792" s="33"/>
      <c r="H792" s="30"/>
      <c r="K792" s="31"/>
      <c r="T792" s="32"/>
      <c r="AA792" s="30"/>
      <c r="AF792" s="31"/>
    </row>
    <row r="793" spans="3:32" ht="15.75" customHeight="1" x14ac:dyDescent="0.25">
      <c r="C793" s="33"/>
      <c r="H793" s="30"/>
      <c r="K793" s="31"/>
      <c r="T793" s="32"/>
      <c r="AA793" s="30"/>
      <c r="AF793" s="31"/>
    </row>
    <row r="794" spans="3:32" ht="15.75" customHeight="1" x14ac:dyDescent="0.25">
      <c r="C794" s="33"/>
      <c r="H794" s="30"/>
      <c r="K794" s="31"/>
      <c r="T794" s="32"/>
      <c r="AA794" s="30"/>
      <c r="AF794" s="31"/>
    </row>
    <row r="795" spans="3:32" ht="15.75" customHeight="1" x14ac:dyDescent="0.25">
      <c r="C795" s="33"/>
      <c r="H795" s="30"/>
      <c r="K795" s="31"/>
      <c r="T795" s="32"/>
      <c r="AA795" s="30"/>
      <c r="AF795" s="31"/>
    </row>
    <row r="796" spans="3:32" ht="15.75" customHeight="1" x14ac:dyDescent="0.25">
      <c r="C796" s="33"/>
      <c r="H796" s="30"/>
      <c r="K796" s="31"/>
      <c r="T796" s="32"/>
      <c r="AA796" s="30"/>
      <c r="AF796" s="31"/>
    </row>
    <row r="797" spans="3:32" ht="15.75" customHeight="1" x14ac:dyDescent="0.25">
      <c r="C797" s="33"/>
      <c r="H797" s="30"/>
      <c r="K797" s="31"/>
      <c r="T797" s="32"/>
      <c r="AA797" s="30"/>
      <c r="AF797" s="31"/>
    </row>
    <row r="798" spans="3:32" ht="15.75" customHeight="1" x14ac:dyDescent="0.25">
      <c r="C798" s="33"/>
      <c r="H798" s="30"/>
      <c r="K798" s="31"/>
      <c r="T798" s="32"/>
      <c r="AA798" s="30"/>
      <c r="AF798" s="31"/>
    </row>
    <row r="799" spans="3:32" ht="15.75" customHeight="1" x14ac:dyDescent="0.25">
      <c r="C799" s="33"/>
      <c r="H799" s="30"/>
      <c r="K799" s="31"/>
      <c r="T799" s="32"/>
      <c r="AA799" s="30"/>
      <c r="AF799" s="31"/>
    </row>
    <row r="800" spans="3:32" ht="15.75" customHeight="1" x14ac:dyDescent="0.25">
      <c r="C800" s="33"/>
      <c r="H800" s="30"/>
      <c r="K800" s="31"/>
      <c r="T800" s="32"/>
      <c r="AA800" s="30"/>
      <c r="AF800" s="31"/>
    </row>
    <row r="801" spans="3:32" ht="15.75" customHeight="1" x14ac:dyDescent="0.25">
      <c r="C801" s="33"/>
      <c r="H801" s="30"/>
      <c r="K801" s="31"/>
      <c r="T801" s="32"/>
      <c r="AA801" s="30"/>
      <c r="AF801" s="31"/>
    </row>
    <row r="802" spans="3:32" ht="15.75" customHeight="1" x14ac:dyDescent="0.25">
      <c r="C802" s="33"/>
      <c r="H802" s="30"/>
      <c r="K802" s="31"/>
      <c r="T802" s="32"/>
      <c r="AA802" s="30"/>
      <c r="AF802" s="31"/>
    </row>
    <row r="803" spans="3:32" ht="15.75" customHeight="1" x14ac:dyDescent="0.25">
      <c r="C803" s="33"/>
      <c r="H803" s="30"/>
      <c r="K803" s="31"/>
      <c r="T803" s="32"/>
      <c r="AA803" s="30"/>
      <c r="AF803" s="31"/>
    </row>
    <row r="804" spans="3:32" ht="15.75" customHeight="1" x14ac:dyDescent="0.25">
      <c r="C804" s="33"/>
      <c r="H804" s="30"/>
      <c r="K804" s="31"/>
      <c r="T804" s="32"/>
      <c r="AA804" s="30"/>
      <c r="AF804" s="31"/>
    </row>
    <row r="805" spans="3:32" ht="15.75" customHeight="1" x14ac:dyDescent="0.25">
      <c r="C805" s="33"/>
      <c r="H805" s="30"/>
      <c r="K805" s="31"/>
      <c r="T805" s="32"/>
      <c r="AA805" s="30"/>
      <c r="AF805" s="31"/>
    </row>
    <row r="806" spans="3:32" ht="15.75" customHeight="1" x14ac:dyDescent="0.25">
      <c r="C806" s="33"/>
      <c r="H806" s="30"/>
      <c r="K806" s="31"/>
      <c r="T806" s="32"/>
      <c r="AA806" s="30"/>
      <c r="AF806" s="31"/>
    </row>
    <row r="807" spans="3:32" ht="15.75" customHeight="1" x14ac:dyDescent="0.25">
      <c r="C807" s="33"/>
      <c r="H807" s="30"/>
      <c r="K807" s="31"/>
      <c r="T807" s="32"/>
      <c r="AA807" s="30"/>
      <c r="AF807" s="31"/>
    </row>
    <row r="808" spans="3:32" ht="15.75" customHeight="1" x14ac:dyDescent="0.25">
      <c r="C808" s="33"/>
      <c r="H808" s="30"/>
      <c r="K808" s="31"/>
      <c r="T808" s="32"/>
      <c r="AA808" s="30"/>
      <c r="AF808" s="31"/>
    </row>
    <row r="809" spans="3:32" ht="15.75" customHeight="1" x14ac:dyDescent="0.25">
      <c r="C809" s="33"/>
      <c r="H809" s="30"/>
      <c r="K809" s="31"/>
      <c r="T809" s="32"/>
      <c r="AA809" s="30"/>
      <c r="AF809" s="31"/>
    </row>
    <row r="810" spans="3:32" ht="15.75" customHeight="1" x14ac:dyDescent="0.25">
      <c r="C810" s="33"/>
      <c r="H810" s="30"/>
      <c r="K810" s="31"/>
      <c r="T810" s="32"/>
      <c r="AA810" s="30"/>
      <c r="AF810" s="31"/>
    </row>
    <row r="811" spans="3:32" ht="15.75" customHeight="1" x14ac:dyDescent="0.25">
      <c r="C811" s="33"/>
      <c r="H811" s="30"/>
      <c r="K811" s="31"/>
      <c r="T811" s="32"/>
      <c r="AA811" s="30"/>
      <c r="AF811" s="31"/>
    </row>
    <row r="812" spans="3:32" ht="15.75" customHeight="1" x14ac:dyDescent="0.25">
      <c r="C812" s="33"/>
      <c r="H812" s="30"/>
      <c r="K812" s="31"/>
      <c r="T812" s="32"/>
      <c r="AA812" s="30"/>
      <c r="AF812" s="31"/>
    </row>
    <row r="813" spans="3:32" ht="15.75" customHeight="1" x14ac:dyDescent="0.25">
      <c r="C813" s="33"/>
      <c r="H813" s="30"/>
      <c r="K813" s="31"/>
      <c r="T813" s="32"/>
      <c r="AA813" s="30"/>
      <c r="AF813" s="31"/>
    </row>
    <row r="814" spans="3:32" ht="15.75" customHeight="1" x14ac:dyDescent="0.25">
      <c r="C814" s="33"/>
      <c r="H814" s="30"/>
      <c r="K814" s="31"/>
      <c r="T814" s="32"/>
      <c r="AA814" s="30"/>
      <c r="AF814" s="31"/>
    </row>
    <row r="815" spans="3:32" ht="15.75" customHeight="1" x14ac:dyDescent="0.25">
      <c r="C815" s="33"/>
      <c r="H815" s="30"/>
      <c r="K815" s="31"/>
      <c r="T815" s="32"/>
      <c r="AA815" s="30"/>
      <c r="AF815" s="31"/>
    </row>
    <row r="816" spans="3:32" ht="15.75" customHeight="1" x14ac:dyDescent="0.25">
      <c r="C816" s="33"/>
      <c r="H816" s="30"/>
      <c r="K816" s="31"/>
      <c r="T816" s="32"/>
      <c r="AA816" s="30"/>
      <c r="AF816" s="31"/>
    </row>
    <row r="817" spans="3:32" ht="15.75" customHeight="1" x14ac:dyDescent="0.25">
      <c r="C817" s="33"/>
      <c r="H817" s="30"/>
      <c r="K817" s="31"/>
      <c r="T817" s="32"/>
      <c r="AA817" s="30"/>
      <c r="AF817" s="31"/>
    </row>
    <row r="818" spans="3:32" ht="15.75" customHeight="1" x14ac:dyDescent="0.25">
      <c r="C818" s="33"/>
      <c r="H818" s="30"/>
      <c r="K818" s="31"/>
      <c r="T818" s="32"/>
      <c r="AA818" s="30"/>
      <c r="AF818" s="31"/>
    </row>
    <row r="819" spans="3:32" ht="15.75" customHeight="1" x14ac:dyDescent="0.25">
      <c r="C819" s="33"/>
      <c r="H819" s="30"/>
      <c r="K819" s="31"/>
      <c r="T819" s="32"/>
      <c r="AA819" s="30"/>
      <c r="AF819" s="31"/>
    </row>
    <row r="820" spans="3:32" ht="15.75" customHeight="1" x14ac:dyDescent="0.25">
      <c r="C820" s="33"/>
      <c r="H820" s="30"/>
      <c r="K820" s="31"/>
      <c r="T820" s="32"/>
      <c r="AA820" s="30"/>
      <c r="AF820" s="31"/>
    </row>
    <row r="821" spans="3:32" ht="15.75" customHeight="1" x14ac:dyDescent="0.25">
      <c r="C821" s="33"/>
      <c r="H821" s="30"/>
      <c r="K821" s="31"/>
      <c r="T821" s="32"/>
      <c r="AA821" s="30"/>
      <c r="AF821" s="31"/>
    </row>
    <row r="822" spans="3:32" ht="15.75" customHeight="1" x14ac:dyDescent="0.25">
      <c r="C822" s="33"/>
      <c r="H822" s="30"/>
      <c r="K822" s="31"/>
      <c r="T822" s="32"/>
      <c r="AA822" s="30"/>
      <c r="AF822" s="31"/>
    </row>
    <row r="823" spans="3:32" ht="15.75" customHeight="1" x14ac:dyDescent="0.25">
      <c r="C823" s="33"/>
      <c r="H823" s="30"/>
      <c r="K823" s="31"/>
      <c r="T823" s="32"/>
      <c r="AA823" s="30"/>
      <c r="AF823" s="31"/>
    </row>
    <row r="824" spans="3:32" ht="15.75" customHeight="1" x14ac:dyDescent="0.25">
      <c r="C824" s="33"/>
      <c r="H824" s="30"/>
      <c r="K824" s="31"/>
      <c r="T824" s="32"/>
      <c r="AA824" s="30"/>
      <c r="AF824" s="31"/>
    </row>
    <row r="825" spans="3:32" ht="15.75" customHeight="1" x14ac:dyDescent="0.25">
      <c r="C825" s="33"/>
      <c r="H825" s="30"/>
      <c r="K825" s="31"/>
      <c r="T825" s="32"/>
      <c r="AA825" s="30"/>
      <c r="AF825" s="31"/>
    </row>
    <row r="826" spans="3:32" ht="15.75" customHeight="1" x14ac:dyDescent="0.25">
      <c r="C826" s="33"/>
      <c r="H826" s="30"/>
      <c r="K826" s="31"/>
      <c r="T826" s="32"/>
      <c r="AA826" s="30"/>
      <c r="AF826" s="31"/>
    </row>
    <row r="827" spans="3:32" ht="15.75" customHeight="1" x14ac:dyDescent="0.25">
      <c r="C827" s="33"/>
      <c r="H827" s="30"/>
      <c r="K827" s="31"/>
      <c r="T827" s="32"/>
      <c r="AA827" s="30"/>
      <c r="AF827" s="31"/>
    </row>
    <row r="828" spans="3:32" ht="15.75" customHeight="1" x14ac:dyDescent="0.25">
      <c r="C828" s="33"/>
      <c r="H828" s="30"/>
      <c r="K828" s="31"/>
      <c r="T828" s="32"/>
      <c r="AA828" s="30"/>
      <c r="AF828" s="31"/>
    </row>
    <row r="829" spans="3:32" ht="15.75" customHeight="1" x14ac:dyDescent="0.25">
      <c r="C829" s="33"/>
      <c r="H829" s="30"/>
      <c r="K829" s="31"/>
      <c r="T829" s="32"/>
      <c r="AA829" s="30"/>
      <c r="AF829" s="31"/>
    </row>
    <row r="830" spans="3:32" ht="15.75" customHeight="1" x14ac:dyDescent="0.25">
      <c r="C830" s="33"/>
      <c r="H830" s="30"/>
      <c r="K830" s="31"/>
      <c r="T830" s="32"/>
      <c r="AA830" s="30"/>
      <c r="AF830" s="31"/>
    </row>
    <row r="831" spans="3:32" ht="15.75" customHeight="1" x14ac:dyDescent="0.25">
      <c r="C831" s="33"/>
      <c r="H831" s="30"/>
      <c r="K831" s="31"/>
      <c r="T831" s="32"/>
      <c r="AA831" s="30"/>
      <c r="AF831" s="31"/>
    </row>
    <row r="832" spans="3:32" ht="15.75" customHeight="1" x14ac:dyDescent="0.25">
      <c r="C832" s="33"/>
      <c r="H832" s="30"/>
      <c r="K832" s="31"/>
      <c r="T832" s="32"/>
      <c r="AA832" s="30"/>
      <c r="AF832" s="31"/>
    </row>
    <row r="833" spans="3:32" ht="15.75" customHeight="1" x14ac:dyDescent="0.25">
      <c r="C833" s="33"/>
      <c r="H833" s="30"/>
      <c r="K833" s="31"/>
      <c r="T833" s="32"/>
      <c r="AA833" s="30"/>
      <c r="AF833" s="31"/>
    </row>
    <row r="834" spans="3:32" ht="15.75" customHeight="1" x14ac:dyDescent="0.25">
      <c r="C834" s="33"/>
      <c r="H834" s="30"/>
      <c r="K834" s="31"/>
      <c r="T834" s="32"/>
      <c r="AA834" s="30"/>
      <c r="AF834" s="31"/>
    </row>
    <row r="835" spans="3:32" ht="15.75" customHeight="1" x14ac:dyDescent="0.25">
      <c r="C835" s="33"/>
      <c r="H835" s="30"/>
      <c r="K835" s="31"/>
      <c r="T835" s="32"/>
      <c r="AA835" s="30"/>
      <c r="AF835" s="31"/>
    </row>
    <row r="836" spans="3:32" ht="15.75" customHeight="1" x14ac:dyDescent="0.25">
      <c r="C836" s="33"/>
      <c r="H836" s="30"/>
      <c r="K836" s="31"/>
      <c r="T836" s="32"/>
      <c r="AA836" s="30"/>
      <c r="AF836" s="31"/>
    </row>
    <row r="837" spans="3:32" ht="15.75" customHeight="1" x14ac:dyDescent="0.25">
      <c r="C837" s="33"/>
      <c r="H837" s="30"/>
      <c r="K837" s="31"/>
      <c r="T837" s="32"/>
      <c r="AA837" s="30"/>
      <c r="AF837" s="31"/>
    </row>
    <row r="838" spans="3:32" ht="15.75" customHeight="1" x14ac:dyDescent="0.25">
      <c r="C838" s="33"/>
      <c r="H838" s="30"/>
      <c r="K838" s="31"/>
      <c r="T838" s="32"/>
      <c r="AA838" s="30"/>
      <c r="AF838" s="31"/>
    </row>
    <row r="839" spans="3:32" ht="15.75" customHeight="1" x14ac:dyDescent="0.25">
      <c r="C839" s="33"/>
      <c r="H839" s="30"/>
      <c r="K839" s="31"/>
      <c r="T839" s="32"/>
      <c r="AA839" s="30"/>
      <c r="AF839" s="31"/>
    </row>
    <row r="840" spans="3:32" ht="15.75" customHeight="1" x14ac:dyDescent="0.25">
      <c r="C840" s="33"/>
      <c r="H840" s="30"/>
      <c r="K840" s="31"/>
      <c r="T840" s="32"/>
      <c r="AA840" s="30"/>
      <c r="AF840" s="31"/>
    </row>
    <row r="841" spans="3:32" ht="15.75" customHeight="1" x14ac:dyDescent="0.25">
      <c r="C841" s="33"/>
      <c r="H841" s="30"/>
      <c r="K841" s="31"/>
      <c r="T841" s="32"/>
      <c r="AA841" s="30"/>
      <c r="AF841" s="31"/>
    </row>
    <row r="842" spans="3:32" ht="15.75" customHeight="1" x14ac:dyDescent="0.25">
      <c r="C842" s="33"/>
      <c r="H842" s="30"/>
      <c r="K842" s="31"/>
      <c r="T842" s="32"/>
      <c r="AA842" s="30"/>
      <c r="AF842" s="31"/>
    </row>
    <row r="843" spans="3:32" ht="15.75" customHeight="1" x14ac:dyDescent="0.25">
      <c r="C843" s="33"/>
      <c r="H843" s="30"/>
      <c r="K843" s="31"/>
      <c r="T843" s="32"/>
      <c r="AA843" s="30"/>
      <c r="AF843" s="31"/>
    </row>
    <row r="844" spans="3:32" ht="15.75" customHeight="1" x14ac:dyDescent="0.25">
      <c r="C844" s="33"/>
      <c r="H844" s="30"/>
      <c r="K844" s="31"/>
      <c r="T844" s="32"/>
      <c r="AA844" s="30"/>
      <c r="AF844" s="31"/>
    </row>
    <row r="845" spans="3:32" ht="15.75" customHeight="1" x14ac:dyDescent="0.25">
      <c r="C845" s="33"/>
      <c r="H845" s="30"/>
      <c r="K845" s="31"/>
      <c r="T845" s="32"/>
      <c r="AA845" s="30"/>
      <c r="AF845" s="31"/>
    </row>
    <row r="846" spans="3:32" ht="15.75" customHeight="1" x14ac:dyDescent="0.25">
      <c r="C846" s="33"/>
      <c r="H846" s="30"/>
      <c r="K846" s="31"/>
      <c r="T846" s="32"/>
      <c r="AA846" s="30"/>
      <c r="AF846" s="31"/>
    </row>
    <row r="847" spans="3:32" ht="15.75" customHeight="1" x14ac:dyDescent="0.25">
      <c r="C847" s="33"/>
      <c r="H847" s="30"/>
      <c r="K847" s="31"/>
      <c r="T847" s="32"/>
      <c r="AA847" s="30"/>
      <c r="AF847" s="31"/>
    </row>
    <row r="848" spans="3:32" ht="15.75" customHeight="1" x14ac:dyDescent="0.25">
      <c r="C848" s="33"/>
      <c r="H848" s="30"/>
      <c r="K848" s="31"/>
      <c r="T848" s="32"/>
      <c r="AA848" s="30"/>
      <c r="AF848" s="31"/>
    </row>
    <row r="849" spans="3:32" ht="15.75" customHeight="1" x14ac:dyDescent="0.25">
      <c r="C849" s="33"/>
      <c r="H849" s="30"/>
      <c r="K849" s="31"/>
      <c r="T849" s="32"/>
      <c r="AA849" s="30"/>
      <c r="AF849" s="31"/>
    </row>
    <row r="850" spans="3:32" ht="15.75" customHeight="1" x14ac:dyDescent="0.25">
      <c r="C850" s="33"/>
      <c r="H850" s="30"/>
      <c r="K850" s="31"/>
      <c r="T850" s="32"/>
      <c r="AA850" s="30"/>
      <c r="AF850" s="31"/>
    </row>
    <row r="851" spans="3:32" ht="15.75" customHeight="1" x14ac:dyDescent="0.25">
      <c r="C851" s="33"/>
      <c r="H851" s="30"/>
      <c r="K851" s="31"/>
      <c r="T851" s="32"/>
      <c r="AA851" s="30"/>
      <c r="AF851" s="31"/>
    </row>
    <row r="852" spans="3:32" ht="15.75" customHeight="1" x14ac:dyDescent="0.25">
      <c r="C852" s="33"/>
      <c r="H852" s="30"/>
      <c r="K852" s="31"/>
      <c r="T852" s="32"/>
      <c r="AA852" s="30"/>
      <c r="AF852" s="31"/>
    </row>
    <row r="853" spans="3:32" ht="15.75" customHeight="1" x14ac:dyDescent="0.25">
      <c r="C853" s="33"/>
      <c r="H853" s="30"/>
      <c r="K853" s="31"/>
      <c r="T853" s="32"/>
      <c r="AA853" s="30"/>
      <c r="AF853" s="31"/>
    </row>
    <row r="854" spans="3:32" ht="15.75" customHeight="1" x14ac:dyDescent="0.25">
      <c r="C854" s="33"/>
      <c r="H854" s="30"/>
      <c r="K854" s="31"/>
      <c r="T854" s="32"/>
      <c r="AA854" s="30"/>
      <c r="AF854" s="31"/>
    </row>
    <row r="855" spans="3:32" ht="15.75" customHeight="1" x14ac:dyDescent="0.25">
      <c r="C855" s="33"/>
      <c r="H855" s="30"/>
      <c r="K855" s="31"/>
      <c r="T855" s="32"/>
      <c r="AA855" s="30"/>
      <c r="AF855" s="31"/>
    </row>
    <row r="856" spans="3:32" ht="15.75" customHeight="1" x14ac:dyDescent="0.25">
      <c r="C856" s="33"/>
      <c r="H856" s="30"/>
      <c r="K856" s="31"/>
      <c r="T856" s="32"/>
      <c r="AA856" s="30"/>
      <c r="AF856" s="31"/>
    </row>
    <row r="857" spans="3:32" ht="15.75" customHeight="1" x14ac:dyDescent="0.25">
      <c r="C857" s="33"/>
      <c r="H857" s="30"/>
      <c r="K857" s="31"/>
      <c r="T857" s="32"/>
      <c r="AA857" s="30"/>
      <c r="AF857" s="31"/>
    </row>
    <row r="858" spans="3:32" ht="15.75" customHeight="1" x14ac:dyDescent="0.25">
      <c r="C858" s="33"/>
      <c r="H858" s="30"/>
      <c r="K858" s="31"/>
      <c r="T858" s="32"/>
      <c r="AA858" s="30"/>
      <c r="AF858" s="31"/>
    </row>
    <row r="859" spans="3:32" ht="15.75" customHeight="1" x14ac:dyDescent="0.25">
      <c r="C859" s="33"/>
      <c r="H859" s="30"/>
      <c r="K859" s="31"/>
      <c r="T859" s="32"/>
      <c r="AA859" s="30"/>
      <c r="AF859" s="31"/>
    </row>
    <row r="860" spans="3:32" ht="15.75" customHeight="1" x14ac:dyDescent="0.25">
      <c r="C860" s="33"/>
      <c r="H860" s="30"/>
      <c r="K860" s="31"/>
      <c r="T860" s="32"/>
      <c r="AA860" s="30"/>
      <c r="AF860" s="31"/>
    </row>
    <row r="861" spans="3:32" ht="15.75" customHeight="1" x14ac:dyDescent="0.25">
      <c r="C861" s="33"/>
      <c r="H861" s="30"/>
      <c r="K861" s="31"/>
      <c r="T861" s="32"/>
      <c r="AA861" s="30"/>
      <c r="AF861" s="31"/>
    </row>
    <row r="862" spans="3:32" ht="15.75" customHeight="1" x14ac:dyDescent="0.25">
      <c r="C862" s="33"/>
      <c r="H862" s="30"/>
      <c r="K862" s="31"/>
      <c r="T862" s="32"/>
      <c r="AA862" s="30"/>
      <c r="AF862" s="31"/>
    </row>
    <row r="863" spans="3:32" ht="15.75" customHeight="1" x14ac:dyDescent="0.25">
      <c r="C863" s="33"/>
      <c r="H863" s="30"/>
      <c r="K863" s="31"/>
      <c r="T863" s="32"/>
      <c r="AA863" s="30"/>
      <c r="AF863" s="31"/>
    </row>
    <row r="864" spans="3:32" ht="15.75" customHeight="1" x14ac:dyDescent="0.25">
      <c r="C864" s="33"/>
      <c r="H864" s="30"/>
      <c r="K864" s="31"/>
      <c r="T864" s="32"/>
      <c r="AA864" s="30"/>
      <c r="AF864" s="31"/>
    </row>
    <row r="865" spans="3:32" ht="15.75" customHeight="1" x14ac:dyDescent="0.25">
      <c r="C865" s="33"/>
      <c r="H865" s="30"/>
      <c r="K865" s="31"/>
      <c r="T865" s="32"/>
      <c r="AA865" s="30"/>
      <c r="AF865" s="31"/>
    </row>
    <row r="866" spans="3:32" ht="15.75" customHeight="1" x14ac:dyDescent="0.25">
      <c r="C866" s="33"/>
      <c r="H866" s="30"/>
      <c r="K866" s="31"/>
      <c r="T866" s="32"/>
      <c r="AA866" s="30"/>
      <c r="AF866" s="31"/>
    </row>
    <row r="867" spans="3:32" ht="15.75" customHeight="1" x14ac:dyDescent="0.25">
      <c r="C867" s="33"/>
      <c r="H867" s="30"/>
      <c r="K867" s="31"/>
      <c r="T867" s="32"/>
      <c r="AA867" s="30"/>
      <c r="AF867" s="31"/>
    </row>
    <row r="868" spans="3:32" ht="15.75" customHeight="1" x14ac:dyDescent="0.25">
      <c r="C868" s="33"/>
      <c r="H868" s="30"/>
      <c r="K868" s="31"/>
      <c r="T868" s="32"/>
      <c r="AA868" s="30"/>
      <c r="AF868" s="31"/>
    </row>
    <row r="869" spans="3:32" ht="15.75" customHeight="1" x14ac:dyDescent="0.25">
      <c r="C869" s="33"/>
      <c r="H869" s="30"/>
      <c r="K869" s="31"/>
      <c r="T869" s="32"/>
      <c r="AA869" s="30"/>
      <c r="AF869" s="31"/>
    </row>
    <row r="870" spans="3:32" ht="15.75" customHeight="1" x14ac:dyDescent="0.25">
      <c r="C870" s="33"/>
      <c r="H870" s="30"/>
      <c r="K870" s="31"/>
      <c r="T870" s="32"/>
      <c r="AA870" s="30"/>
      <c r="AF870" s="31"/>
    </row>
    <row r="871" spans="3:32" ht="15.75" customHeight="1" x14ac:dyDescent="0.25">
      <c r="C871" s="33"/>
      <c r="H871" s="30"/>
      <c r="K871" s="31"/>
      <c r="T871" s="32"/>
      <c r="AA871" s="30"/>
      <c r="AF871" s="31"/>
    </row>
    <row r="872" spans="3:32" ht="15.75" customHeight="1" x14ac:dyDescent="0.25">
      <c r="C872" s="33"/>
      <c r="H872" s="30"/>
      <c r="K872" s="31"/>
      <c r="T872" s="32"/>
      <c r="AA872" s="30"/>
      <c r="AF872" s="31"/>
    </row>
    <row r="873" spans="3:32" ht="15.75" customHeight="1" x14ac:dyDescent="0.25">
      <c r="C873" s="33"/>
      <c r="H873" s="30"/>
      <c r="K873" s="31"/>
      <c r="T873" s="32"/>
      <c r="AA873" s="30"/>
      <c r="AF873" s="31"/>
    </row>
    <row r="874" spans="3:32" ht="15.75" customHeight="1" x14ac:dyDescent="0.25">
      <c r="C874" s="33"/>
      <c r="H874" s="30"/>
      <c r="K874" s="31"/>
      <c r="T874" s="32"/>
      <c r="AA874" s="30"/>
      <c r="AF874" s="31"/>
    </row>
    <row r="875" spans="3:32" ht="15.75" customHeight="1" x14ac:dyDescent="0.25">
      <c r="C875" s="33"/>
      <c r="H875" s="30"/>
      <c r="K875" s="31"/>
      <c r="T875" s="32"/>
      <c r="AA875" s="30"/>
      <c r="AF875" s="31"/>
    </row>
    <row r="876" spans="3:32" ht="15.75" customHeight="1" x14ac:dyDescent="0.25">
      <c r="C876" s="33"/>
      <c r="H876" s="30"/>
      <c r="K876" s="31"/>
      <c r="T876" s="32"/>
      <c r="AA876" s="30"/>
      <c r="AF876" s="31"/>
    </row>
    <row r="877" spans="3:32" ht="15.75" customHeight="1" x14ac:dyDescent="0.25">
      <c r="C877" s="33"/>
      <c r="H877" s="30"/>
      <c r="K877" s="31"/>
      <c r="T877" s="32"/>
      <c r="AA877" s="30"/>
      <c r="AF877" s="31"/>
    </row>
    <row r="878" spans="3:32" ht="15.75" customHeight="1" x14ac:dyDescent="0.25">
      <c r="C878" s="33"/>
      <c r="H878" s="30"/>
      <c r="K878" s="31"/>
      <c r="T878" s="32"/>
      <c r="AA878" s="30"/>
      <c r="AF878" s="31"/>
    </row>
    <row r="879" spans="3:32" ht="15.75" customHeight="1" x14ac:dyDescent="0.25">
      <c r="C879" s="33"/>
      <c r="H879" s="30"/>
      <c r="K879" s="31"/>
      <c r="T879" s="32"/>
      <c r="AA879" s="30"/>
      <c r="AF879" s="31"/>
    </row>
    <row r="880" spans="3:32" ht="15.75" customHeight="1" x14ac:dyDescent="0.25">
      <c r="C880" s="33"/>
      <c r="H880" s="30"/>
      <c r="K880" s="31"/>
      <c r="T880" s="32"/>
      <c r="AA880" s="30"/>
      <c r="AF880" s="31"/>
    </row>
    <row r="881" spans="3:32" ht="15.75" customHeight="1" x14ac:dyDescent="0.25">
      <c r="C881" s="33"/>
      <c r="H881" s="30"/>
      <c r="K881" s="31"/>
      <c r="T881" s="32"/>
      <c r="AA881" s="30"/>
      <c r="AF881" s="31"/>
    </row>
    <row r="882" spans="3:32" ht="15.75" customHeight="1" x14ac:dyDescent="0.25">
      <c r="C882" s="33"/>
      <c r="H882" s="30"/>
      <c r="K882" s="31"/>
      <c r="T882" s="32"/>
      <c r="AA882" s="30"/>
      <c r="AF882" s="31"/>
    </row>
    <row r="883" spans="3:32" ht="15.75" customHeight="1" x14ac:dyDescent="0.25">
      <c r="C883" s="33"/>
      <c r="H883" s="30"/>
      <c r="K883" s="31"/>
      <c r="T883" s="32"/>
      <c r="AA883" s="30"/>
      <c r="AF883" s="31"/>
    </row>
    <row r="884" spans="3:32" ht="15.75" customHeight="1" x14ac:dyDescent="0.25">
      <c r="C884" s="33"/>
      <c r="H884" s="30"/>
      <c r="K884" s="31"/>
      <c r="T884" s="32"/>
      <c r="AA884" s="30"/>
      <c r="AF884" s="31"/>
    </row>
    <row r="885" spans="3:32" ht="15.75" customHeight="1" x14ac:dyDescent="0.25">
      <c r="C885" s="33"/>
      <c r="H885" s="30"/>
      <c r="K885" s="31"/>
      <c r="T885" s="32"/>
      <c r="AA885" s="30"/>
      <c r="AF885" s="31"/>
    </row>
    <row r="886" spans="3:32" ht="15.75" customHeight="1" x14ac:dyDescent="0.25">
      <c r="C886" s="33"/>
      <c r="H886" s="30"/>
      <c r="K886" s="31"/>
      <c r="T886" s="32"/>
      <c r="AA886" s="30"/>
      <c r="AF886" s="31"/>
    </row>
    <row r="887" spans="3:32" ht="15.75" customHeight="1" x14ac:dyDescent="0.25">
      <c r="C887" s="33"/>
      <c r="H887" s="30"/>
      <c r="K887" s="31"/>
      <c r="T887" s="32"/>
      <c r="AA887" s="30"/>
      <c r="AF887" s="31"/>
    </row>
    <row r="888" spans="3:32" ht="15.75" customHeight="1" x14ac:dyDescent="0.25">
      <c r="C888" s="33"/>
      <c r="H888" s="30"/>
      <c r="K888" s="31"/>
      <c r="T888" s="32"/>
      <c r="AA888" s="30"/>
      <c r="AF888" s="31"/>
    </row>
    <row r="889" spans="3:32" ht="15.75" customHeight="1" x14ac:dyDescent="0.25">
      <c r="C889" s="33"/>
      <c r="H889" s="30"/>
      <c r="K889" s="31"/>
      <c r="T889" s="32"/>
      <c r="AA889" s="30"/>
      <c r="AF889" s="31"/>
    </row>
    <row r="890" spans="3:32" ht="15.75" customHeight="1" x14ac:dyDescent="0.25">
      <c r="C890" s="33"/>
      <c r="H890" s="30"/>
      <c r="K890" s="31"/>
      <c r="T890" s="32"/>
      <c r="AA890" s="30"/>
      <c r="AF890" s="31"/>
    </row>
    <row r="891" spans="3:32" ht="15.75" customHeight="1" x14ac:dyDescent="0.25">
      <c r="C891" s="33"/>
      <c r="H891" s="30"/>
      <c r="K891" s="31"/>
      <c r="T891" s="32"/>
      <c r="AA891" s="30"/>
      <c r="AF891" s="31"/>
    </row>
    <row r="892" spans="3:32" ht="15.75" customHeight="1" x14ac:dyDescent="0.25">
      <c r="C892" s="33"/>
      <c r="H892" s="30"/>
      <c r="K892" s="31"/>
      <c r="T892" s="32"/>
      <c r="AA892" s="30"/>
      <c r="AF892" s="31"/>
    </row>
    <row r="893" spans="3:32" ht="15.75" customHeight="1" x14ac:dyDescent="0.25">
      <c r="C893" s="33"/>
      <c r="H893" s="30"/>
      <c r="K893" s="31"/>
      <c r="T893" s="32"/>
      <c r="AA893" s="30"/>
      <c r="AF893" s="31"/>
    </row>
    <row r="894" spans="3:32" ht="15.75" customHeight="1" x14ac:dyDescent="0.25">
      <c r="C894" s="33"/>
      <c r="H894" s="30"/>
      <c r="K894" s="31"/>
      <c r="T894" s="32"/>
      <c r="AA894" s="30"/>
      <c r="AF894" s="31"/>
    </row>
    <row r="895" spans="3:32" ht="15.75" customHeight="1" x14ac:dyDescent="0.25">
      <c r="C895" s="33"/>
      <c r="H895" s="30"/>
      <c r="K895" s="31"/>
      <c r="T895" s="32"/>
      <c r="AA895" s="30"/>
      <c r="AF895" s="31"/>
    </row>
    <row r="896" spans="3:32" ht="15.75" customHeight="1" x14ac:dyDescent="0.25">
      <c r="C896" s="33"/>
      <c r="H896" s="30"/>
      <c r="K896" s="31"/>
      <c r="T896" s="32"/>
      <c r="AA896" s="30"/>
      <c r="AF896" s="31"/>
    </row>
    <row r="897" spans="3:32" ht="15.75" customHeight="1" x14ac:dyDescent="0.25">
      <c r="C897" s="33"/>
      <c r="H897" s="30"/>
      <c r="K897" s="31"/>
      <c r="T897" s="32"/>
      <c r="AA897" s="30"/>
      <c r="AF897" s="31"/>
    </row>
    <row r="898" spans="3:32" ht="15.75" customHeight="1" x14ac:dyDescent="0.25">
      <c r="C898" s="33"/>
      <c r="H898" s="30"/>
      <c r="K898" s="31"/>
      <c r="T898" s="32"/>
      <c r="AA898" s="30"/>
      <c r="AF898" s="31"/>
    </row>
    <row r="899" spans="3:32" ht="15.75" customHeight="1" x14ac:dyDescent="0.25">
      <c r="C899" s="33"/>
      <c r="H899" s="30"/>
      <c r="K899" s="31"/>
      <c r="T899" s="32"/>
      <c r="AA899" s="30"/>
      <c r="AF899" s="31"/>
    </row>
    <row r="900" spans="3:32" ht="15.75" customHeight="1" x14ac:dyDescent="0.25">
      <c r="C900" s="33"/>
      <c r="H900" s="30"/>
      <c r="K900" s="31"/>
      <c r="T900" s="32"/>
      <c r="AA900" s="30"/>
      <c r="AF900" s="31"/>
    </row>
    <row r="901" spans="3:32" ht="15.75" customHeight="1" x14ac:dyDescent="0.25">
      <c r="C901" s="33"/>
      <c r="H901" s="30"/>
      <c r="K901" s="31"/>
      <c r="T901" s="32"/>
      <c r="AA901" s="30"/>
      <c r="AF901" s="31"/>
    </row>
    <row r="902" spans="3:32" ht="15.75" customHeight="1" x14ac:dyDescent="0.25">
      <c r="C902" s="33"/>
      <c r="H902" s="30"/>
      <c r="K902" s="31"/>
      <c r="T902" s="32"/>
      <c r="AA902" s="30"/>
      <c r="AF902" s="31"/>
    </row>
    <row r="903" spans="3:32" ht="15.75" customHeight="1" x14ac:dyDescent="0.25">
      <c r="C903" s="33"/>
      <c r="H903" s="30"/>
      <c r="K903" s="31"/>
      <c r="T903" s="32"/>
      <c r="AA903" s="30"/>
      <c r="AF903" s="31"/>
    </row>
    <row r="904" spans="3:32" ht="15.75" customHeight="1" x14ac:dyDescent="0.25">
      <c r="C904" s="33"/>
      <c r="H904" s="30"/>
      <c r="K904" s="31"/>
      <c r="T904" s="32"/>
      <c r="AA904" s="30"/>
      <c r="AF904" s="31"/>
    </row>
    <row r="905" spans="3:32" ht="15.75" customHeight="1" x14ac:dyDescent="0.25">
      <c r="C905" s="33"/>
      <c r="H905" s="30"/>
      <c r="K905" s="31"/>
      <c r="T905" s="32"/>
      <c r="AA905" s="30"/>
      <c r="AF905" s="31"/>
    </row>
    <row r="906" spans="3:32" ht="15.75" customHeight="1" x14ac:dyDescent="0.25">
      <c r="C906" s="33"/>
      <c r="H906" s="30"/>
      <c r="K906" s="31"/>
      <c r="T906" s="32"/>
      <c r="AA906" s="30"/>
      <c r="AF906" s="31"/>
    </row>
    <row r="907" spans="3:32" ht="15.75" customHeight="1" x14ac:dyDescent="0.25">
      <c r="C907" s="33"/>
      <c r="H907" s="30"/>
      <c r="K907" s="31"/>
      <c r="T907" s="32"/>
      <c r="AA907" s="30"/>
      <c r="AF907" s="31"/>
    </row>
    <row r="908" spans="3:32" ht="15.75" customHeight="1" x14ac:dyDescent="0.25">
      <c r="C908" s="33"/>
      <c r="H908" s="30"/>
      <c r="K908" s="31"/>
      <c r="T908" s="32"/>
      <c r="AA908" s="30"/>
      <c r="AF908" s="31"/>
    </row>
    <row r="909" spans="3:32" ht="15.75" customHeight="1" x14ac:dyDescent="0.25">
      <c r="C909" s="33"/>
      <c r="H909" s="30"/>
      <c r="K909" s="31"/>
      <c r="T909" s="32"/>
      <c r="AA909" s="30"/>
      <c r="AF909" s="31"/>
    </row>
    <row r="910" spans="3:32" ht="15.75" customHeight="1" x14ac:dyDescent="0.25">
      <c r="C910" s="33"/>
      <c r="H910" s="30"/>
      <c r="K910" s="31"/>
      <c r="T910" s="32"/>
      <c r="AA910" s="30"/>
      <c r="AF910" s="31"/>
    </row>
    <row r="911" spans="3:32" ht="15.75" customHeight="1" x14ac:dyDescent="0.25">
      <c r="C911" s="33"/>
      <c r="H911" s="30"/>
      <c r="K911" s="31"/>
      <c r="T911" s="32"/>
      <c r="AA911" s="30"/>
      <c r="AF911" s="31"/>
    </row>
    <row r="912" spans="3:32" ht="15.75" customHeight="1" x14ac:dyDescent="0.25">
      <c r="C912" s="33"/>
      <c r="H912" s="30"/>
      <c r="K912" s="31"/>
      <c r="T912" s="32"/>
      <c r="AA912" s="30"/>
      <c r="AF912" s="31"/>
    </row>
    <row r="913" spans="3:32" ht="15.75" customHeight="1" x14ac:dyDescent="0.25">
      <c r="C913" s="33"/>
      <c r="H913" s="30"/>
      <c r="K913" s="31"/>
      <c r="T913" s="32"/>
      <c r="AA913" s="30"/>
      <c r="AF913" s="31"/>
    </row>
    <row r="914" spans="3:32" ht="15.75" customHeight="1" x14ac:dyDescent="0.25">
      <c r="C914" s="33"/>
      <c r="H914" s="30"/>
      <c r="K914" s="31"/>
      <c r="T914" s="32"/>
      <c r="AA914" s="30"/>
      <c r="AF914" s="31"/>
    </row>
    <row r="915" spans="3:32" ht="15.75" customHeight="1" x14ac:dyDescent="0.25">
      <c r="C915" s="33"/>
      <c r="H915" s="30"/>
      <c r="K915" s="31"/>
      <c r="T915" s="32"/>
      <c r="AA915" s="30"/>
      <c r="AF915" s="31"/>
    </row>
    <row r="916" spans="3:32" ht="15.75" customHeight="1" x14ac:dyDescent="0.25">
      <c r="C916" s="33"/>
      <c r="H916" s="30"/>
      <c r="K916" s="31"/>
      <c r="T916" s="32"/>
      <c r="AA916" s="30"/>
      <c r="AF916" s="31"/>
    </row>
    <row r="917" spans="3:32" ht="15.75" customHeight="1" x14ac:dyDescent="0.25">
      <c r="C917" s="33"/>
      <c r="H917" s="30"/>
      <c r="K917" s="31"/>
      <c r="T917" s="32"/>
      <c r="AA917" s="30"/>
      <c r="AF917" s="31"/>
    </row>
    <row r="918" spans="3:32" ht="15.75" customHeight="1" x14ac:dyDescent="0.25">
      <c r="C918" s="33"/>
      <c r="H918" s="30"/>
      <c r="K918" s="31"/>
      <c r="T918" s="32"/>
      <c r="AA918" s="30"/>
      <c r="AF918" s="31"/>
    </row>
    <row r="919" spans="3:32" ht="15.75" customHeight="1" x14ac:dyDescent="0.25">
      <c r="C919" s="33"/>
      <c r="H919" s="30"/>
      <c r="K919" s="31"/>
      <c r="T919" s="32"/>
      <c r="AA919" s="30"/>
      <c r="AF919" s="31"/>
    </row>
    <row r="920" spans="3:32" ht="15.75" customHeight="1" x14ac:dyDescent="0.25">
      <c r="C920" s="33"/>
      <c r="H920" s="30"/>
      <c r="K920" s="31"/>
      <c r="T920" s="32"/>
      <c r="AA920" s="30"/>
      <c r="AF920" s="31"/>
    </row>
    <row r="921" spans="3:32" ht="15.75" customHeight="1" x14ac:dyDescent="0.25">
      <c r="C921" s="33"/>
      <c r="H921" s="30"/>
      <c r="K921" s="31"/>
      <c r="T921" s="32"/>
      <c r="AA921" s="30"/>
      <c r="AF921" s="31"/>
    </row>
    <row r="922" spans="3:32" ht="15.75" customHeight="1" x14ac:dyDescent="0.25">
      <c r="C922" s="33"/>
      <c r="H922" s="30"/>
      <c r="K922" s="31"/>
      <c r="T922" s="32"/>
      <c r="AA922" s="30"/>
      <c r="AF922" s="31"/>
    </row>
    <row r="923" spans="3:32" ht="15.75" customHeight="1" x14ac:dyDescent="0.25">
      <c r="C923" s="33"/>
      <c r="H923" s="30"/>
      <c r="K923" s="31"/>
      <c r="T923" s="32"/>
      <c r="AA923" s="30"/>
      <c r="AF923" s="31"/>
    </row>
    <row r="924" spans="3:32" ht="15.75" customHeight="1" x14ac:dyDescent="0.25">
      <c r="C924" s="33"/>
      <c r="H924" s="30"/>
      <c r="K924" s="31"/>
      <c r="T924" s="32"/>
      <c r="AA924" s="30"/>
      <c r="AF924" s="31"/>
    </row>
    <row r="925" spans="3:32" ht="15.75" customHeight="1" x14ac:dyDescent="0.25">
      <c r="C925" s="33"/>
      <c r="H925" s="30"/>
      <c r="K925" s="31"/>
      <c r="T925" s="32"/>
      <c r="AA925" s="30"/>
      <c r="AF925" s="31"/>
    </row>
    <row r="926" spans="3:32" ht="15.75" customHeight="1" x14ac:dyDescent="0.25">
      <c r="C926" s="33"/>
      <c r="H926" s="30"/>
      <c r="K926" s="31"/>
      <c r="T926" s="32"/>
      <c r="AA926" s="30"/>
      <c r="AF926" s="31"/>
    </row>
    <row r="927" spans="3:32" ht="15.75" customHeight="1" x14ac:dyDescent="0.25">
      <c r="C927" s="33"/>
      <c r="H927" s="30"/>
      <c r="K927" s="31"/>
      <c r="T927" s="32"/>
      <c r="AA927" s="30"/>
      <c r="AF927" s="31"/>
    </row>
    <row r="928" spans="3:32" ht="15.75" customHeight="1" x14ac:dyDescent="0.25">
      <c r="C928" s="33"/>
      <c r="H928" s="30"/>
      <c r="K928" s="31"/>
      <c r="T928" s="32"/>
      <c r="AA928" s="30"/>
      <c r="AF928" s="31"/>
    </row>
    <row r="929" spans="3:32" ht="15.75" customHeight="1" x14ac:dyDescent="0.25">
      <c r="C929" s="33"/>
      <c r="H929" s="30"/>
      <c r="K929" s="31"/>
      <c r="T929" s="32"/>
      <c r="AA929" s="30"/>
      <c r="AF929" s="31"/>
    </row>
    <row r="930" spans="3:32" ht="15.75" customHeight="1" x14ac:dyDescent="0.25">
      <c r="C930" s="33"/>
      <c r="H930" s="30"/>
      <c r="K930" s="31"/>
      <c r="T930" s="32"/>
      <c r="AA930" s="30"/>
      <c r="AF930" s="31"/>
    </row>
    <row r="931" spans="3:32" ht="15.75" customHeight="1" x14ac:dyDescent="0.25">
      <c r="C931" s="33"/>
      <c r="H931" s="30"/>
      <c r="K931" s="31"/>
      <c r="T931" s="32"/>
      <c r="AA931" s="30"/>
      <c r="AF931" s="31"/>
    </row>
    <row r="932" spans="3:32" ht="15.75" customHeight="1" x14ac:dyDescent="0.25">
      <c r="C932" s="33"/>
      <c r="H932" s="30"/>
      <c r="K932" s="31"/>
      <c r="T932" s="32"/>
      <c r="AA932" s="30"/>
      <c r="AF932" s="31"/>
    </row>
    <row r="933" spans="3:32" ht="15.75" customHeight="1" x14ac:dyDescent="0.25">
      <c r="C933" s="33"/>
      <c r="H933" s="30"/>
      <c r="K933" s="31"/>
      <c r="T933" s="32"/>
      <c r="AA933" s="30"/>
      <c r="AF933" s="31"/>
    </row>
    <row r="934" spans="3:32" ht="15.75" customHeight="1" x14ac:dyDescent="0.25">
      <c r="C934" s="33"/>
      <c r="H934" s="30"/>
      <c r="K934" s="31"/>
      <c r="T934" s="32"/>
      <c r="AA934" s="30"/>
      <c r="AF934" s="31"/>
    </row>
    <row r="935" spans="3:32" ht="15.75" customHeight="1" x14ac:dyDescent="0.25">
      <c r="C935" s="33"/>
      <c r="H935" s="30"/>
      <c r="K935" s="31"/>
      <c r="T935" s="32"/>
      <c r="AA935" s="30"/>
      <c r="AF935" s="31"/>
    </row>
    <row r="936" spans="3:32" ht="15.75" customHeight="1" x14ac:dyDescent="0.25">
      <c r="C936" s="33"/>
      <c r="H936" s="30"/>
      <c r="K936" s="31"/>
      <c r="T936" s="32"/>
      <c r="AA936" s="30"/>
      <c r="AF936" s="31"/>
    </row>
    <row r="937" spans="3:32" ht="15.75" customHeight="1" x14ac:dyDescent="0.25">
      <c r="C937" s="33"/>
      <c r="H937" s="30"/>
      <c r="K937" s="31"/>
      <c r="T937" s="32"/>
      <c r="AA937" s="30"/>
      <c r="AF937" s="31"/>
    </row>
    <row r="938" spans="3:32" ht="15.75" customHeight="1" x14ac:dyDescent="0.25">
      <c r="C938" s="33"/>
      <c r="H938" s="30"/>
      <c r="K938" s="31"/>
      <c r="T938" s="32"/>
      <c r="AA938" s="30"/>
      <c r="AF938" s="31"/>
    </row>
    <row r="939" spans="3:32" ht="15.75" customHeight="1" x14ac:dyDescent="0.25">
      <c r="C939" s="33"/>
      <c r="H939" s="30"/>
      <c r="K939" s="31"/>
      <c r="T939" s="32"/>
      <c r="AA939" s="30"/>
      <c r="AF939" s="31"/>
    </row>
    <row r="940" spans="3:32" ht="15.75" customHeight="1" x14ac:dyDescent="0.25">
      <c r="C940" s="33"/>
      <c r="H940" s="30"/>
      <c r="K940" s="31"/>
      <c r="T940" s="32"/>
      <c r="AA940" s="30"/>
      <c r="AF940" s="31"/>
    </row>
    <row r="941" spans="3:32" ht="15.75" customHeight="1" x14ac:dyDescent="0.25">
      <c r="C941" s="33"/>
      <c r="H941" s="30"/>
      <c r="K941" s="31"/>
      <c r="T941" s="32"/>
      <c r="AA941" s="30"/>
      <c r="AF941" s="31"/>
    </row>
    <row r="942" spans="3:32" ht="15.75" customHeight="1" x14ac:dyDescent="0.25">
      <c r="C942" s="33"/>
      <c r="H942" s="30"/>
      <c r="K942" s="31"/>
      <c r="T942" s="32"/>
      <c r="AA942" s="30"/>
      <c r="AF942" s="31"/>
    </row>
    <row r="943" spans="3:32" ht="15.75" customHeight="1" x14ac:dyDescent="0.25">
      <c r="C943" s="33"/>
      <c r="H943" s="30"/>
      <c r="K943" s="31"/>
      <c r="T943" s="32"/>
      <c r="AA943" s="30"/>
      <c r="AF943" s="31"/>
    </row>
    <row r="944" spans="3:32" ht="15.75" customHeight="1" x14ac:dyDescent="0.25">
      <c r="C944" s="33"/>
      <c r="H944" s="30"/>
      <c r="K944" s="31"/>
      <c r="T944" s="32"/>
      <c r="AA944" s="30"/>
      <c r="AF944" s="31"/>
    </row>
    <row r="945" spans="3:32" ht="15.75" customHeight="1" x14ac:dyDescent="0.25">
      <c r="C945" s="33"/>
      <c r="H945" s="30"/>
      <c r="K945" s="31"/>
      <c r="T945" s="32"/>
      <c r="AA945" s="30"/>
      <c r="AF945" s="31"/>
    </row>
    <row r="946" spans="3:32" ht="15.75" customHeight="1" x14ac:dyDescent="0.25">
      <c r="C946" s="33"/>
      <c r="H946" s="30"/>
      <c r="K946" s="31"/>
      <c r="T946" s="32"/>
      <c r="AA946" s="30"/>
      <c r="AF946" s="31"/>
    </row>
    <row r="947" spans="3:32" ht="15.75" customHeight="1" x14ac:dyDescent="0.25">
      <c r="C947" s="33"/>
      <c r="H947" s="30"/>
      <c r="K947" s="31"/>
      <c r="T947" s="32"/>
      <c r="AA947" s="30"/>
      <c r="AF947" s="31"/>
    </row>
    <row r="948" spans="3:32" ht="15.75" customHeight="1" x14ac:dyDescent="0.25">
      <c r="C948" s="33"/>
      <c r="H948" s="30"/>
      <c r="K948" s="31"/>
      <c r="T948" s="32"/>
      <c r="AA948" s="30"/>
      <c r="AF948" s="31"/>
    </row>
    <row r="949" spans="3:32" ht="15.75" customHeight="1" x14ac:dyDescent="0.25">
      <c r="C949" s="33"/>
      <c r="H949" s="30"/>
      <c r="K949" s="31"/>
      <c r="T949" s="32"/>
      <c r="AA949" s="30"/>
      <c r="AF949" s="31"/>
    </row>
    <row r="950" spans="3:32" ht="15.75" customHeight="1" x14ac:dyDescent="0.25">
      <c r="C950" s="33"/>
      <c r="H950" s="30"/>
      <c r="K950" s="31"/>
      <c r="T950" s="32"/>
      <c r="AA950" s="30"/>
      <c r="AF950" s="31"/>
    </row>
    <row r="951" spans="3:32" ht="15.75" customHeight="1" x14ac:dyDescent="0.25">
      <c r="C951" s="33"/>
      <c r="H951" s="30"/>
      <c r="K951" s="31"/>
      <c r="T951" s="32"/>
      <c r="AA951" s="30"/>
      <c r="AF951" s="31"/>
    </row>
    <row r="952" spans="3:32" ht="15.75" customHeight="1" x14ac:dyDescent="0.25">
      <c r="C952" s="33"/>
      <c r="H952" s="30"/>
      <c r="K952" s="31"/>
      <c r="T952" s="32"/>
      <c r="AA952" s="30"/>
      <c r="AF952" s="31"/>
    </row>
    <row r="953" spans="3:32" ht="15.75" customHeight="1" x14ac:dyDescent="0.25">
      <c r="C953" s="33"/>
      <c r="H953" s="30"/>
      <c r="K953" s="31"/>
      <c r="T953" s="32"/>
      <c r="AA953" s="30"/>
      <c r="AF953" s="31"/>
    </row>
    <row r="954" spans="3:32" ht="15.75" customHeight="1" x14ac:dyDescent="0.25">
      <c r="C954" s="33"/>
      <c r="H954" s="30"/>
      <c r="K954" s="31"/>
      <c r="T954" s="32"/>
      <c r="AA954" s="30"/>
      <c r="AF954" s="31"/>
    </row>
    <row r="955" spans="3:32" ht="15.75" customHeight="1" x14ac:dyDescent="0.25">
      <c r="C955" s="33"/>
      <c r="H955" s="30"/>
      <c r="K955" s="31"/>
      <c r="T955" s="32"/>
      <c r="AA955" s="30"/>
      <c r="AF955" s="31"/>
    </row>
    <row r="956" spans="3:32" ht="15.75" customHeight="1" x14ac:dyDescent="0.25">
      <c r="C956" s="33"/>
      <c r="H956" s="30"/>
      <c r="K956" s="31"/>
      <c r="T956" s="32"/>
      <c r="AA956" s="30"/>
      <c r="AF956" s="31"/>
    </row>
    <row r="957" spans="3:32" ht="15.75" customHeight="1" x14ac:dyDescent="0.25">
      <c r="C957" s="33"/>
      <c r="H957" s="30"/>
      <c r="K957" s="31"/>
      <c r="T957" s="32"/>
      <c r="AA957" s="30"/>
      <c r="AF957" s="31"/>
    </row>
    <row r="958" spans="3:32" ht="15.75" customHeight="1" x14ac:dyDescent="0.25">
      <c r="C958" s="33"/>
      <c r="H958" s="30"/>
      <c r="K958" s="31"/>
      <c r="T958" s="32"/>
      <c r="AA958" s="30"/>
      <c r="AF958" s="31"/>
    </row>
    <row r="959" spans="3:32" ht="15.75" customHeight="1" x14ac:dyDescent="0.25">
      <c r="C959" s="33"/>
      <c r="H959" s="30"/>
      <c r="K959" s="31"/>
      <c r="T959" s="32"/>
      <c r="AA959" s="30"/>
      <c r="AF959" s="31"/>
    </row>
    <row r="960" spans="3:32" ht="15.75" customHeight="1" x14ac:dyDescent="0.25">
      <c r="C960" s="33"/>
      <c r="H960" s="30"/>
      <c r="K960" s="31"/>
      <c r="T960" s="32"/>
      <c r="AA960" s="30"/>
      <c r="AF960" s="31"/>
    </row>
    <row r="961" spans="3:32" ht="15.75" customHeight="1" x14ac:dyDescent="0.25">
      <c r="C961" s="33"/>
      <c r="H961" s="30"/>
      <c r="K961" s="31"/>
      <c r="T961" s="32"/>
      <c r="AA961" s="30"/>
      <c r="AF961" s="31"/>
    </row>
    <row r="962" spans="3:32" ht="15.75" customHeight="1" x14ac:dyDescent="0.25">
      <c r="C962" s="33"/>
      <c r="H962" s="30"/>
      <c r="K962" s="31"/>
      <c r="T962" s="32"/>
      <c r="AA962" s="30"/>
      <c r="AF962" s="31"/>
    </row>
    <row r="963" spans="3:32" ht="15.75" customHeight="1" x14ac:dyDescent="0.25">
      <c r="C963" s="33"/>
      <c r="H963" s="30"/>
      <c r="K963" s="31"/>
      <c r="T963" s="32"/>
      <c r="AA963" s="30"/>
      <c r="AF963" s="31"/>
    </row>
    <row r="964" spans="3:32" ht="15.75" customHeight="1" x14ac:dyDescent="0.25">
      <c r="C964" s="33"/>
      <c r="H964" s="30"/>
      <c r="K964" s="31"/>
      <c r="T964" s="32"/>
      <c r="AA964" s="30"/>
      <c r="AF964" s="31"/>
    </row>
    <row r="965" spans="3:32" ht="15.75" customHeight="1" x14ac:dyDescent="0.25">
      <c r="C965" s="33"/>
      <c r="H965" s="30"/>
      <c r="K965" s="31"/>
      <c r="T965" s="32"/>
      <c r="AA965" s="30"/>
      <c r="AF965" s="31"/>
    </row>
    <row r="966" spans="3:32" ht="15.75" customHeight="1" x14ac:dyDescent="0.25">
      <c r="C966" s="33"/>
      <c r="H966" s="30"/>
      <c r="K966" s="31"/>
      <c r="T966" s="32"/>
      <c r="AA966" s="30"/>
      <c r="AF966" s="31"/>
    </row>
    <row r="967" spans="3:32" ht="15.75" customHeight="1" x14ac:dyDescent="0.25">
      <c r="C967" s="33"/>
      <c r="H967" s="30"/>
      <c r="K967" s="31"/>
      <c r="T967" s="32"/>
      <c r="AA967" s="30"/>
      <c r="AF967" s="31"/>
    </row>
    <row r="968" spans="3:32" ht="15.75" customHeight="1" x14ac:dyDescent="0.25">
      <c r="C968" s="33"/>
      <c r="H968" s="30"/>
      <c r="K968" s="31"/>
      <c r="T968" s="32"/>
      <c r="AA968" s="30"/>
      <c r="AF968" s="31"/>
    </row>
    <row r="969" spans="3:32" ht="15.75" customHeight="1" x14ac:dyDescent="0.25">
      <c r="C969" s="33"/>
      <c r="H969" s="30"/>
      <c r="K969" s="31"/>
      <c r="T969" s="32"/>
      <c r="AA969" s="30"/>
      <c r="AF969" s="31"/>
    </row>
    <row r="970" spans="3:32" ht="15.75" customHeight="1" x14ac:dyDescent="0.25">
      <c r="C970" s="33"/>
      <c r="H970" s="30"/>
      <c r="K970" s="31"/>
      <c r="T970" s="32"/>
      <c r="AA970" s="30"/>
      <c r="AF970" s="31"/>
    </row>
    <row r="971" spans="3:32" ht="15.75" customHeight="1" x14ac:dyDescent="0.25">
      <c r="C971" s="33"/>
      <c r="H971" s="30"/>
      <c r="K971" s="31"/>
      <c r="T971" s="32"/>
      <c r="AA971" s="30"/>
      <c r="AF971" s="31"/>
    </row>
    <row r="972" spans="3:32" ht="15.75" customHeight="1" x14ac:dyDescent="0.25">
      <c r="C972" s="33"/>
      <c r="H972" s="30"/>
      <c r="K972" s="31"/>
      <c r="T972" s="32"/>
      <c r="AA972" s="30"/>
      <c r="AF972" s="31"/>
    </row>
    <row r="973" spans="3:32" ht="15.75" customHeight="1" x14ac:dyDescent="0.25">
      <c r="C973" s="33"/>
      <c r="H973" s="30"/>
      <c r="K973" s="31"/>
      <c r="T973" s="32"/>
      <c r="AA973" s="30"/>
      <c r="AF973" s="31"/>
    </row>
    <row r="974" spans="3:32" ht="15.75" customHeight="1" x14ac:dyDescent="0.25">
      <c r="C974" s="33"/>
      <c r="H974" s="30"/>
      <c r="K974" s="31"/>
      <c r="T974" s="32"/>
      <c r="AA974" s="30"/>
      <c r="AF974" s="31"/>
    </row>
    <row r="975" spans="3:32" ht="15.75" customHeight="1" x14ac:dyDescent="0.25">
      <c r="C975" s="33"/>
      <c r="H975" s="30"/>
      <c r="K975" s="31"/>
      <c r="T975" s="32"/>
      <c r="AA975" s="30"/>
      <c r="AF975" s="31"/>
    </row>
    <row r="976" spans="3:32" ht="15.75" customHeight="1" x14ac:dyDescent="0.25">
      <c r="C976" s="33"/>
      <c r="H976" s="30"/>
      <c r="K976" s="31"/>
      <c r="T976" s="32"/>
      <c r="AA976" s="30"/>
      <c r="AF976" s="31"/>
    </row>
    <row r="977" spans="3:32" ht="15.75" customHeight="1" x14ac:dyDescent="0.25">
      <c r="C977" s="33"/>
      <c r="H977" s="30"/>
      <c r="K977" s="31"/>
      <c r="T977" s="32"/>
      <c r="AA977" s="30"/>
      <c r="AF977" s="31"/>
    </row>
    <row r="978" spans="3:32" ht="15.75" customHeight="1" x14ac:dyDescent="0.25">
      <c r="C978" s="33"/>
      <c r="H978" s="30"/>
      <c r="K978" s="31"/>
      <c r="T978" s="32"/>
      <c r="AA978" s="30"/>
      <c r="AF978" s="31"/>
    </row>
    <row r="979" spans="3:32" ht="15.75" customHeight="1" x14ac:dyDescent="0.25">
      <c r="C979" s="33"/>
      <c r="H979" s="30"/>
      <c r="K979" s="31"/>
      <c r="T979" s="32"/>
      <c r="AA979" s="30"/>
      <c r="AF979" s="31"/>
    </row>
    <row r="980" spans="3:32" ht="15.75" customHeight="1" x14ac:dyDescent="0.25">
      <c r="C980" s="33"/>
      <c r="H980" s="30"/>
      <c r="K980" s="31"/>
      <c r="T980" s="32"/>
      <c r="AA980" s="30"/>
      <c r="AF980" s="31"/>
    </row>
    <row r="981" spans="3:32" ht="15.75" customHeight="1" x14ac:dyDescent="0.25">
      <c r="C981" s="33"/>
      <c r="H981" s="30"/>
      <c r="K981" s="31"/>
      <c r="T981" s="32"/>
      <c r="AA981" s="30"/>
      <c r="AF981" s="31"/>
    </row>
    <row r="982" spans="3:32" ht="15.75" customHeight="1" x14ac:dyDescent="0.25">
      <c r="C982" s="33"/>
      <c r="H982" s="30"/>
      <c r="K982" s="31"/>
      <c r="T982" s="32"/>
      <c r="AA982" s="30"/>
      <c r="AF982" s="31"/>
    </row>
    <row r="983" spans="3:32" ht="15.75" customHeight="1" x14ac:dyDescent="0.25">
      <c r="C983" s="33"/>
      <c r="H983" s="30"/>
      <c r="K983" s="31"/>
      <c r="T983" s="32"/>
      <c r="AA983" s="30"/>
      <c r="AF983" s="31"/>
    </row>
    <row r="984" spans="3:32" ht="15.75" customHeight="1" x14ac:dyDescent="0.25">
      <c r="C984" s="33"/>
      <c r="H984" s="30"/>
      <c r="K984" s="31"/>
      <c r="T984" s="32"/>
      <c r="AA984" s="30"/>
      <c r="AF984" s="31"/>
    </row>
    <row r="985" spans="3:32" ht="15.75" customHeight="1" x14ac:dyDescent="0.25">
      <c r="C985" s="33"/>
      <c r="H985" s="30"/>
      <c r="K985" s="31"/>
      <c r="T985" s="32"/>
      <c r="AA985" s="30"/>
      <c r="AF985" s="31"/>
    </row>
    <row r="986" spans="3:32" ht="15.75" customHeight="1" x14ac:dyDescent="0.25">
      <c r="C986" s="33"/>
      <c r="H986" s="30"/>
      <c r="K986" s="31"/>
      <c r="T986" s="32"/>
      <c r="AA986" s="30"/>
      <c r="AF986" s="31"/>
    </row>
    <row r="987" spans="3:32" ht="15.75" customHeight="1" x14ac:dyDescent="0.25">
      <c r="C987" s="33"/>
      <c r="H987" s="30"/>
      <c r="K987" s="31"/>
      <c r="T987" s="32"/>
      <c r="AA987" s="30"/>
      <c r="AF987" s="31"/>
    </row>
    <row r="988" spans="3:32" ht="15.75" customHeight="1" x14ac:dyDescent="0.25">
      <c r="C988" s="33"/>
      <c r="H988" s="30"/>
      <c r="K988" s="31"/>
      <c r="T988" s="32"/>
      <c r="AA988" s="30"/>
      <c r="AF988" s="31"/>
    </row>
    <row r="989" spans="3:32" ht="15.75" customHeight="1" x14ac:dyDescent="0.25">
      <c r="C989" s="33"/>
      <c r="H989" s="30"/>
      <c r="K989" s="31"/>
      <c r="T989" s="32"/>
      <c r="AA989" s="30"/>
      <c r="AF989" s="31"/>
    </row>
    <row r="990" spans="3:32" ht="15.75" customHeight="1" x14ac:dyDescent="0.25">
      <c r="C990" s="33"/>
      <c r="H990" s="30"/>
      <c r="K990" s="31"/>
      <c r="T990" s="32"/>
      <c r="AA990" s="30"/>
      <c r="AF990" s="31"/>
    </row>
    <row r="991" spans="3:32" ht="15.75" customHeight="1" x14ac:dyDescent="0.25">
      <c r="C991" s="33"/>
      <c r="H991" s="30"/>
      <c r="K991" s="31"/>
      <c r="T991" s="32"/>
      <c r="AA991" s="30"/>
      <c r="AF991" s="31"/>
    </row>
    <row r="992" spans="3:32" ht="15.75" customHeight="1" x14ac:dyDescent="0.25">
      <c r="C992" s="33"/>
      <c r="H992" s="30"/>
      <c r="K992" s="31"/>
      <c r="T992" s="32"/>
      <c r="AA992" s="30"/>
      <c r="AF992" s="31"/>
    </row>
    <row r="993" spans="3:32" ht="15.75" customHeight="1" x14ac:dyDescent="0.25">
      <c r="C993" s="33"/>
      <c r="H993" s="30"/>
      <c r="K993" s="31"/>
      <c r="T993" s="32"/>
      <c r="AA993" s="30"/>
      <c r="AF993" s="31"/>
    </row>
    <row r="994" spans="3:32" ht="15.75" customHeight="1" x14ac:dyDescent="0.25">
      <c r="C994" s="33"/>
      <c r="H994" s="30"/>
      <c r="K994" s="31"/>
      <c r="T994" s="32"/>
      <c r="AA994" s="30"/>
      <c r="AF994" s="31"/>
    </row>
    <row r="995" spans="3:32" ht="15.75" customHeight="1" x14ac:dyDescent="0.25">
      <c r="C995" s="33"/>
      <c r="H995" s="30"/>
      <c r="K995" s="31"/>
      <c r="T995" s="32"/>
      <c r="AA995" s="30"/>
      <c r="AF995" s="31"/>
    </row>
    <row r="996" spans="3:32" ht="15.75" customHeight="1" x14ac:dyDescent="0.25">
      <c r="C996" s="33"/>
      <c r="H996" s="30"/>
      <c r="K996" s="31"/>
      <c r="T996" s="32"/>
      <c r="AA996" s="30"/>
      <c r="AF996" s="31"/>
    </row>
    <row r="997" spans="3:32" ht="15.75" customHeight="1" x14ac:dyDescent="0.25">
      <c r="C997" s="33"/>
      <c r="H997" s="30"/>
      <c r="K997" s="31"/>
      <c r="T997" s="32"/>
      <c r="AA997" s="30"/>
      <c r="AF997" s="31"/>
    </row>
    <row r="998" spans="3:32" ht="15.75" customHeight="1" x14ac:dyDescent="0.25">
      <c r="C998" s="33"/>
      <c r="H998" s="30"/>
      <c r="K998" s="31"/>
      <c r="T998" s="32"/>
      <c r="AA998" s="30"/>
      <c r="AF998" s="31"/>
    </row>
    <row r="999" spans="3:32" ht="15.75" customHeight="1" x14ac:dyDescent="0.25">
      <c r="C999" s="33"/>
      <c r="H999" s="30"/>
      <c r="K999" s="31"/>
      <c r="T999" s="32"/>
      <c r="AA999" s="30"/>
      <c r="AF999" s="31"/>
    </row>
    <row r="1000" spans="3:32" ht="15.75" customHeight="1" x14ac:dyDescent="0.25">
      <c r="C1000" s="33"/>
      <c r="H1000" s="30"/>
      <c r="K1000" s="31"/>
      <c r="T1000" s="32"/>
      <c r="AA1000" s="30"/>
      <c r="AF1000" s="31"/>
    </row>
    <row r="1001" spans="3:32" ht="15.75" customHeight="1" x14ac:dyDescent="0.25">
      <c r="C1001" s="33"/>
      <c r="H1001" s="30"/>
      <c r="K1001" s="31"/>
      <c r="T1001" s="32"/>
      <c r="AA1001" s="30"/>
      <c r="AF1001" s="31"/>
    </row>
    <row r="1002" spans="3:32" ht="15.75" customHeight="1" x14ac:dyDescent="0.25">
      <c r="C1002" s="33"/>
      <c r="H1002" s="30"/>
      <c r="K1002" s="31"/>
      <c r="T1002" s="32"/>
      <c r="AA1002" s="30"/>
      <c r="AF1002" s="31"/>
    </row>
    <row r="1003" spans="3:32" ht="15.75" customHeight="1" x14ac:dyDescent="0.25">
      <c r="C1003" s="33"/>
      <c r="H1003" s="30"/>
      <c r="K1003" s="31"/>
      <c r="T1003" s="32"/>
      <c r="AA1003" s="30"/>
      <c r="AF1003" s="31"/>
    </row>
    <row r="1004" spans="3:32" ht="15.75" customHeight="1" x14ac:dyDescent="0.25">
      <c r="C1004" s="33"/>
      <c r="H1004" s="30"/>
      <c r="K1004" s="31"/>
      <c r="T1004" s="32"/>
      <c r="AA1004" s="30"/>
      <c r="AF1004" s="31"/>
    </row>
    <row r="1005" spans="3:32" ht="15.75" customHeight="1" x14ac:dyDescent="0.25">
      <c r="C1005" s="33"/>
      <c r="H1005" s="30"/>
      <c r="K1005" s="31"/>
      <c r="T1005" s="32"/>
      <c r="AA1005" s="30"/>
      <c r="AF1005" s="31"/>
    </row>
    <row r="1006" spans="3:32" ht="15.75" customHeight="1" x14ac:dyDescent="0.25">
      <c r="C1006" s="33"/>
      <c r="H1006" s="30"/>
      <c r="K1006" s="31"/>
      <c r="T1006" s="32"/>
      <c r="AA1006" s="30"/>
      <c r="AF1006" s="31"/>
    </row>
    <row r="1007" spans="3:32" ht="15.75" customHeight="1" x14ac:dyDescent="0.25">
      <c r="C1007" s="33"/>
      <c r="H1007" s="30"/>
      <c r="K1007" s="31"/>
      <c r="T1007" s="32"/>
      <c r="AA1007" s="30"/>
      <c r="AF1007" s="31"/>
    </row>
    <row r="1008" spans="3:32" ht="15.75" customHeight="1" x14ac:dyDescent="0.25">
      <c r="C1008" s="33"/>
      <c r="H1008" s="30"/>
      <c r="K1008" s="31"/>
      <c r="T1008" s="32"/>
      <c r="AA1008" s="30"/>
      <c r="AF1008" s="31"/>
    </row>
    <row r="1009" spans="3:32" ht="15.75" customHeight="1" x14ac:dyDescent="0.25">
      <c r="C1009" s="33"/>
      <c r="H1009" s="30"/>
      <c r="K1009" s="31"/>
      <c r="T1009" s="32"/>
      <c r="AA1009" s="30"/>
      <c r="AF1009" s="31"/>
    </row>
    <row r="1010" spans="3:32" ht="15.75" customHeight="1" x14ac:dyDescent="0.25">
      <c r="C1010" s="33"/>
      <c r="H1010" s="30"/>
      <c r="K1010" s="31"/>
      <c r="T1010" s="32"/>
      <c r="AA1010" s="30"/>
      <c r="AF1010" s="31"/>
    </row>
    <row r="1011" spans="3:32" ht="15.75" customHeight="1" x14ac:dyDescent="0.25">
      <c r="C1011" s="33"/>
      <c r="H1011" s="30"/>
      <c r="K1011" s="31"/>
      <c r="T1011" s="32"/>
      <c r="AA1011" s="30"/>
      <c r="AF1011" s="31"/>
    </row>
    <row r="1012" spans="3:32" ht="15.75" customHeight="1" x14ac:dyDescent="0.25">
      <c r="C1012" s="33"/>
      <c r="H1012" s="30"/>
      <c r="K1012" s="31"/>
      <c r="T1012" s="32"/>
      <c r="AA1012" s="30"/>
      <c r="AF1012" s="31"/>
    </row>
    <row r="1013" spans="3:32" ht="15.75" customHeight="1" x14ac:dyDescent="0.25">
      <c r="C1013" s="33"/>
      <c r="H1013" s="30"/>
      <c r="K1013" s="31"/>
      <c r="T1013" s="32"/>
      <c r="AA1013" s="30"/>
      <c r="AF1013" s="31"/>
    </row>
    <row r="1014" spans="3:32" ht="15.75" customHeight="1" x14ac:dyDescent="0.25">
      <c r="C1014" s="33"/>
      <c r="H1014" s="30"/>
      <c r="K1014" s="31"/>
      <c r="T1014" s="32"/>
      <c r="AA1014" s="30"/>
      <c r="AF1014" s="31"/>
    </row>
    <row r="1015" spans="3:32" ht="15.75" customHeight="1" x14ac:dyDescent="0.25">
      <c r="C1015" s="33"/>
      <c r="H1015" s="30"/>
      <c r="K1015" s="31"/>
      <c r="T1015" s="32"/>
      <c r="AA1015" s="30"/>
      <c r="AF1015" s="31"/>
    </row>
    <row r="1016" spans="3:32" ht="15.75" customHeight="1" x14ac:dyDescent="0.25">
      <c r="C1016" s="33"/>
      <c r="H1016" s="30"/>
      <c r="K1016" s="31"/>
      <c r="T1016" s="32"/>
      <c r="AA1016" s="30"/>
      <c r="AF1016" s="31"/>
    </row>
    <row r="1017" spans="3:32" ht="15.75" customHeight="1" x14ac:dyDescent="0.25">
      <c r="C1017" s="33"/>
      <c r="H1017" s="30"/>
      <c r="K1017" s="31"/>
      <c r="T1017" s="32"/>
      <c r="AA1017" s="30"/>
      <c r="AF1017" s="31"/>
    </row>
    <row r="1018" spans="3:32" ht="15.75" customHeight="1" x14ac:dyDescent="0.25">
      <c r="C1018" s="33"/>
      <c r="H1018" s="30"/>
      <c r="K1018" s="31"/>
      <c r="T1018" s="32"/>
      <c r="AA1018" s="30"/>
      <c r="AF1018" s="31"/>
    </row>
    <row r="1019" spans="3:32" ht="15.75" customHeight="1" x14ac:dyDescent="0.25">
      <c r="C1019" s="33"/>
      <c r="H1019" s="30"/>
      <c r="K1019" s="31"/>
      <c r="T1019" s="32"/>
      <c r="AA1019" s="30"/>
      <c r="AF1019" s="31"/>
    </row>
    <row r="1020" spans="3:32" ht="15.75" customHeight="1" x14ac:dyDescent="0.25">
      <c r="C1020" s="33"/>
      <c r="H1020" s="30"/>
      <c r="K1020" s="31"/>
      <c r="T1020" s="32"/>
      <c r="AA1020" s="30"/>
      <c r="AF1020" s="31"/>
    </row>
    <row r="1021" spans="3:32" ht="15.75" customHeight="1" x14ac:dyDescent="0.25">
      <c r="C1021" s="33"/>
      <c r="H1021" s="30"/>
      <c r="K1021" s="31"/>
      <c r="T1021" s="32"/>
      <c r="AA1021" s="30"/>
      <c r="AF1021" s="31"/>
    </row>
    <row r="1022" spans="3:32" ht="15.75" customHeight="1" x14ac:dyDescent="0.25">
      <c r="C1022" s="33"/>
      <c r="H1022" s="30"/>
      <c r="K1022" s="31"/>
      <c r="T1022" s="32"/>
      <c r="AA1022" s="30"/>
      <c r="AF1022" s="31"/>
    </row>
    <row r="1023" spans="3:32" ht="15.75" customHeight="1" x14ac:dyDescent="0.25">
      <c r="C1023" s="33"/>
      <c r="H1023" s="30"/>
      <c r="K1023" s="31"/>
      <c r="T1023" s="32"/>
      <c r="AA1023" s="30"/>
      <c r="AF1023" s="31"/>
    </row>
    <row r="1024" spans="3:32" ht="15.75" customHeight="1" x14ac:dyDescent="0.25">
      <c r="C1024" s="33"/>
      <c r="H1024" s="30"/>
      <c r="K1024" s="31"/>
      <c r="T1024" s="32"/>
      <c r="AA1024" s="30"/>
      <c r="AF1024" s="31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2.5703125" defaultRowHeight="15" customHeight="1" x14ac:dyDescent="0.25"/>
  <cols>
    <col min="1" max="1" width="8.85546875" customWidth="1"/>
    <col min="2" max="2" width="23.5703125" customWidth="1"/>
    <col min="3" max="3" width="17.85546875" customWidth="1"/>
    <col min="4" max="4" width="16.85546875" customWidth="1"/>
    <col min="5" max="5" width="8.85546875" customWidth="1"/>
    <col min="6" max="6" width="19.85546875" customWidth="1"/>
    <col min="7" max="26" width="8.85546875" customWidth="1"/>
  </cols>
  <sheetData>
    <row r="1" spans="1:26" ht="90" x14ac:dyDescent="0.25">
      <c r="A1" s="1" t="s">
        <v>0</v>
      </c>
      <c r="B1" s="4" t="s">
        <v>3</v>
      </c>
      <c r="C1" s="1" t="s">
        <v>6</v>
      </c>
      <c r="D1" s="1" t="s">
        <v>7</v>
      </c>
      <c r="E1" s="1"/>
      <c r="F1" s="4" t="s">
        <v>10</v>
      </c>
      <c r="G1" s="4" t="s">
        <v>12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4.5" x14ac:dyDescent="0.25">
      <c r="A2" s="6"/>
      <c r="B2" s="6"/>
      <c r="C2" s="6"/>
      <c r="D2" s="6"/>
      <c r="E2" s="6"/>
      <c r="F2" s="13" t="s">
        <v>45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x14ac:dyDescent="0.25">
      <c r="F3" s="21"/>
    </row>
    <row r="4" spans="1:26" x14ac:dyDescent="0.25">
      <c r="F4" s="21"/>
    </row>
    <row r="5" spans="1:26" x14ac:dyDescent="0.25">
      <c r="F5" s="21"/>
    </row>
    <row r="6" spans="1:26" x14ac:dyDescent="0.25">
      <c r="F6" s="21"/>
    </row>
    <row r="7" spans="1:26" x14ac:dyDescent="0.25">
      <c r="F7" s="21"/>
    </row>
    <row r="8" spans="1:26" x14ac:dyDescent="0.25">
      <c r="F8" s="21"/>
    </row>
    <row r="9" spans="1:26" x14ac:dyDescent="0.25">
      <c r="F9" s="21"/>
    </row>
    <row r="10" spans="1:26" x14ac:dyDescent="0.25">
      <c r="F10" s="21"/>
    </row>
    <row r="11" spans="1:26" x14ac:dyDescent="0.25">
      <c r="F11" s="21"/>
    </row>
    <row r="12" spans="1:26" x14ac:dyDescent="0.25">
      <c r="F12" s="21"/>
    </row>
    <row r="13" spans="1:26" x14ac:dyDescent="0.25">
      <c r="F13" s="21"/>
    </row>
    <row r="14" spans="1:26" x14ac:dyDescent="0.25">
      <c r="F14" s="21"/>
    </row>
    <row r="15" spans="1:26" x14ac:dyDescent="0.25">
      <c r="F15" s="21"/>
    </row>
    <row r="16" spans="1:26" x14ac:dyDescent="0.25">
      <c r="F16" s="21"/>
    </row>
    <row r="17" spans="6:6" x14ac:dyDescent="0.25">
      <c r="F17" s="21"/>
    </row>
    <row r="18" spans="6:6" x14ac:dyDescent="0.25">
      <c r="F18" s="21"/>
    </row>
    <row r="19" spans="6:6" x14ac:dyDescent="0.25">
      <c r="F19" s="21"/>
    </row>
    <row r="20" spans="6:6" x14ac:dyDescent="0.25">
      <c r="F20" s="21"/>
    </row>
    <row r="21" spans="6:6" ht="15.75" customHeight="1" x14ac:dyDescent="0.25">
      <c r="F21" s="21"/>
    </row>
    <row r="22" spans="6:6" ht="15.75" customHeight="1" x14ac:dyDescent="0.25">
      <c r="F22" s="21"/>
    </row>
    <row r="23" spans="6:6" ht="15.75" customHeight="1" x14ac:dyDescent="0.25">
      <c r="F23" s="21"/>
    </row>
    <row r="24" spans="6:6" ht="15.75" customHeight="1" x14ac:dyDescent="0.25">
      <c r="F24" s="21"/>
    </row>
    <row r="25" spans="6:6" ht="15.75" customHeight="1" x14ac:dyDescent="0.25">
      <c r="F25" s="21"/>
    </row>
    <row r="26" spans="6:6" ht="15.75" customHeight="1" x14ac:dyDescent="0.25">
      <c r="F26" s="21"/>
    </row>
    <row r="27" spans="6:6" ht="15.75" customHeight="1" x14ac:dyDescent="0.25">
      <c r="F27" s="21"/>
    </row>
    <row r="28" spans="6:6" ht="15.75" customHeight="1" x14ac:dyDescent="0.25">
      <c r="F28" s="21"/>
    </row>
    <row r="29" spans="6:6" ht="15.75" customHeight="1" x14ac:dyDescent="0.25">
      <c r="F29" s="21"/>
    </row>
    <row r="30" spans="6:6" ht="15.75" customHeight="1" x14ac:dyDescent="0.25">
      <c r="F30" s="21"/>
    </row>
    <row r="31" spans="6:6" ht="15.75" customHeight="1" x14ac:dyDescent="0.25">
      <c r="F31" s="21"/>
    </row>
    <row r="32" spans="6:6" ht="15.75" customHeight="1" x14ac:dyDescent="0.25">
      <c r="F32" s="21"/>
    </row>
    <row r="33" spans="6:6" ht="15.75" customHeight="1" x14ac:dyDescent="0.25">
      <c r="F33" s="21"/>
    </row>
    <row r="34" spans="6:6" ht="15.75" customHeight="1" x14ac:dyDescent="0.25">
      <c r="F34" s="21"/>
    </row>
    <row r="35" spans="6:6" ht="15.75" customHeight="1" x14ac:dyDescent="0.25">
      <c r="F35" s="21"/>
    </row>
    <row r="36" spans="6:6" ht="15.75" customHeight="1" x14ac:dyDescent="0.25">
      <c r="F36" s="21"/>
    </row>
    <row r="37" spans="6:6" ht="15.75" customHeight="1" x14ac:dyDescent="0.25">
      <c r="F37" s="21"/>
    </row>
    <row r="38" spans="6:6" ht="15.75" customHeight="1" x14ac:dyDescent="0.25">
      <c r="F38" s="21"/>
    </row>
    <row r="39" spans="6:6" ht="15.75" customHeight="1" x14ac:dyDescent="0.25">
      <c r="F39" s="21"/>
    </row>
    <row r="40" spans="6:6" ht="15.75" customHeight="1" x14ac:dyDescent="0.25">
      <c r="F40" s="21"/>
    </row>
    <row r="41" spans="6:6" ht="15.75" customHeight="1" x14ac:dyDescent="0.25">
      <c r="F41" s="21"/>
    </row>
    <row r="42" spans="6:6" ht="15.75" customHeight="1" x14ac:dyDescent="0.25">
      <c r="F42" s="21"/>
    </row>
    <row r="43" spans="6:6" ht="15.75" customHeight="1" x14ac:dyDescent="0.25">
      <c r="F43" s="21"/>
    </row>
    <row r="44" spans="6:6" ht="15.75" customHeight="1" x14ac:dyDescent="0.25">
      <c r="F44" s="21"/>
    </row>
    <row r="45" spans="6:6" ht="15.75" customHeight="1" x14ac:dyDescent="0.25">
      <c r="F45" s="21"/>
    </row>
    <row r="46" spans="6:6" ht="15.75" customHeight="1" x14ac:dyDescent="0.25">
      <c r="F46" s="21"/>
    </row>
    <row r="47" spans="6:6" ht="15.75" customHeight="1" x14ac:dyDescent="0.25">
      <c r="F47" s="21"/>
    </row>
    <row r="48" spans="6:6" ht="15.75" customHeight="1" x14ac:dyDescent="0.25">
      <c r="F48" s="21"/>
    </row>
    <row r="49" spans="6:6" ht="15.75" customHeight="1" x14ac:dyDescent="0.25">
      <c r="F49" s="21"/>
    </row>
    <row r="50" spans="6:6" ht="15.75" customHeight="1" x14ac:dyDescent="0.25">
      <c r="F50" s="21"/>
    </row>
    <row r="51" spans="6:6" ht="15.75" customHeight="1" x14ac:dyDescent="0.25">
      <c r="F51" s="21"/>
    </row>
    <row r="52" spans="6:6" ht="15.75" customHeight="1" x14ac:dyDescent="0.25">
      <c r="F52" s="21"/>
    </row>
    <row r="53" spans="6:6" ht="15.75" customHeight="1" x14ac:dyDescent="0.25">
      <c r="F53" s="21"/>
    </row>
    <row r="54" spans="6:6" ht="15.75" customHeight="1" x14ac:dyDescent="0.25">
      <c r="F54" s="21"/>
    </row>
    <row r="55" spans="6:6" ht="15.75" customHeight="1" x14ac:dyDescent="0.25">
      <c r="F55" s="21"/>
    </row>
    <row r="56" spans="6:6" ht="15.75" customHeight="1" x14ac:dyDescent="0.25">
      <c r="F56" s="21"/>
    </row>
    <row r="57" spans="6:6" ht="15.75" customHeight="1" x14ac:dyDescent="0.25">
      <c r="F57" s="21"/>
    </row>
    <row r="58" spans="6:6" ht="15.75" customHeight="1" x14ac:dyDescent="0.25">
      <c r="F58" s="21"/>
    </row>
    <row r="59" spans="6:6" ht="15.75" customHeight="1" x14ac:dyDescent="0.25">
      <c r="F59" s="21"/>
    </row>
    <row r="60" spans="6:6" ht="15.75" customHeight="1" x14ac:dyDescent="0.25">
      <c r="F60" s="21"/>
    </row>
    <row r="61" spans="6:6" ht="15.75" customHeight="1" x14ac:dyDescent="0.25">
      <c r="F61" s="21"/>
    </row>
    <row r="62" spans="6:6" ht="15.75" customHeight="1" x14ac:dyDescent="0.25">
      <c r="F62" s="21"/>
    </row>
    <row r="63" spans="6:6" ht="15.75" customHeight="1" x14ac:dyDescent="0.25">
      <c r="F63" s="21"/>
    </row>
    <row r="64" spans="6:6" ht="15.75" customHeight="1" x14ac:dyDescent="0.25">
      <c r="F64" s="21"/>
    </row>
    <row r="65" spans="6:6" ht="15.75" customHeight="1" x14ac:dyDescent="0.25">
      <c r="F65" s="21"/>
    </row>
    <row r="66" spans="6:6" ht="15.75" customHeight="1" x14ac:dyDescent="0.25">
      <c r="F66" s="21"/>
    </row>
    <row r="67" spans="6:6" ht="15.75" customHeight="1" x14ac:dyDescent="0.25">
      <c r="F67" s="21"/>
    </row>
    <row r="68" spans="6:6" ht="15.75" customHeight="1" x14ac:dyDescent="0.25">
      <c r="F68" s="21"/>
    </row>
    <row r="69" spans="6:6" ht="15.75" customHeight="1" x14ac:dyDescent="0.25">
      <c r="F69" s="21"/>
    </row>
    <row r="70" spans="6:6" ht="15.75" customHeight="1" x14ac:dyDescent="0.25">
      <c r="F70" s="21"/>
    </row>
    <row r="71" spans="6:6" ht="15.75" customHeight="1" x14ac:dyDescent="0.25">
      <c r="F71" s="21"/>
    </row>
    <row r="72" spans="6:6" ht="15.75" customHeight="1" x14ac:dyDescent="0.25">
      <c r="F72" s="21"/>
    </row>
    <row r="73" spans="6:6" ht="15.75" customHeight="1" x14ac:dyDescent="0.25">
      <c r="F73" s="21"/>
    </row>
    <row r="74" spans="6:6" ht="15.75" customHeight="1" x14ac:dyDescent="0.25">
      <c r="F74" s="21"/>
    </row>
    <row r="75" spans="6:6" ht="15.75" customHeight="1" x14ac:dyDescent="0.25">
      <c r="F75" s="21"/>
    </row>
    <row r="76" spans="6:6" ht="15.75" customHeight="1" x14ac:dyDescent="0.25">
      <c r="F76" s="21"/>
    </row>
    <row r="77" spans="6:6" ht="15.75" customHeight="1" x14ac:dyDescent="0.25">
      <c r="F77" s="21"/>
    </row>
    <row r="78" spans="6:6" ht="15.75" customHeight="1" x14ac:dyDescent="0.25">
      <c r="F78" s="21"/>
    </row>
    <row r="79" spans="6:6" ht="15.75" customHeight="1" x14ac:dyDescent="0.25">
      <c r="F79" s="21"/>
    </row>
    <row r="80" spans="6:6" ht="15.75" customHeight="1" x14ac:dyDescent="0.25">
      <c r="F80" s="21"/>
    </row>
    <row r="81" spans="6:6" ht="15.75" customHeight="1" x14ac:dyDescent="0.25">
      <c r="F81" s="21"/>
    </row>
    <row r="82" spans="6:6" ht="15.75" customHeight="1" x14ac:dyDescent="0.25">
      <c r="F82" s="21"/>
    </row>
    <row r="83" spans="6:6" ht="15.75" customHeight="1" x14ac:dyDescent="0.25">
      <c r="F83" s="21"/>
    </row>
    <row r="84" spans="6:6" ht="15.75" customHeight="1" x14ac:dyDescent="0.25">
      <c r="F84" s="21"/>
    </row>
    <row r="85" spans="6:6" ht="15.75" customHeight="1" x14ac:dyDescent="0.25">
      <c r="F85" s="21"/>
    </row>
    <row r="86" spans="6:6" ht="15.75" customHeight="1" x14ac:dyDescent="0.25">
      <c r="F86" s="21"/>
    </row>
    <row r="87" spans="6:6" ht="15.75" customHeight="1" x14ac:dyDescent="0.25">
      <c r="F87" s="21"/>
    </row>
    <row r="88" spans="6:6" ht="15.75" customHeight="1" x14ac:dyDescent="0.25">
      <c r="F88" s="21"/>
    </row>
    <row r="89" spans="6:6" ht="15.75" customHeight="1" x14ac:dyDescent="0.25">
      <c r="F89" s="21"/>
    </row>
    <row r="90" spans="6:6" ht="15.75" customHeight="1" x14ac:dyDescent="0.25">
      <c r="F90" s="21"/>
    </row>
    <row r="91" spans="6:6" ht="15.75" customHeight="1" x14ac:dyDescent="0.25">
      <c r="F91" s="21"/>
    </row>
    <row r="92" spans="6:6" ht="15.75" customHeight="1" x14ac:dyDescent="0.25">
      <c r="F92" s="21"/>
    </row>
    <row r="93" spans="6:6" ht="15.75" customHeight="1" x14ac:dyDescent="0.25">
      <c r="F93" s="21"/>
    </row>
    <row r="94" spans="6:6" ht="15.75" customHeight="1" x14ac:dyDescent="0.25">
      <c r="F94" s="21"/>
    </row>
    <row r="95" spans="6:6" ht="15.75" customHeight="1" x14ac:dyDescent="0.25">
      <c r="F95" s="21"/>
    </row>
    <row r="96" spans="6:6" ht="15.75" customHeight="1" x14ac:dyDescent="0.25">
      <c r="F96" s="21"/>
    </row>
    <row r="97" spans="6:6" ht="15.75" customHeight="1" x14ac:dyDescent="0.25">
      <c r="F97" s="21"/>
    </row>
    <row r="98" spans="6:6" ht="15.75" customHeight="1" x14ac:dyDescent="0.25">
      <c r="F98" s="21"/>
    </row>
    <row r="99" spans="6:6" ht="15.75" customHeight="1" x14ac:dyDescent="0.25">
      <c r="F99" s="21"/>
    </row>
    <row r="100" spans="6:6" ht="15.75" customHeight="1" x14ac:dyDescent="0.25">
      <c r="F100" s="21"/>
    </row>
    <row r="101" spans="6:6" ht="15.75" customHeight="1" x14ac:dyDescent="0.25">
      <c r="F101" s="21"/>
    </row>
    <row r="102" spans="6:6" ht="15.75" customHeight="1" x14ac:dyDescent="0.25">
      <c r="F102" s="21"/>
    </row>
    <row r="103" spans="6:6" ht="15.75" customHeight="1" x14ac:dyDescent="0.25">
      <c r="F103" s="21"/>
    </row>
    <row r="104" spans="6:6" ht="15.75" customHeight="1" x14ac:dyDescent="0.25">
      <c r="F104" s="21"/>
    </row>
    <row r="105" spans="6:6" ht="15.75" customHeight="1" x14ac:dyDescent="0.25">
      <c r="F105" s="21"/>
    </row>
    <row r="106" spans="6:6" ht="15.75" customHeight="1" x14ac:dyDescent="0.25">
      <c r="F106" s="21"/>
    </row>
    <row r="107" spans="6:6" ht="15.75" customHeight="1" x14ac:dyDescent="0.25">
      <c r="F107" s="21"/>
    </row>
    <row r="108" spans="6:6" ht="15.75" customHeight="1" x14ac:dyDescent="0.25">
      <c r="F108" s="21"/>
    </row>
    <row r="109" spans="6:6" ht="15.75" customHeight="1" x14ac:dyDescent="0.25">
      <c r="F109" s="21"/>
    </row>
    <row r="110" spans="6:6" ht="15.75" customHeight="1" x14ac:dyDescent="0.25">
      <c r="F110" s="21"/>
    </row>
    <row r="111" spans="6:6" ht="15.75" customHeight="1" x14ac:dyDescent="0.25">
      <c r="F111" s="21"/>
    </row>
    <row r="112" spans="6:6" ht="15.75" customHeight="1" x14ac:dyDescent="0.25">
      <c r="F112" s="21"/>
    </row>
    <row r="113" spans="6:6" ht="15.75" customHeight="1" x14ac:dyDescent="0.25">
      <c r="F113" s="21"/>
    </row>
    <row r="114" spans="6:6" ht="15.75" customHeight="1" x14ac:dyDescent="0.25">
      <c r="F114" s="21"/>
    </row>
    <row r="115" spans="6:6" ht="15.75" customHeight="1" x14ac:dyDescent="0.25">
      <c r="F115" s="21"/>
    </row>
    <row r="116" spans="6:6" ht="15.75" customHeight="1" x14ac:dyDescent="0.25">
      <c r="F116" s="21"/>
    </row>
    <row r="117" spans="6:6" ht="15.75" customHeight="1" x14ac:dyDescent="0.25">
      <c r="F117" s="21"/>
    </row>
    <row r="118" spans="6:6" ht="15.75" customHeight="1" x14ac:dyDescent="0.25">
      <c r="F118" s="21"/>
    </row>
    <row r="119" spans="6:6" ht="15.75" customHeight="1" x14ac:dyDescent="0.25">
      <c r="F119" s="21"/>
    </row>
    <row r="120" spans="6:6" ht="15.75" customHeight="1" x14ac:dyDescent="0.25">
      <c r="F120" s="21"/>
    </row>
    <row r="121" spans="6:6" ht="15.75" customHeight="1" x14ac:dyDescent="0.25">
      <c r="F121" s="21"/>
    </row>
    <row r="122" spans="6:6" ht="15.75" customHeight="1" x14ac:dyDescent="0.25">
      <c r="F122" s="21"/>
    </row>
    <row r="123" spans="6:6" ht="15.75" customHeight="1" x14ac:dyDescent="0.25">
      <c r="F123" s="21"/>
    </row>
    <row r="124" spans="6:6" ht="15.75" customHeight="1" x14ac:dyDescent="0.25">
      <c r="F124" s="21"/>
    </row>
    <row r="125" spans="6:6" ht="15.75" customHeight="1" x14ac:dyDescent="0.25">
      <c r="F125" s="21"/>
    </row>
    <row r="126" spans="6:6" ht="15.75" customHeight="1" x14ac:dyDescent="0.25">
      <c r="F126" s="21"/>
    </row>
    <row r="127" spans="6:6" ht="15.75" customHeight="1" x14ac:dyDescent="0.25">
      <c r="F127" s="21"/>
    </row>
    <row r="128" spans="6:6" ht="15.75" customHeight="1" x14ac:dyDescent="0.25">
      <c r="F128" s="21"/>
    </row>
    <row r="129" spans="6:6" ht="15.75" customHeight="1" x14ac:dyDescent="0.25">
      <c r="F129" s="21"/>
    </row>
    <row r="130" spans="6:6" ht="15.75" customHeight="1" x14ac:dyDescent="0.25">
      <c r="F130" s="21"/>
    </row>
    <row r="131" spans="6:6" ht="15.75" customHeight="1" x14ac:dyDescent="0.25">
      <c r="F131" s="21"/>
    </row>
    <row r="132" spans="6:6" ht="15.75" customHeight="1" x14ac:dyDescent="0.25">
      <c r="F132" s="21"/>
    </row>
    <row r="133" spans="6:6" ht="15.75" customHeight="1" x14ac:dyDescent="0.25">
      <c r="F133" s="21"/>
    </row>
    <row r="134" spans="6:6" ht="15.75" customHeight="1" x14ac:dyDescent="0.25">
      <c r="F134" s="21"/>
    </row>
    <row r="135" spans="6:6" ht="15.75" customHeight="1" x14ac:dyDescent="0.25">
      <c r="F135" s="21"/>
    </row>
    <row r="136" spans="6:6" ht="15.75" customHeight="1" x14ac:dyDescent="0.25">
      <c r="F136" s="21"/>
    </row>
    <row r="137" spans="6:6" ht="15.75" customHeight="1" x14ac:dyDescent="0.25">
      <c r="F137" s="21"/>
    </row>
    <row r="138" spans="6:6" ht="15.75" customHeight="1" x14ac:dyDescent="0.25">
      <c r="F138" s="21"/>
    </row>
    <row r="139" spans="6:6" ht="15.75" customHeight="1" x14ac:dyDescent="0.25">
      <c r="F139" s="21"/>
    </row>
    <row r="140" spans="6:6" ht="15.75" customHeight="1" x14ac:dyDescent="0.25">
      <c r="F140" s="21"/>
    </row>
    <row r="141" spans="6:6" ht="15.75" customHeight="1" x14ac:dyDescent="0.25">
      <c r="F141" s="21"/>
    </row>
    <row r="142" spans="6:6" ht="15.75" customHeight="1" x14ac:dyDescent="0.25">
      <c r="F142" s="21"/>
    </row>
    <row r="143" spans="6:6" ht="15.75" customHeight="1" x14ac:dyDescent="0.25">
      <c r="F143" s="21"/>
    </row>
    <row r="144" spans="6:6" ht="15.75" customHeight="1" x14ac:dyDescent="0.25">
      <c r="F144" s="21"/>
    </row>
    <row r="145" spans="6:6" ht="15.75" customHeight="1" x14ac:dyDescent="0.25">
      <c r="F145" s="21"/>
    </row>
    <row r="146" spans="6:6" ht="15.75" customHeight="1" x14ac:dyDescent="0.25">
      <c r="F146" s="21"/>
    </row>
    <row r="147" spans="6:6" ht="15.75" customHeight="1" x14ac:dyDescent="0.25">
      <c r="F147" s="21"/>
    </row>
    <row r="148" spans="6:6" ht="15.75" customHeight="1" x14ac:dyDescent="0.25">
      <c r="F148" s="21"/>
    </row>
    <row r="149" spans="6:6" ht="15.75" customHeight="1" x14ac:dyDescent="0.25">
      <c r="F149" s="21"/>
    </row>
    <row r="150" spans="6:6" ht="15.75" customHeight="1" x14ac:dyDescent="0.25">
      <c r="F150" s="21"/>
    </row>
    <row r="151" spans="6:6" ht="15.75" customHeight="1" x14ac:dyDescent="0.25">
      <c r="F151" s="21"/>
    </row>
    <row r="152" spans="6:6" ht="15.75" customHeight="1" x14ac:dyDescent="0.25">
      <c r="F152" s="21"/>
    </row>
    <row r="153" spans="6:6" ht="15.75" customHeight="1" x14ac:dyDescent="0.25">
      <c r="F153" s="21"/>
    </row>
    <row r="154" spans="6:6" ht="15.75" customHeight="1" x14ac:dyDescent="0.25">
      <c r="F154" s="21"/>
    </row>
    <row r="155" spans="6:6" ht="15.75" customHeight="1" x14ac:dyDescent="0.25">
      <c r="F155" s="21"/>
    </row>
    <row r="156" spans="6:6" ht="15.75" customHeight="1" x14ac:dyDescent="0.25">
      <c r="F156" s="21"/>
    </row>
    <row r="157" spans="6:6" ht="15.75" customHeight="1" x14ac:dyDescent="0.25">
      <c r="F157" s="21"/>
    </row>
    <row r="158" spans="6:6" ht="15.75" customHeight="1" x14ac:dyDescent="0.25">
      <c r="F158" s="21"/>
    </row>
    <row r="159" spans="6:6" ht="15.75" customHeight="1" x14ac:dyDescent="0.25">
      <c r="F159" s="21"/>
    </row>
    <row r="160" spans="6:6" ht="15.75" customHeight="1" x14ac:dyDescent="0.25">
      <c r="F160" s="21"/>
    </row>
    <row r="161" spans="6:6" ht="15.75" customHeight="1" x14ac:dyDescent="0.25">
      <c r="F161" s="21"/>
    </row>
    <row r="162" spans="6:6" ht="15.75" customHeight="1" x14ac:dyDescent="0.25">
      <c r="F162" s="21"/>
    </row>
    <row r="163" spans="6:6" ht="15.75" customHeight="1" x14ac:dyDescent="0.25">
      <c r="F163" s="21"/>
    </row>
    <row r="164" spans="6:6" ht="15.75" customHeight="1" x14ac:dyDescent="0.25">
      <c r="F164" s="21"/>
    </row>
    <row r="165" spans="6:6" ht="15.75" customHeight="1" x14ac:dyDescent="0.25">
      <c r="F165" s="21"/>
    </row>
    <row r="166" spans="6:6" ht="15.75" customHeight="1" x14ac:dyDescent="0.25">
      <c r="F166" s="21"/>
    </row>
    <row r="167" spans="6:6" ht="15.75" customHeight="1" x14ac:dyDescent="0.25">
      <c r="F167" s="21"/>
    </row>
    <row r="168" spans="6:6" ht="15.75" customHeight="1" x14ac:dyDescent="0.25">
      <c r="F168" s="21"/>
    </row>
    <row r="169" spans="6:6" ht="15.75" customHeight="1" x14ac:dyDescent="0.25">
      <c r="F169" s="21"/>
    </row>
    <row r="170" spans="6:6" ht="15.75" customHeight="1" x14ac:dyDescent="0.25">
      <c r="F170" s="21"/>
    </row>
    <row r="171" spans="6:6" ht="15.75" customHeight="1" x14ac:dyDescent="0.25">
      <c r="F171" s="21"/>
    </row>
    <row r="172" spans="6:6" ht="15.75" customHeight="1" x14ac:dyDescent="0.25">
      <c r="F172" s="21"/>
    </row>
    <row r="173" spans="6:6" ht="15.75" customHeight="1" x14ac:dyDescent="0.25">
      <c r="F173" s="21"/>
    </row>
    <row r="174" spans="6:6" ht="15.75" customHeight="1" x14ac:dyDescent="0.25">
      <c r="F174" s="21"/>
    </row>
    <row r="175" spans="6:6" ht="15.75" customHeight="1" x14ac:dyDescent="0.25">
      <c r="F175" s="21"/>
    </row>
    <row r="176" spans="6:6" ht="15.75" customHeight="1" x14ac:dyDescent="0.25">
      <c r="F176" s="21"/>
    </row>
    <row r="177" spans="6:6" ht="15.75" customHeight="1" x14ac:dyDescent="0.25">
      <c r="F177" s="21"/>
    </row>
    <row r="178" spans="6:6" ht="15.75" customHeight="1" x14ac:dyDescent="0.25">
      <c r="F178" s="21"/>
    </row>
    <row r="179" spans="6:6" ht="15.75" customHeight="1" x14ac:dyDescent="0.25">
      <c r="F179" s="21"/>
    </row>
    <row r="180" spans="6:6" ht="15.75" customHeight="1" x14ac:dyDescent="0.25">
      <c r="F180" s="21"/>
    </row>
    <row r="181" spans="6:6" ht="15.75" customHeight="1" x14ac:dyDescent="0.25">
      <c r="F181" s="21"/>
    </row>
    <row r="182" spans="6:6" ht="15.75" customHeight="1" x14ac:dyDescent="0.25">
      <c r="F182" s="21"/>
    </row>
    <row r="183" spans="6:6" ht="15.75" customHeight="1" x14ac:dyDescent="0.25">
      <c r="F183" s="21"/>
    </row>
    <row r="184" spans="6:6" ht="15.75" customHeight="1" x14ac:dyDescent="0.25">
      <c r="F184" s="21"/>
    </row>
    <row r="185" spans="6:6" ht="15.75" customHeight="1" x14ac:dyDescent="0.25">
      <c r="F185" s="21"/>
    </row>
    <row r="186" spans="6:6" ht="15.75" customHeight="1" x14ac:dyDescent="0.25">
      <c r="F186" s="21"/>
    </row>
    <row r="187" spans="6:6" ht="15.75" customHeight="1" x14ac:dyDescent="0.25">
      <c r="F187" s="21"/>
    </row>
    <row r="188" spans="6:6" ht="15.75" customHeight="1" x14ac:dyDescent="0.25">
      <c r="F188" s="21"/>
    </row>
    <row r="189" spans="6:6" ht="15.75" customHeight="1" x14ac:dyDescent="0.25">
      <c r="F189" s="21"/>
    </row>
    <row r="190" spans="6:6" ht="15.75" customHeight="1" x14ac:dyDescent="0.25">
      <c r="F190" s="21"/>
    </row>
    <row r="191" spans="6:6" ht="15.75" customHeight="1" x14ac:dyDescent="0.25">
      <c r="F191" s="21"/>
    </row>
    <row r="192" spans="6:6" ht="15.75" customHeight="1" x14ac:dyDescent="0.25">
      <c r="F192" s="21"/>
    </row>
    <row r="193" spans="6:6" ht="15.75" customHeight="1" x14ac:dyDescent="0.25">
      <c r="F193" s="21"/>
    </row>
    <row r="194" spans="6:6" ht="15.75" customHeight="1" x14ac:dyDescent="0.25">
      <c r="F194" s="21"/>
    </row>
    <row r="195" spans="6:6" ht="15.75" customHeight="1" x14ac:dyDescent="0.25">
      <c r="F195" s="21"/>
    </row>
    <row r="196" spans="6:6" ht="15.75" customHeight="1" x14ac:dyDescent="0.25">
      <c r="F196" s="21"/>
    </row>
    <row r="197" spans="6:6" ht="15.75" customHeight="1" x14ac:dyDescent="0.25">
      <c r="F197" s="21"/>
    </row>
    <row r="198" spans="6:6" ht="15.75" customHeight="1" x14ac:dyDescent="0.25">
      <c r="F198" s="21"/>
    </row>
    <row r="199" spans="6:6" ht="15.75" customHeight="1" x14ac:dyDescent="0.25">
      <c r="F199" s="21"/>
    </row>
    <row r="200" spans="6:6" ht="15.75" customHeight="1" x14ac:dyDescent="0.25">
      <c r="F200" s="21"/>
    </row>
    <row r="201" spans="6:6" ht="15.75" customHeight="1" x14ac:dyDescent="0.25">
      <c r="F201" s="21"/>
    </row>
    <row r="202" spans="6:6" ht="15.75" customHeight="1" x14ac:dyDescent="0.25">
      <c r="F202" s="21"/>
    </row>
    <row r="203" spans="6:6" ht="15.75" customHeight="1" x14ac:dyDescent="0.25">
      <c r="F203" s="21"/>
    </row>
    <row r="204" spans="6:6" ht="15.75" customHeight="1" x14ac:dyDescent="0.25">
      <c r="F204" s="21"/>
    </row>
    <row r="205" spans="6:6" ht="15.75" customHeight="1" x14ac:dyDescent="0.25">
      <c r="F205" s="21"/>
    </row>
    <row r="206" spans="6:6" ht="15.75" customHeight="1" x14ac:dyDescent="0.25">
      <c r="F206" s="21"/>
    </row>
    <row r="207" spans="6:6" ht="15.75" customHeight="1" x14ac:dyDescent="0.25">
      <c r="F207" s="21"/>
    </row>
    <row r="208" spans="6:6" ht="15.75" customHeight="1" x14ac:dyDescent="0.25">
      <c r="F208" s="21"/>
    </row>
    <row r="209" spans="6:6" ht="15.75" customHeight="1" x14ac:dyDescent="0.25">
      <c r="F209" s="21"/>
    </row>
    <row r="210" spans="6:6" ht="15.75" customHeight="1" x14ac:dyDescent="0.25">
      <c r="F210" s="21"/>
    </row>
    <row r="211" spans="6:6" ht="15.75" customHeight="1" x14ac:dyDescent="0.25">
      <c r="F211" s="21"/>
    </row>
    <row r="212" spans="6:6" ht="15.75" customHeight="1" x14ac:dyDescent="0.25">
      <c r="F212" s="21"/>
    </row>
    <row r="213" spans="6:6" ht="15.75" customHeight="1" x14ac:dyDescent="0.25">
      <c r="F213" s="21"/>
    </row>
    <row r="214" spans="6:6" ht="15.75" customHeight="1" x14ac:dyDescent="0.25">
      <c r="F214" s="21"/>
    </row>
    <row r="215" spans="6:6" ht="15.75" customHeight="1" x14ac:dyDescent="0.25">
      <c r="F215" s="21"/>
    </row>
    <row r="216" spans="6:6" ht="15.75" customHeight="1" x14ac:dyDescent="0.25">
      <c r="F216" s="21"/>
    </row>
    <row r="217" spans="6:6" ht="15.75" customHeight="1" x14ac:dyDescent="0.25">
      <c r="F217" s="21"/>
    </row>
    <row r="218" spans="6:6" ht="15.75" customHeight="1" x14ac:dyDescent="0.25">
      <c r="F218" s="21"/>
    </row>
    <row r="219" spans="6:6" ht="15.75" customHeight="1" x14ac:dyDescent="0.25">
      <c r="F219" s="21"/>
    </row>
    <row r="220" spans="6:6" ht="15.75" customHeight="1" x14ac:dyDescent="0.25">
      <c r="F220" s="21"/>
    </row>
    <row r="221" spans="6:6" ht="15.75" customHeight="1" x14ac:dyDescent="0.25">
      <c r="F221" s="21"/>
    </row>
    <row r="222" spans="6:6" ht="15.75" customHeight="1" x14ac:dyDescent="0.25">
      <c r="F222" s="21"/>
    </row>
    <row r="223" spans="6:6" ht="15.75" customHeight="1" x14ac:dyDescent="0.25">
      <c r="F223" s="21"/>
    </row>
    <row r="224" spans="6:6" ht="15.75" customHeight="1" x14ac:dyDescent="0.25">
      <c r="F224" s="21"/>
    </row>
    <row r="225" spans="6:6" ht="15.75" customHeight="1" x14ac:dyDescent="0.25">
      <c r="F225" s="21"/>
    </row>
    <row r="226" spans="6:6" ht="15.75" customHeight="1" x14ac:dyDescent="0.25">
      <c r="F226" s="21"/>
    </row>
    <row r="227" spans="6:6" ht="15.75" customHeight="1" x14ac:dyDescent="0.25">
      <c r="F227" s="21"/>
    </row>
    <row r="228" spans="6:6" ht="15.75" customHeight="1" x14ac:dyDescent="0.25">
      <c r="F228" s="21"/>
    </row>
    <row r="229" spans="6:6" ht="15.75" customHeight="1" x14ac:dyDescent="0.25">
      <c r="F229" s="21"/>
    </row>
    <row r="230" spans="6:6" ht="15.75" customHeight="1" x14ac:dyDescent="0.25">
      <c r="F230" s="21"/>
    </row>
    <row r="231" spans="6:6" ht="15.75" customHeight="1" x14ac:dyDescent="0.25">
      <c r="F231" s="21"/>
    </row>
    <row r="232" spans="6:6" ht="15.75" customHeight="1" x14ac:dyDescent="0.25">
      <c r="F232" s="21"/>
    </row>
    <row r="233" spans="6:6" ht="15.75" customHeight="1" x14ac:dyDescent="0.25">
      <c r="F233" s="21"/>
    </row>
    <row r="234" spans="6:6" ht="15.75" customHeight="1" x14ac:dyDescent="0.25">
      <c r="F234" s="21"/>
    </row>
    <row r="235" spans="6:6" ht="15.75" customHeight="1" x14ac:dyDescent="0.25">
      <c r="F235" s="21"/>
    </row>
    <row r="236" spans="6:6" ht="15.75" customHeight="1" x14ac:dyDescent="0.25">
      <c r="F236" s="21"/>
    </row>
    <row r="237" spans="6:6" ht="15.75" customHeight="1" x14ac:dyDescent="0.25">
      <c r="F237" s="21"/>
    </row>
    <row r="238" spans="6:6" ht="15.75" customHeight="1" x14ac:dyDescent="0.25">
      <c r="F238" s="21"/>
    </row>
    <row r="239" spans="6:6" ht="15.75" customHeight="1" x14ac:dyDescent="0.25">
      <c r="F239" s="21"/>
    </row>
    <row r="240" spans="6:6" ht="15.75" customHeight="1" x14ac:dyDescent="0.25">
      <c r="F240" s="21"/>
    </row>
    <row r="241" spans="6:6" ht="15.75" customHeight="1" x14ac:dyDescent="0.25">
      <c r="F241" s="21"/>
    </row>
    <row r="242" spans="6:6" ht="15.75" customHeight="1" x14ac:dyDescent="0.25">
      <c r="F242" s="21"/>
    </row>
    <row r="243" spans="6:6" ht="15.75" customHeight="1" x14ac:dyDescent="0.25">
      <c r="F243" s="21"/>
    </row>
    <row r="244" spans="6:6" ht="15.75" customHeight="1" x14ac:dyDescent="0.25">
      <c r="F244" s="21"/>
    </row>
    <row r="245" spans="6:6" ht="15.75" customHeight="1" x14ac:dyDescent="0.25">
      <c r="F245" s="21"/>
    </row>
    <row r="246" spans="6:6" ht="15.75" customHeight="1" x14ac:dyDescent="0.25">
      <c r="F246" s="21"/>
    </row>
    <row r="247" spans="6:6" ht="15.75" customHeight="1" x14ac:dyDescent="0.25">
      <c r="F247" s="21"/>
    </row>
    <row r="248" spans="6:6" ht="15.75" customHeight="1" x14ac:dyDescent="0.25">
      <c r="F248" s="21"/>
    </row>
    <row r="249" spans="6:6" ht="15.75" customHeight="1" x14ac:dyDescent="0.25">
      <c r="F249" s="21"/>
    </row>
    <row r="250" spans="6:6" ht="15.75" customHeight="1" x14ac:dyDescent="0.25">
      <c r="F250" s="21"/>
    </row>
    <row r="251" spans="6:6" ht="15.75" customHeight="1" x14ac:dyDescent="0.25">
      <c r="F251" s="21"/>
    </row>
    <row r="252" spans="6:6" ht="15.75" customHeight="1" x14ac:dyDescent="0.25">
      <c r="F252" s="21"/>
    </row>
    <row r="253" spans="6:6" ht="15.75" customHeight="1" x14ac:dyDescent="0.25">
      <c r="F253" s="21"/>
    </row>
    <row r="254" spans="6:6" ht="15.75" customHeight="1" x14ac:dyDescent="0.25">
      <c r="F254" s="21"/>
    </row>
    <row r="255" spans="6:6" ht="15.75" customHeight="1" x14ac:dyDescent="0.25">
      <c r="F255" s="21"/>
    </row>
    <row r="256" spans="6:6" ht="15.75" customHeight="1" x14ac:dyDescent="0.25">
      <c r="F256" s="21"/>
    </row>
    <row r="257" spans="6:6" ht="15.75" customHeight="1" x14ac:dyDescent="0.25">
      <c r="F257" s="21"/>
    </row>
    <row r="258" spans="6:6" ht="15.75" customHeight="1" x14ac:dyDescent="0.25">
      <c r="F258" s="21"/>
    </row>
    <row r="259" spans="6:6" ht="15.75" customHeight="1" x14ac:dyDescent="0.25">
      <c r="F259" s="21"/>
    </row>
    <row r="260" spans="6:6" ht="15.75" customHeight="1" x14ac:dyDescent="0.25">
      <c r="F260" s="21"/>
    </row>
    <row r="261" spans="6:6" ht="15.75" customHeight="1" x14ac:dyDescent="0.25">
      <c r="F261" s="21"/>
    </row>
    <row r="262" spans="6:6" ht="15.75" customHeight="1" x14ac:dyDescent="0.25">
      <c r="F262" s="21"/>
    </row>
    <row r="263" spans="6:6" ht="15.75" customHeight="1" x14ac:dyDescent="0.25">
      <c r="F263" s="21"/>
    </row>
    <row r="264" spans="6:6" ht="15.75" customHeight="1" x14ac:dyDescent="0.25">
      <c r="F264" s="21"/>
    </row>
    <row r="265" spans="6:6" ht="15.75" customHeight="1" x14ac:dyDescent="0.25">
      <c r="F265" s="21"/>
    </row>
    <row r="266" spans="6:6" ht="15.75" customHeight="1" x14ac:dyDescent="0.25">
      <c r="F266" s="21"/>
    </row>
    <row r="267" spans="6:6" ht="15.75" customHeight="1" x14ac:dyDescent="0.25">
      <c r="F267" s="21"/>
    </row>
    <row r="268" spans="6:6" ht="15.75" customHeight="1" x14ac:dyDescent="0.25">
      <c r="F268" s="21"/>
    </row>
    <row r="269" spans="6:6" ht="15.75" customHeight="1" x14ac:dyDescent="0.25">
      <c r="F269" s="21"/>
    </row>
    <row r="270" spans="6:6" ht="15.75" customHeight="1" x14ac:dyDescent="0.25">
      <c r="F270" s="21"/>
    </row>
    <row r="271" spans="6:6" ht="15.75" customHeight="1" x14ac:dyDescent="0.25">
      <c r="F271" s="21"/>
    </row>
    <row r="272" spans="6:6" ht="15.75" customHeight="1" x14ac:dyDescent="0.25">
      <c r="F272" s="21"/>
    </row>
    <row r="273" spans="6:6" ht="15.75" customHeight="1" x14ac:dyDescent="0.25">
      <c r="F273" s="21"/>
    </row>
    <row r="274" spans="6:6" ht="15.75" customHeight="1" x14ac:dyDescent="0.25">
      <c r="F274" s="21"/>
    </row>
    <row r="275" spans="6:6" ht="15.75" customHeight="1" x14ac:dyDescent="0.25">
      <c r="F275" s="21"/>
    </row>
    <row r="276" spans="6:6" ht="15.75" customHeight="1" x14ac:dyDescent="0.25">
      <c r="F276" s="21"/>
    </row>
    <row r="277" spans="6:6" ht="15.75" customHeight="1" x14ac:dyDescent="0.25">
      <c r="F277" s="21"/>
    </row>
    <row r="278" spans="6:6" ht="15.75" customHeight="1" x14ac:dyDescent="0.25">
      <c r="F278" s="21"/>
    </row>
    <row r="279" spans="6:6" ht="15.75" customHeight="1" x14ac:dyDescent="0.25">
      <c r="F279" s="21"/>
    </row>
    <row r="280" spans="6:6" ht="15.75" customHeight="1" x14ac:dyDescent="0.25">
      <c r="F280" s="21"/>
    </row>
    <row r="281" spans="6:6" ht="15.75" customHeight="1" x14ac:dyDescent="0.25">
      <c r="F281" s="21"/>
    </row>
    <row r="282" spans="6:6" ht="15.75" customHeight="1" x14ac:dyDescent="0.25">
      <c r="F282" s="21"/>
    </row>
    <row r="283" spans="6:6" ht="15.75" customHeight="1" x14ac:dyDescent="0.25">
      <c r="F283" s="21"/>
    </row>
    <row r="284" spans="6:6" ht="15.75" customHeight="1" x14ac:dyDescent="0.25">
      <c r="F284" s="21"/>
    </row>
    <row r="285" spans="6:6" ht="15.75" customHeight="1" x14ac:dyDescent="0.25">
      <c r="F285" s="21"/>
    </row>
    <row r="286" spans="6:6" ht="15.75" customHeight="1" x14ac:dyDescent="0.25">
      <c r="F286" s="21"/>
    </row>
    <row r="287" spans="6:6" ht="15.75" customHeight="1" x14ac:dyDescent="0.25">
      <c r="F287" s="21"/>
    </row>
    <row r="288" spans="6:6" ht="15.75" customHeight="1" x14ac:dyDescent="0.25">
      <c r="F288" s="21"/>
    </row>
    <row r="289" spans="6:6" ht="15.75" customHeight="1" x14ac:dyDescent="0.25">
      <c r="F289" s="21"/>
    </row>
    <row r="290" spans="6:6" ht="15.75" customHeight="1" x14ac:dyDescent="0.25">
      <c r="F290" s="21"/>
    </row>
    <row r="291" spans="6:6" ht="15.75" customHeight="1" x14ac:dyDescent="0.25">
      <c r="F291" s="21"/>
    </row>
    <row r="292" spans="6:6" ht="15.75" customHeight="1" x14ac:dyDescent="0.25">
      <c r="F292" s="21"/>
    </row>
    <row r="293" spans="6:6" ht="15.75" customHeight="1" x14ac:dyDescent="0.25">
      <c r="F293" s="21"/>
    </row>
    <row r="294" spans="6:6" ht="15.75" customHeight="1" x14ac:dyDescent="0.25">
      <c r="F294" s="21"/>
    </row>
    <row r="295" spans="6:6" ht="15.75" customHeight="1" x14ac:dyDescent="0.25">
      <c r="F295" s="21"/>
    </row>
    <row r="296" spans="6:6" ht="15.75" customHeight="1" x14ac:dyDescent="0.25">
      <c r="F296" s="21"/>
    </row>
    <row r="297" spans="6:6" ht="15.75" customHeight="1" x14ac:dyDescent="0.25">
      <c r="F297" s="21"/>
    </row>
    <row r="298" spans="6:6" ht="15.75" customHeight="1" x14ac:dyDescent="0.25">
      <c r="F298" s="21"/>
    </row>
    <row r="299" spans="6:6" ht="15.75" customHeight="1" x14ac:dyDescent="0.25">
      <c r="F299" s="21"/>
    </row>
    <row r="300" spans="6:6" ht="15.75" customHeight="1" x14ac:dyDescent="0.25">
      <c r="F300" s="21"/>
    </row>
    <row r="301" spans="6:6" ht="15.75" customHeight="1" x14ac:dyDescent="0.25">
      <c r="F301" s="21"/>
    </row>
    <row r="302" spans="6:6" ht="15.75" customHeight="1" x14ac:dyDescent="0.25">
      <c r="F302" s="21"/>
    </row>
    <row r="303" spans="6:6" ht="15.75" customHeight="1" x14ac:dyDescent="0.25">
      <c r="F303" s="21"/>
    </row>
    <row r="304" spans="6:6" ht="15.75" customHeight="1" x14ac:dyDescent="0.25">
      <c r="F304" s="21"/>
    </row>
    <row r="305" spans="6:6" ht="15.75" customHeight="1" x14ac:dyDescent="0.25">
      <c r="F305" s="21"/>
    </row>
    <row r="306" spans="6:6" ht="15.75" customHeight="1" x14ac:dyDescent="0.25">
      <c r="F306" s="21"/>
    </row>
    <row r="307" spans="6:6" ht="15.75" customHeight="1" x14ac:dyDescent="0.25">
      <c r="F307" s="21"/>
    </row>
    <row r="308" spans="6:6" ht="15.75" customHeight="1" x14ac:dyDescent="0.25">
      <c r="F308" s="21"/>
    </row>
    <row r="309" spans="6:6" ht="15.75" customHeight="1" x14ac:dyDescent="0.25">
      <c r="F309" s="21"/>
    </row>
    <row r="310" spans="6:6" ht="15.75" customHeight="1" x14ac:dyDescent="0.25">
      <c r="F310" s="21"/>
    </row>
    <row r="311" spans="6:6" ht="15.75" customHeight="1" x14ac:dyDescent="0.25">
      <c r="F311" s="21"/>
    </row>
    <row r="312" spans="6:6" ht="15.75" customHeight="1" x14ac:dyDescent="0.25">
      <c r="F312" s="21"/>
    </row>
    <row r="313" spans="6:6" ht="15.75" customHeight="1" x14ac:dyDescent="0.25">
      <c r="F313" s="21"/>
    </row>
    <row r="314" spans="6:6" ht="15.75" customHeight="1" x14ac:dyDescent="0.25">
      <c r="F314" s="21"/>
    </row>
    <row r="315" spans="6:6" ht="15.75" customHeight="1" x14ac:dyDescent="0.25">
      <c r="F315" s="21"/>
    </row>
    <row r="316" spans="6:6" ht="15.75" customHeight="1" x14ac:dyDescent="0.25">
      <c r="F316" s="21"/>
    </row>
    <row r="317" spans="6:6" ht="15.75" customHeight="1" x14ac:dyDescent="0.25">
      <c r="F317" s="21"/>
    </row>
    <row r="318" spans="6:6" ht="15.75" customHeight="1" x14ac:dyDescent="0.25">
      <c r="F318" s="21"/>
    </row>
    <row r="319" spans="6:6" ht="15.75" customHeight="1" x14ac:dyDescent="0.25">
      <c r="F319" s="21"/>
    </row>
    <row r="320" spans="6:6" ht="15.75" customHeight="1" x14ac:dyDescent="0.25">
      <c r="F320" s="21"/>
    </row>
    <row r="321" spans="6:6" ht="15.75" customHeight="1" x14ac:dyDescent="0.25">
      <c r="F321" s="21"/>
    </row>
    <row r="322" spans="6:6" ht="15.75" customHeight="1" x14ac:dyDescent="0.25">
      <c r="F322" s="21"/>
    </row>
    <row r="323" spans="6:6" ht="15.75" customHeight="1" x14ac:dyDescent="0.25">
      <c r="F323" s="21"/>
    </row>
    <row r="324" spans="6:6" ht="15.75" customHeight="1" x14ac:dyDescent="0.25">
      <c r="F324" s="21"/>
    </row>
    <row r="325" spans="6:6" ht="15.75" customHeight="1" x14ac:dyDescent="0.25">
      <c r="F325" s="21"/>
    </row>
    <row r="326" spans="6:6" ht="15.75" customHeight="1" x14ac:dyDescent="0.25">
      <c r="F326" s="21"/>
    </row>
    <row r="327" spans="6:6" ht="15.75" customHeight="1" x14ac:dyDescent="0.25">
      <c r="F327" s="21"/>
    </row>
    <row r="328" spans="6:6" ht="15.75" customHeight="1" x14ac:dyDescent="0.25">
      <c r="F328" s="21"/>
    </row>
    <row r="329" spans="6:6" ht="15.75" customHeight="1" x14ac:dyDescent="0.25">
      <c r="F329" s="21"/>
    </row>
    <row r="330" spans="6:6" ht="15.75" customHeight="1" x14ac:dyDescent="0.25">
      <c r="F330" s="21"/>
    </row>
    <row r="331" spans="6:6" ht="15.75" customHeight="1" x14ac:dyDescent="0.25">
      <c r="F331" s="21"/>
    </row>
    <row r="332" spans="6:6" ht="15.75" customHeight="1" x14ac:dyDescent="0.25">
      <c r="F332" s="21"/>
    </row>
    <row r="333" spans="6:6" ht="15.75" customHeight="1" x14ac:dyDescent="0.25">
      <c r="F333" s="21"/>
    </row>
    <row r="334" spans="6:6" ht="15.75" customHeight="1" x14ac:dyDescent="0.25">
      <c r="F334" s="21"/>
    </row>
    <row r="335" spans="6:6" ht="15.75" customHeight="1" x14ac:dyDescent="0.25">
      <c r="F335" s="21"/>
    </row>
    <row r="336" spans="6:6" ht="15.75" customHeight="1" x14ac:dyDescent="0.25">
      <c r="F336" s="21"/>
    </row>
    <row r="337" spans="6:6" ht="15.75" customHeight="1" x14ac:dyDescent="0.25">
      <c r="F337" s="21"/>
    </row>
    <row r="338" spans="6:6" ht="15.75" customHeight="1" x14ac:dyDescent="0.25">
      <c r="F338" s="21"/>
    </row>
    <row r="339" spans="6:6" ht="15.75" customHeight="1" x14ac:dyDescent="0.25">
      <c r="F339" s="21"/>
    </row>
    <row r="340" spans="6:6" ht="15.75" customHeight="1" x14ac:dyDescent="0.25">
      <c r="F340" s="21"/>
    </row>
    <row r="341" spans="6:6" ht="15.75" customHeight="1" x14ac:dyDescent="0.25">
      <c r="F341" s="21"/>
    </row>
    <row r="342" spans="6:6" ht="15.75" customHeight="1" x14ac:dyDescent="0.25">
      <c r="F342" s="21"/>
    </row>
    <row r="343" spans="6:6" ht="15.75" customHeight="1" x14ac:dyDescent="0.25">
      <c r="F343" s="21"/>
    </row>
    <row r="344" spans="6:6" ht="15.75" customHeight="1" x14ac:dyDescent="0.25">
      <c r="F344" s="21"/>
    </row>
    <row r="345" spans="6:6" ht="15.75" customHeight="1" x14ac:dyDescent="0.25">
      <c r="F345" s="21"/>
    </row>
    <row r="346" spans="6:6" ht="15.75" customHeight="1" x14ac:dyDescent="0.25">
      <c r="F346" s="21"/>
    </row>
    <row r="347" spans="6:6" ht="15.75" customHeight="1" x14ac:dyDescent="0.25">
      <c r="F347" s="21"/>
    </row>
    <row r="348" spans="6:6" ht="15.75" customHeight="1" x14ac:dyDescent="0.25">
      <c r="F348" s="21"/>
    </row>
    <row r="349" spans="6:6" ht="15.75" customHeight="1" x14ac:dyDescent="0.25">
      <c r="F349" s="21"/>
    </row>
    <row r="350" spans="6:6" ht="15.75" customHeight="1" x14ac:dyDescent="0.25">
      <c r="F350" s="21"/>
    </row>
    <row r="351" spans="6:6" ht="15.75" customHeight="1" x14ac:dyDescent="0.25">
      <c r="F351" s="21"/>
    </row>
    <row r="352" spans="6:6" ht="15.75" customHeight="1" x14ac:dyDescent="0.25">
      <c r="F352" s="21"/>
    </row>
    <row r="353" spans="6:6" ht="15.75" customHeight="1" x14ac:dyDescent="0.25">
      <c r="F353" s="21"/>
    </row>
    <row r="354" spans="6:6" ht="15.75" customHeight="1" x14ac:dyDescent="0.25">
      <c r="F354" s="21"/>
    </row>
    <row r="355" spans="6:6" ht="15.75" customHeight="1" x14ac:dyDescent="0.25">
      <c r="F355" s="21"/>
    </row>
    <row r="356" spans="6:6" ht="15.75" customHeight="1" x14ac:dyDescent="0.25">
      <c r="F356" s="21"/>
    </row>
    <row r="357" spans="6:6" ht="15.75" customHeight="1" x14ac:dyDescent="0.25">
      <c r="F357" s="21"/>
    </row>
    <row r="358" spans="6:6" ht="15.75" customHeight="1" x14ac:dyDescent="0.25">
      <c r="F358" s="21"/>
    </row>
    <row r="359" spans="6:6" ht="15.75" customHeight="1" x14ac:dyDescent="0.25">
      <c r="F359" s="21"/>
    </row>
    <row r="360" spans="6:6" ht="15.75" customHeight="1" x14ac:dyDescent="0.25">
      <c r="F360" s="21"/>
    </row>
    <row r="361" spans="6:6" ht="15.75" customHeight="1" x14ac:dyDescent="0.25">
      <c r="F361" s="21"/>
    </row>
    <row r="362" spans="6:6" ht="15.75" customHeight="1" x14ac:dyDescent="0.25">
      <c r="F362" s="21"/>
    </row>
    <row r="363" spans="6:6" ht="15.75" customHeight="1" x14ac:dyDescent="0.25">
      <c r="F363" s="21"/>
    </row>
    <row r="364" spans="6:6" ht="15.75" customHeight="1" x14ac:dyDescent="0.25">
      <c r="F364" s="21"/>
    </row>
    <row r="365" spans="6:6" ht="15.75" customHeight="1" x14ac:dyDescent="0.25">
      <c r="F365" s="21"/>
    </row>
    <row r="366" spans="6:6" ht="15.75" customHeight="1" x14ac:dyDescent="0.25">
      <c r="F366" s="21"/>
    </row>
    <row r="367" spans="6:6" ht="15.75" customHeight="1" x14ac:dyDescent="0.25">
      <c r="F367" s="21"/>
    </row>
    <row r="368" spans="6:6" ht="15.75" customHeight="1" x14ac:dyDescent="0.25">
      <c r="F368" s="21"/>
    </row>
    <row r="369" spans="6:6" ht="15.75" customHeight="1" x14ac:dyDescent="0.25">
      <c r="F369" s="21"/>
    </row>
    <row r="370" spans="6:6" ht="15.75" customHeight="1" x14ac:dyDescent="0.25">
      <c r="F370" s="21"/>
    </row>
    <row r="371" spans="6:6" ht="15.75" customHeight="1" x14ac:dyDescent="0.25">
      <c r="F371" s="21"/>
    </row>
    <row r="372" spans="6:6" ht="15.75" customHeight="1" x14ac:dyDescent="0.25">
      <c r="F372" s="21"/>
    </row>
    <row r="373" spans="6:6" ht="15.75" customHeight="1" x14ac:dyDescent="0.25">
      <c r="F373" s="21"/>
    </row>
    <row r="374" spans="6:6" ht="15.75" customHeight="1" x14ac:dyDescent="0.25">
      <c r="F374" s="21"/>
    </row>
    <row r="375" spans="6:6" ht="15.75" customHeight="1" x14ac:dyDescent="0.25">
      <c r="F375" s="21"/>
    </row>
    <row r="376" spans="6:6" ht="15.75" customHeight="1" x14ac:dyDescent="0.25">
      <c r="F376" s="21"/>
    </row>
    <row r="377" spans="6:6" ht="15.75" customHeight="1" x14ac:dyDescent="0.25">
      <c r="F377" s="21"/>
    </row>
    <row r="378" spans="6:6" ht="15.75" customHeight="1" x14ac:dyDescent="0.25">
      <c r="F378" s="21"/>
    </row>
    <row r="379" spans="6:6" ht="15.75" customHeight="1" x14ac:dyDescent="0.25">
      <c r="F379" s="21"/>
    </row>
    <row r="380" spans="6:6" ht="15.75" customHeight="1" x14ac:dyDescent="0.25">
      <c r="F380" s="21"/>
    </row>
    <row r="381" spans="6:6" ht="15.75" customHeight="1" x14ac:dyDescent="0.25">
      <c r="F381" s="21"/>
    </row>
    <row r="382" spans="6:6" ht="15.75" customHeight="1" x14ac:dyDescent="0.25">
      <c r="F382" s="21"/>
    </row>
    <row r="383" spans="6:6" ht="15.75" customHeight="1" x14ac:dyDescent="0.25">
      <c r="F383" s="21"/>
    </row>
    <row r="384" spans="6:6" ht="15.75" customHeight="1" x14ac:dyDescent="0.25">
      <c r="F384" s="21"/>
    </row>
    <row r="385" spans="6:6" ht="15.75" customHeight="1" x14ac:dyDescent="0.25">
      <c r="F385" s="21"/>
    </row>
    <row r="386" spans="6:6" ht="15.75" customHeight="1" x14ac:dyDescent="0.25">
      <c r="F386" s="21"/>
    </row>
    <row r="387" spans="6:6" ht="15.75" customHeight="1" x14ac:dyDescent="0.25">
      <c r="F387" s="21"/>
    </row>
    <row r="388" spans="6:6" ht="15.75" customHeight="1" x14ac:dyDescent="0.25">
      <c r="F388" s="21"/>
    </row>
    <row r="389" spans="6:6" ht="15.75" customHeight="1" x14ac:dyDescent="0.25">
      <c r="F389" s="21"/>
    </row>
    <row r="390" spans="6:6" ht="15.75" customHeight="1" x14ac:dyDescent="0.25">
      <c r="F390" s="21"/>
    </row>
    <row r="391" spans="6:6" ht="15.75" customHeight="1" x14ac:dyDescent="0.25">
      <c r="F391" s="21"/>
    </row>
    <row r="392" spans="6:6" ht="15.75" customHeight="1" x14ac:dyDescent="0.25">
      <c r="F392" s="21"/>
    </row>
    <row r="393" spans="6:6" ht="15.75" customHeight="1" x14ac:dyDescent="0.25">
      <c r="F393" s="21"/>
    </row>
    <row r="394" spans="6:6" ht="15.75" customHeight="1" x14ac:dyDescent="0.25">
      <c r="F394" s="21"/>
    </row>
    <row r="395" spans="6:6" ht="15.75" customHeight="1" x14ac:dyDescent="0.25">
      <c r="F395" s="21"/>
    </row>
    <row r="396" spans="6:6" ht="15.75" customHeight="1" x14ac:dyDescent="0.25">
      <c r="F396" s="21"/>
    </row>
    <row r="397" spans="6:6" ht="15.75" customHeight="1" x14ac:dyDescent="0.25">
      <c r="F397" s="21"/>
    </row>
    <row r="398" spans="6:6" ht="15.75" customHeight="1" x14ac:dyDescent="0.25">
      <c r="F398" s="21"/>
    </row>
    <row r="399" spans="6:6" ht="15.75" customHeight="1" x14ac:dyDescent="0.25">
      <c r="F399" s="21"/>
    </row>
    <row r="400" spans="6:6" ht="15.75" customHeight="1" x14ac:dyDescent="0.25">
      <c r="F400" s="21"/>
    </row>
    <row r="401" spans="6:6" ht="15.75" customHeight="1" x14ac:dyDescent="0.25">
      <c r="F401" s="21"/>
    </row>
    <row r="402" spans="6:6" ht="15.75" customHeight="1" x14ac:dyDescent="0.25">
      <c r="F402" s="21"/>
    </row>
    <row r="403" spans="6:6" ht="15.75" customHeight="1" x14ac:dyDescent="0.25">
      <c r="F403" s="21"/>
    </row>
    <row r="404" spans="6:6" ht="15.75" customHeight="1" x14ac:dyDescent="0.25">
      <c r="F404" s="21"/>
    </row>
    <row r="405" spans="6:6" ht="15.75" customHeight="1" x14ac:dyDescent="0.25">
      <c r="F405" s="21"/>
    </row>
    <row r="406" spans="6:6" ht="15.75" customHeight="1" x14ac:dyDescent="0.25">
      <c r="F406" s="21"/>
    </row>
    <row r="407" spans="6:6" ht="15.75" customHeight="1" x14ac:dyDescent="0.25">
      <c r="F407" s="21"/>
    </row>
    <row r="408" spans="6:6" ht="15.75" customHeight="1" x14ac:dyDescent="0.25">
      <c r="F408" s="21"/>
    </row>
    <row r="409" spans="6:6" ht="15.75" customHeight="1" x14ac:dyDescent="0.25">
      <c r="F409" s="21"/>
    </row>
    <row r="410" spans="6:6" ht="15.75" customHeight="1" x14ac:dyDescent="0.25">
      <c r="F410" s="21"/>
    </row>
    <row r="411" spans="6:6" ht="15.75" customHeight="1" x14ac:dyDescent="0.25">
      <c r="F411" s="21"/>
    </row>
    <row r="412" spans="6:6" ht="15.75" customHeight="1" x14ac:dyDescent="0.25">
      <c r="F412" s="21"/>
    </row>
    <row r="413" spans="6:6" ht="15.75" customHeight="1" x14ac:dyDescent="0.25">
      <c r="F413" s="21"/>
    </row>
    <row r="414" spans="6:6" ht="15.75" customHeight="1" x14ac:dyDescent="0.25">
      <c r="F414" s="21"/>
    </row>
    <row r="415" spans="6:6" ht="15.75" customHeight="1" x14ac:dyDescent="0.25">
      <c r="F415" s="21"/>
    </row>
    <row r="416" spans="6:6" ht="15.75" customHeight="1" x14ac:dyDescent="0.25">
      <c r="F416" s="21"/>
    </row>
    <row r="417" spans="6:6" ht="15.75" customHeight="1" x14ac:dyDescent="0.25">
      <c r="F417" s="21"/>
    </row>
    <row r="418" spans="6:6" ht="15.75" customHeight="1" x14ac:dyDescent="0.25">
      <c r="F418" s="21"/>
    </row>
    <row r="419" spans="6:6" ht="15.75" customHeight="1" x14ac:dyDescent="0.25">
      <c r="F419" s="21"/>
    </row>
    <row r="420" spans="6:6" ht="15.75" customHeight="1" x14ac:dyDescent="0.25">
      <c r="F420" s="21"/>
    </row>
    <row r="421" spans="6:6" ht="15.75" customHeight="1" x14ac:dyDescent="0.25">
      <c r="F421" s="21"/>
    </row>
    <row r="422" spans="6:6" ht="15.75" customHeight="1" x14ac:dyDescent="0.25">
      <c r="F422" s="21"/>
    </row>
    <row r="423" spans="6:6" ht="15.75" customHeight="1" x14ac:dyDescent="0.25">
      <c r="F423" s="21"/>
    </row>
    <row r="424" spans="6:6" ht="15.75" customHeight="1" x14ac:dyDescent="0.25">
      <c r="F424" s="21"/>
    </row>
    <row r="425" spans="6:6" ht="15.75" customHeight="1" x14ac:dyDescent="0.25">
      <c r="F425" s="21"/>
    </row>
    <row r="426" spans="6:6" ht="15.75" customHeight="1" x14ac:dyDescent="0.25">
      <c r="F426" s="21"/>
    </row>
    <row r="427" spans="6:6" ht="15.75" customHeight="1" x14ac:dyDescent="0.25">
      <c r="F427" s="21"/>
    </row>
    <row r="428" spans="6:6" ht="15.75" customHeight="1" x14ac:dyDescent="0.25">
      <c r="F428" s="21"/>
    </row>
    <row r="429" spans="6:6" ht="15.75" customHeight="1" x14ac:dyDescent="0.25">
      <c r="F429" s="21"/>
    </row>
    <row r="430" spans="6:6" ht="15.75" customHeight="1" x14ac:dyDescent="0.25">
      <c r="F430" s="21"/>
    </row>
    <row r="431" spans="6:6" ht="15.75" customHeight="1" x14ac:dyDescent="0.25">
      <c r="F431" s="21"/>
    </row>
    <row r="432" spans="6:6" ht="15.75" customHeight="1" x14ac:dyDescent="0.25">
      <c r="F432" s="21"/>
    </row>
    <row r="433" spans="6:6" ht="15.75" customHeight="1" x14ac:dyDescent="0.25">
      <c r="F433" s="21"/>
    </row>
    <row r="434" spans="6:6" ht="15.75" customHeight="1" x14ac:dyDescent="0.25">
      <c r="F434" s="21"/>
    </row>
    <row r="435" spans="6:6" ht="15.75" customHeight="1" x14ac:dyDescent="0.25">
      <c r="F435" s="21"/>
    </row>
    <row r="436" spans="6:6" ht="15.75" customHeight="1" x14ac:dyDescent="0.25">
      <c r="F436" s="21"/>
    </row>
    <row r="437" spans="6:6" ht="15.75" customHeight="1" x14ac:dyDescent="0.25">
      <c r="F437" s="21"/>
    </row>
    <row r="438" spans="6:6" ht="15.75" customHeight="1" x14ac:dyDescent="0.25">
      <c r="F438" s="21"/>
    </row>
    <row r="439" spans="6:6" ht="15.75" customHeight="1" x14ac:dyDescent="0.25">
      <c r="F439" s="21"/>
    </row>
    <row r="440" spans="6:6" ht="15.75" customHeight="1" x14ac:dyDescent="0.25">
      <c r="F440" s="21"/>
    </row>
    <row r="441" spans="6:6" ht="15.75" customHeight="1" x14ac:dyDescent="0.25">
      <c r="F441" s="21"/>
    </row>
    <row r="442" spans="6:6" ht="15.75" customHeight="1" x14ac:dyDescent="0.25">
      <c r="F442" s="21"/>
    </row>
    <row r="443" spans="6:6" ht="15.75" customHeight="1" x14ac:dyDescent="0.25">
      <c r="F443" s="21"/>
    </row>
    <row r="444" spans="6:6" ht="15.75" customHeight="1" x14ac:dyDescent="0.25">
      <c r="F444" s="21"/>
    </row>
    <row r="445" spans="6:6" ht="15.75" customHeight="1" x14ac:dyDescent="0.25">
      <c r="F445" s="21"/>
    </row>
    <row r="446" spans="6:6" ht="15.75" customHeight="1" x14ac:dyDescent="0.25">
      <c r="F446" s="21"/>
    </row>
    <row r="447" spans="6:6" ht="15.75" customHeight="1" x14ac:dyDescent="0.25">
      <c r="F447" s="21"/>
    </row>
    <row r="448" spans="6:6" ht="15.75" customHeight="1" x14ac:dyDescent="0.25">
      <c r="F448" s="21"/>
    </row>
    <row r="449" spans="6:6" ht="15.75" customHeight="1" x14ac:dyDescent="0.25">
      <c r="F449" s="21"/>
    </row>
    <row r="450" spans="6:6" ht="15.75" customHeight="1" x14ac:dyDescent="0.25">
      <c r="F450" s="21"/>
    </row>
    <row r="451" spans="6:6" ht="15.75" customHeight="1" x14ac:dyDescent="0.25">
      <c r="F451" s="21"/>
    </row>
    <row r="452" spans="6:6" ht="15.75" customHeight="1" x14ac:dyDescent="0.25">
      <c r="F452" s="21"/>
    </row>
    <row r="453" spans="6:6" ht="15.75" customHeight="1" x14ac:dyDescent="0.25">
      <c r="F453" s="21"/>
    </row>
    <row r="454" spans="6:6" ht="15.75" customHeight="1" x14ac:dyDescent="0.25">
      <c r="F454" s="21"/>
    </row>
    <row r="455" spans="6:6" ht="15.75" customHeight="1" x14ac:dyDescent="0.25">
      <c r="F455" s="21"/>
    </row>
    <row r="456" spans="6:6" ht="15.75" customHeight="1" x14ac:dyDescent="0.25">
      <c r="F456" s="21"/>
    </row>
    <row r="457" spans="6:6" ht="15.75" customHeight="1" x14ac:dyDescent="0.25">
      <c r="F457" s="21"/>
    </row>
    <row r="458" spans="6:6" ht="15.75" customHeight="1" x14ac:dyDescent="0.25">
      <c r="F458" s="21"/>
    </row>
    <row r="459" spans="6:6" ht="15.75" customHeight="1" x14ac:dyDescent="0.25">
      <c r="F459" s="21"/>
    </row>
    <row r="460" spans="6:6" ht="15.75" customHeight="1" x14ac:dyDescent="0.25">
      <c r="F460" s="21"/>
    </row>
    <row r="461" spans="6:6" ht="15.75" customHeight="1" x14ac:dyDescent="0.25">
      <c r="F461" s="21"/>
    </row>
    <row r="462" spans="6:6" ht="15.75" customHeight="1" x14ac:dyDescent="0.25">
      <c r="F462" s="21"/>
    </row>
    <row r="463" spans="6:6" ht="15.75" customHeight="1" x14ac:dyDescent="0.25">
      <c r="F463" s="21"/>
    </row>
    <row r="464" spans="6:6" ht="15.75" customHeight="1" x14ac:dyDescent="0.25">
      <c r="F464" s="21"/>
    </row>
    <row r="465" spans="6:6" ht="15.75" customHeight="1" x14ac:dyDescent="0.25">
      <c r="F465" s="21"/>
    </row>
    <row r="466" spans="6:6" ht="15.75" customHeight="1" x14ac:dyDescent="0.25">
      <c r="F466" s="21"/>
    </row>
    <row r="467" spans="6:6" ht="15.75" customHeight="1" x14ac:dyDescent="0.25">
      <c r="F467" s="21"/>
    </row>
    <row r="468" spans="6:6" ht="15.75" customHeight="1" x14ac:dyDescent="0.25">
      <c r="F468" s="21"/>
    </row>
    <row r="469" spans="6:6" ht="15.75" customHeight="1" x14ac:dyDescent="0.25">
      <c r="F469" s="21"/>
    </row>
    <row r="470" spans="6:6" ht="15.75" customHeight="1" x14ac:dyDescent="0.25">
      <c r="F470" s="21"/>
    </row>
    <row r="471" spans="6:6" ht="15.75" customHeight="1" x14ac:dyDescent="0.25">
      <c r="F471" s="21"/>
    </row>
    <row r="472" spans="6:6" ht="15.75" customHeight="1" x14ac:dyDescent="0.25">
      <c r="F472" s="21"/>
    </row>
    <row r="473" spans="6:6" ht="15.75" customHeight="1" x14ac:dyDescent="0.25">
      <c r="F473" s="21"/>
    </row>
    <row r="474" spans="6:6" ht="15.75" customHeight="1" x14ac:dyDescent="0.25">
      <c r="F474" s="21"/>
    </row>
    <row r="475" spans="6:6" ht="15.75" customHeight="1" x14ac:dyDescent="0.25">
      <c r="F475" s="21"/>
    </row>
    <row r="476" spans="6:6" ht="15.75" customHeight="1" x14ac:dyDescent="0.25">
      <c r="F476" s="21"/>
    </row>
    <row r="477" spans="6:6" ht="15.75" customHeight="1" x14ac:dyDescent="0.25">
      <c r="F477" s="21"/>
    </row>
    <row r="478" spans="6:6" ht="15.75" customHeight="1" x14ac:dyDescent="0.25">
      <c r="F478" s="21"/>
    </row>
    <row r="479" spans="6:6" ht="15.75" customHeight="1" x14ac:dyDescent="0.25">
      <c r="F479" s="21"/>
    </row>
    <row r="480" spans="6:6" ht="15.75" customHeight="1" x14ac:dyDescent="0.25">
      <c r="F480" s="21"/>
    </row>
    <row r="481" spans="6:6" ht="15.75" customHeight="1" x14ac:dyDescent="0.25">
      <c r="F481" s="21"/>
    </row>
    <row r="482" spans="6:6" ht="15.75" customHeight="1" x14ac:dyDescent="0.25">
      <c r="F482" s="21"/>
    </row>
    <row r="483" spans="6:6" ht="15.75" customHeight="1" x14ac:dyDescent="0.25">
      <c r="F483" s="21"/>
    </row>
    <row r="484" spans="6:6" ht="15.75" customHeight="1" x14ac:dyDescent="0.25">
      <c r="F484" s="21"/>
    </row>
    <row r="485" spans="6:6" ht="15.75" customHeight="1" x14ac:dyDescent="0.25">
      <c r="F485" s="21"/>
    </row>
    <row r="486" spans="6:6" ht="15.75" customHeight="1" x14ac:dyDescent="0.25">
      <c r="F486" s="21"/>
    </row>
    <row r="487" spans="6:6" ht="15.75" customHeight="1" x14ac:dyDescent="0.25">
      <c r="F487" s="21"/>
    </row>
    <row r="488" spans="6:6" ht="15.75" customHeight="1" x14ac:dyDescent="0.25">
      <c r="F488" s="21"/>
    </row>
    <row r="489" spans="6:6" ht="15.75" customHeight="1" x14ac:dyDescent="0.25">
      <c r="F489" s="21"/>
    </row>
    <row r="490" spans="6:6" ht="15.75" customHeight="1" x14ac:dyDescent="0.25">
      <c r="F490" s="21"/>
    </row>
    <row r="491" spans="6:6" ht="15.75" customHeight="1" x14ac:dyDescent="0.25">
      <c r="F491" s="21"/>
    </row>
    <row r="492" spans="6:6" ht="15.75" customHeight="1" x14ac:dyDescent="0.25">
      <c r="F492" s="21"/>
    </row>
    <row r="493" spans="6:6" ht="15.75" customHeight="1" x14ac:dyDescent="0.25">
      <c r="F493" s="21"/>
    </row>
    <row r="494" spans="6:6" ht="15.75" customHeight="1" x14ac:dyDescent="0.25">
      <c r="F494" s="21"/>
    </row>
    <row r="495" spans="6:6" ht="15.75" customHeight="1" x14ac:dyDescent="0.25">
      <c r="F495" s="21"/>
    </row>
    <row r="496" spans="6:6" ht="15.75" customHeight="1" x14ac:dyDescent="0.25">
      <c r="F496" s="21"/>
    </row>
    <row r="497" spans="6:6" ht="15.75" customHeight="1" x14ac:dyDescent="0.25">
      <c r="F497" s="21"/>
    </row>
    <row r="498" spans="6:6" ht="15.75" customHeight="1" x14ac:dyDescent="0.25">
      <c r="F498" s="21"/>
    </row>
    <row r="499" spans="6:6" ht="15.75" customHeight="1" x14ac:dyDescent="0.25">
      <c r="F499" s="21"/>
    </row>
    <row r="500" spans="6:6" ht="15.75" customHeight="1" x14ac:dyDescent="0.25">
      <c r="F500" s="21"/>
    </row>
    <row r="501" spans="6:6" ht="15.75" customHeight="1" x14ac:dyDescent="0.25">
      <c r="F501" s="21"/>
    </row>
    <row r="502" spans="6:6" ht="15.75" customHeight="1" x14ac:dyDescent="0.25">
      <c r="F502" s="21"/>
    </row>
    <row r="503" spans="6:6" ht="15.75" customHeight="1" x14ac:dyDescent="0.25">
      <c r="F503" s="21"/>
    </row>
    <row r="504" spans="6:6" ht="15.75" customHeight="1" x14ac:dyDescent="0.25">
      <c r="F504" s="21"/>
    </row>
    <row r="505" spans="6:6" ht="15.75" customHeight="1" x14ac:dyDescent="0.25">
      <c r="F505" s="21"/>
    </row>
    <row r="506" spans="6:6" ht="15.75" customHeight="1" x14ac:dyDescent="0.25">
      <c r="F506" s="21"/>
    </row>
    <row r="507" spans="6:6" ht="15.75" customHeight="1" x14ac:dyDescent="0.25">
      <c r="F507" s="21"/>
    </row>
    <row r="508" spans="6:6" ht="15.75" customHeight="1" x14ac:dyDescent="0.25">
      <c r="F508" s="21"/>
    </row>
    <row r="509" spans="6:6" ht="15.75" customHeight="1" x14ac:dyDescent="0.25">
      <c r="F509" s="21"/>
    </row>
    <row r="510" spans="6:6" ht="15.75" customHeight="1" x14ac:dyDescent="0.25">
      <c r="F510" s="21"/>
    </row>
    <row r="511" spans="6:6" ht="15.75" customHeight="1" x14ac:dyDescent="0.25">
      <c r="F511" s="21"/>
    </row>
    <row r="512" spans="6:6" ht="15.75" customHeight="1" x14ac:dyDescent="0.25">
      <c r="F512" s="21"/>
    </row>
    <row r="513" spans="6:6" ht="15.75" customHeight="1" x14ac:dyDescent="0.25">
      <c r="F513" s="21"/>
    </row>
    <row r="514" spans="6:6" ht="15.75" customHeight="1" x14ac:dyDescent="0.25">
      <c r="F514" s="21"/>
    </row>
    <row r="515" spans="6:6" ht="15.75" customHeight="1" x14ac:dyDescent="0.25">
      <c r="F515" s="21"/>
    </row>
    <row r="516" spans="6:6" ht="15.75" customHeight="1" x14ac:dyDescent="0.25">
      <c r="F516" s="21"/>
    </row>
    <row r="517" spans="6:6" ht="15.75" customHeight="1" x14ac:dyDescent="0.25">
      <c r="F517" s="21"/>
    </row>
    <row r="518" spans="6:6" ht="15.75" customHeight="1" x14ac:dyDescent="0.25">
      <c r="F518" s="21"/>
    </row>
    <row r="519" spans="6:6" ht="15.75" customHeight="1" x14ac:dyDescent="0.25">
      <c r="F519" s="21"/>
    </row>
    <row r="520" spans="6:6" ht="15.75" customHeight="1" x14ac:dyDescent="0.25">
      <c r="F520" s="21"/>
    </row>
    <row r="521" spans="6:6" ht="15.75" customHeight="1" x14ac:dyDescent="0.25">
      <c r="F521" s="21"/>
    </row>
    <row r="522" spans="6:6" ht="15.75" customHeight="1" x14ac:dyDescent="0.25">
      <c r="F522" s="21"/>
    </row>
    <row r="523" spans="6:6" ht="15.75" customHeight="1" x14ac:dyDescent="0.25">
      <c r="F523" s="21"/>
    </row>
    <row r="524" spans="6:6" ht="15.75" customHeight="1" x14ac:dyDescent="0.25">
      <c r="F524" s="21"/>
    </row>
    <row r="525" spans="6:6" ht="15.75" customHeight="1" x14ac:dyDescent="0.25">
      <c r="F525" s="21"/>
    </row>
    <row r="526" spans="6:6" ht="15.75" customHeight="1" x14ac:dyDescent="0.25">
      <c r="F526" s="21"/>
    </row>
    <row r="527" spans="6:6" ht="15.75" customHeight="1" x14ac:dyDescent="0.25">
      <c r="F527" s="21"/>
    </row>
    <row r="528" spans="6:6" ht="15.75" customHeight="1" x14ac:dyDescent="0.25">
      <c r="F528" s="21"/>
    </row>
    <row r="529" spans="6:6" ht="15.75" customHeight="1" x14ac:dyDescent="0.25">
      <c r="F529" s="21"/>
    </row>
    <row r="530" spans="6:6" ht="15.75" customHeight="1" x14ac:dyDescent="0.25">
      <c r="F530" s="21"/>
    </row>
    <row r="531" spans="6:6" ht="15.75" customHeight="1" x14ac:dyDescent="0.25">
      <c r="F531" s="21"/>
    </row>
    <row r="532" spans="6:6" ht="15.75" customHeight="1" x14ac:dyDescent="0.25">
      <c r="F532" s="21"/>
    </row>
    <row r="533" spans="6:6" ht="15.75" customHeight="1" x14ac:dyDescent="0.25">
      <c r="F533" s="21"/>
    </row>
    <row r="534" spans="6:6" ht="15.75" customHeight="1" x14ac:dyDescent="0.25">
      <c r="F534" s="21"/>
    </row>
    <row r="535" spans="6:6" ht="15.75" customHeight="1" x14ac:dyDescent="0.25">
      <c r="F535" s="21"/>
    </row>
    <row r="536" spans="6:6" ht="15.75" customHeight="1" x14ac:dyDescent="0.25">
      <c r="F536" s="21"/>
    </row>
    <row r="537" spans="6:6" ht="15.75" customHeight="1" x14ac:dyDescent="0.25">
      <c r="F537" s="21"/>
    </row>
    <row r="538" spans="6:6" ht="15.75" customHeight="1" x14ac:dyDescent="0.25">
      <c r="F538" s="21"/>
    </row>
    <row r="539" spans="6:6" ht="15.75" customHeight="1" x14ac:dyDescent="0.25">
      <c r="F539" s="21"/>
    </row>
    <row r="540" spans="6:6" ht="15.75" customHeight="1" x14ac:dyDescent="0.25">
      <c r="F540" s="21"/>
    </row>
    <row r="541" spans="6:6" ht="15.75" customHeight="1" x14ac:dyDescent="0.25">
      <c r="F541" s="21"/>
    </row>
    <row r="542" spans="6:6" ht="15.75" customHeight="1" x14ac:dyDescent="0.25">
      <c r="F542" s="21"/>
    </row>
    <row r="543" spans="6:6" ht="15.75" customHeight="1" x14ac:dyDescent="0.25">
      <c r="F543" s="21"/>
    </row>
    <row r="544" spans="6:6" ht="15.75" customHeight="1" x14ac:dyDescent="0.25">
      <c r="F544" s="21"/>
    </row>
    <row r="545" spans="6:6" ht="15.75" customHeight="1" x14ac:dyDescent="0.25">
      <c r="F545" s="21"/>
    </row>
    <row r="546" spans="6:6" ht="15.75" customHeight="1" x14ac:dyDescent="0.25">
      <c r="F546" s="21"/>
    </row>
    <row r="547" spans="6:6" ht="15.75" customHeight="1" x14ac:dyDescent="0.25">
      <c r="F547" s="21"/>
    </row>
    <row r="548" spans="6:6" ht="15.75" customHeight="1" x14ac:dyDescent="0.25">
      <c r="F548" s="21"/>
    </row>
    <row r="549" spans="6:6" ht="15.75" customHeight="1" x14ac:dyDescent="0.25">
      <c r="F549" s="21"/>
    </row>
    <row r="550" spans="6:6" ht="15.75" customHeight="1" x14ac:dyDescent="0.25">
      <c r="F550" s="21"/>
    </row>
    <row r="551" spans="6:6" ht="15.75" customHeight="1" x14ac:dyDescent="0.25">
      <c r="F551" s="21"/>
    </row>
    <row r="552" spans="6:6" ht="15.75" customHeight="1" x14ac:dyDescent="0.25">
      <c r="F552" s="21"/>
    </row>
    <row r="553" spans="6:6" ht="15.75" customHeight="1" x14ac:dyDescent="0.25">
      <c r="F553" s="21"/>
    </row>
    <row r="554" spans="6:6" ht="15.75" customHeight="1" x14ac:dyDescent="0.25">
      <c r="F554" s="21"/>
    </row>
    <row r="555" spans="6:6" ht="15.75" customHeight="1" x14ac:dyDescent="0.25">
      <c r="F555" s="21"/>
    </row>
    <row r="556" spans="6:6" ht="15.75" customHeight="1" x14ac:dyDescent="0.25">
      <c r="F556" s="21"/>
    </row>
    <row r="557" spans="6:6" ht="15.75" customHeight="1" x14ac:dyDescent="0.25">
      <c r="F557" s="21"/>
    </row>
    <row r="558" spans="6:6" ht="15.75" customHeight="1" x14ac:dyDescent="0.25">
      <c r="F558" s="21"/>
    </row>
    <row r="559" spans="6:6" ht="15.75" customHeight="1" x14ac:dyDescent="0.25">
      <c r="F559" s="21"/>
    </row>
    <row r="560" spans="6:6" ht="15.75" customHeight="1" x14ac:dyDescent="0.25">
      <c r="F560" s="21"/>
    </row>
    <row r="561" spans="6:6" ht="15.75" customHeight="1" x14ac:dyDescent="0.25">
      <c r="F561" s="21"/>
    </row>
    <row r="562" spans="6:6" ht="15.75" customHeight="1" x14ac:dyDescent="0.25">
      <c r="F562" s="21"/>
    </row>
    <row r="563" spans="6:6" ht="15.75" customHeight="1" x14ac:dyDescent="0.25">
      <c r="F563" s="21"/>
    </row>
    <row r="564" spans="6:6" ht="15.75" customHeight="1" x14ac:dyDescent="0.25">
      <c r="F564" s="21"/>
    </row>
    <row r="565" spans="6:6" ht="15.75" customHeight="1" x14ac:dyDescent="0.25">
      <c r="F565" s="21"/>
    </row>
    <row r="566" spans="6:6" ht="15.75" customHeight="1" x14ac:dyDescent="0.25">
      <c r="F566" s="21"/>
    </row>
    <row r="567" spans="6:6" ht="15.75" customHeight="1" x14ac:dyDescent="0.25">
      <c r="F567" s="21"/>
    </row>
    <row r="568" spans="6:6" ht="15.75" customHeight="1" x14ac:dyDescent="0.25">
      <c r="F568" s="21"/>
    </row>
    <row r="569" spans="6:6" ht="15.75" customHeight="1" x14ac:dyDescent="0.25">
      <c r="F569" s="21"/>
    </row>
    <row r="570" spans="6:6" ht="15.75" customHeight="1" x14ac:dyDescent="0.25">
      <c r="F570" s="21"/>
    </row>
    <row r="571" spans="6:6" ht="15.75" customHeight="1" x14ac:dyDescent="0.25">
      <c r="F571" s="21"/>
    </row>
    <row r="572" spans="6:6" ht="15.75" customHeight="1" x14ac:dyDescent="0.25">
      <c r="F572" s="21"/>
    </row>
    <row r="573" spans="6:6" ht="15.75" customHeight="1" x14ac:dyDescent="0.25">
      <c r="F573" s="21"/>
    </row>
    <row r="574" spans="6:6" ht="15.75" customHeight="1" x14ac:dyDescent="0.25">
      <c r="F574" s="21"/>
    </row>
    <row r="575" spans="6:6" ht="15.75" customHeight="1" x14ac:dyDescent="0.25">
      <c r="F575" s="21"/>
    </row>
    <row r="576" spans="6:6" ht="15.75" customHeight="1" x14ac:dyDescent="0.25">
      <c r="F576" s="21"/>
    </row>
    <row r="577" spans="6:6" ht="15.75" customHeight="1" x14ac:dyDescent="0.25">
      <c r="F577" s="21"/>
    </row>
    <row r="578" spans="6:6" ht="15.75" customHeight="1" x14ac:dyDescent="0.25">
      <c r="F578" s="21"/>
    </row>
    <row r="579" spans="6:6" ht="15.75" customHeight="1" x14ac:dyDescent="0.25">
      <c r="F579" s="21"/>
    </row>
    <row r="580" spans="6:6" ht="15.75" customHeight="1" x14ac:dyDescent="0.25">
      <c r="F580" s="21"/>
    </row>
    <row r="581" spans="6:6" ht="15.75" customHeight="1" x14ac:dyDescent="0.25">
      <c r="F581" s="21"/>
    </row>
    <row r="582" spans="6:6" ht="15.75" customHeight="1" x14ac:dyDescent="0.25">
      <c r="F582" s="21"/>
    </row>
    <row r="583" spans="6:6" ht="15.75" customHeight="1" x14ac:dyDescent="0.25">
      <c r="F583" s="21"/>
    </row>
    <row r="584" spans="6:6" ht="15.75" customHeight="1" x14ac:dyDescent="0.25">
      <c r="F584" s="21"/>
    </row>
    <row r="585" spans="6:6" ht="15.75" customHeight="1" x14ac:dyDescent="0.25">
      <c r="F585" s="21"/>
    </row>
    <row r="586" spans="6:6" ht="15.75" customHeight="1" x14ac:dyDescent="0.25">
      <c r="F586" s="21"/>
    </row>
    <row r="587" spans="6:6" ht="15.75" customHeight="1" x14ac:dyDescent="0.25">
      <c r="F587" s="21"/>
    </row>
    <row r="588" spans="6:6" ht="15.75" customHeight="1" x14ac:dyDescent="0.25">
      <c r="F588" s="21"/>
    </row>
    <row r="589" spans="6:6" ht="15.75" customHeight="1" x14ac:dyDescent="0.25">
      <c r="F589" s="21"/>
    </row>
    <row r="590" spans="6:6" ht="15.75" customHeight="1" x14ac:dyDescent="0.25">
      <c r="F590" s="21"/>
    </row>
    <row r="591" spans="6:6" ht="15.75" customHeight="1" x14ac:dyDescent="0.25">
      <c r="F591" s="21"/>
    </row>
    <row r="592" spans="6:6" ht="15.75" customHeight="1" x14ac:dyDescent="0.25">
      <c r="F592" s="21"/>
    </row>
    <row r="593" spans="6:6" ht="15.75" customHeight="1" x14ac:dyDescent="0.25">
      <c r="F593" s="21"/>
    </row>
    <row r="594" spans="6:6" ht="15.75" customHeight="1" x14ac:dyDescent="0.25">
      <c r="F594" s="21"/>
    </row>
    <row r="595" spans="6:6" ht="15.75" customHeight="1" x14ac:dyDescent="0.25">
      <c r="F595" s="21"/>
    </row>
    <row r="596" spans="6:6" ht="15.75" customHeight="1" x14ac:dyDescent="0.25">
      <c r="F596" s="21"/>
    </row>
    <row r="597" spans="6:6" ht="15.75" customHeight="1" x14ac:dyDescent="0.25">
      <c r="F597" s="21"/>
    </row>
    <row r="598" spans="6:6" ht="15.75" customHeight="1" x14ac:dyDescent="0.25">
      <c r="F598" s="21"/>
    </row>
    <row r="599" spans="6:6" ht="15.75" customHeight="1" x14ac:dyDescent="0.25">
      <c r="F599" s="21"/>
    </row>
    <row r="600" spans="6:6" ht="15.75" customHeight="1" x14ac:dyDescent="0.25">
      <c r="F600" s="21"/>
    </row>
    <row r="601" spans="6:6" ht="15.75" customHeight="1" x14ac:dyDescent="0.25">
      <c r="F601" s="21"/>
    </row>
    <row r="602" spans="6:6" ht="15.75" customHeight="1" x14ac:dyDescent="0.25">
      <c r="F602" s="21"/>
    </row>
    <row r="603" spans="6:6" ht="15.75" customHeight="1" x14ac:dyDescent="0.25">
      <c r="F603" s="21"/>
    </row>
    <row r="604" spans="6:6" ht="15.75" customHeight="1" x14ac:dyDescent="0.25">
      <c r="F604" s="21"/>
    </row>
    <row r="605" spans="6:6" ht="15.75" customHeight="1" x14ac:dyDescent="0.25">
      <c r="F605" s="21"/>
    </row>
    <row r="606" spans="6:6" ht="15.75" customHeight="1" x14ac:dyDescent="0.25">
      <c r="F606" s="21"/>
    </row>
    <row r="607" spans="6:6" ht="15.75" customHeight="1" x14ac:dyDescent="0.25">
      <c r="F607" s="21"/>
    </row>
    <row r="608" spans="6:6" ht="15.75" customHeight="1" x14ac:dyDescent="0.25">
      <c r="F608" s="21"/>
    </row>
    <row r="609" spans="6:6" ht="15.75" customHeight="1" x14ac:dyDescent="0.25">
      <c r="F609" s="21"/>
    </row>
    <row r="610" spans="6:6" ht="15.75" customHeight="1" x14ac:dyDescent="0.25">
      <c r="F610" s="21"/>
    </row>
    <row r="611" spans="6:6" ht="15.75" customHeight="1" x14ac:dyDescent="0.25">
      <c r="F611" s="21"/>
    </row>
    <row r="612" spans="6:6" ht="15.75" customHeight="1" x14ac:dyDescent="0.25">
      <c r="F612" s="21"/>
    </row>
    <row r="613" spans="6:6" ht="15.75" customHeight="1" x14ac:dyDescent="0.25">
      <c r="F613" s="21"/>
    </row>
    <row r="614" spans="6:6" ht="15.75" customHeight="1" x14ac:dyDescent="0.25">
      <c r="F614" s="21"/>
    </row>
    <row r="615" spans="6:6" ht="15.75" customHeight="1" x14ac:dyDescent="0.25">
      <c r="F615" s="21"/>
    </row>
    <row r="616" spans="6:6" ht="15.75" customHeight="1" x14ac:dyDescent="0.25">
      <c r="F616" s="21"/>
    </row>
    <row r="617" spans="6:6" ht="15.75" customHeight="1" x14ac:dyDescent="0.25">
      <c r="F617" s="21"/>
    </row>
    <row r="618" spans="6:6" ht="15.75" customHeight="1" x14ac:dyDescent="0.25">
      <c r="F618" s="21"/>
    </row>
    <row r="619" spans="6:6" ht="15.75" customHeight="1" x14ac:dyDescent="0.25">
      <c r="F619" s="21"/>
    </row>
    <row r="620" spans="6:6" ht="15.75" customHeight="1" x14ac:dyDescent="0.25">
      <c r="F620" s="21"/>
    </row>
    <row r="621" spans="6:6" ht="15.75" customHeight="1" x14ac:dyDescent="0.25">
      <c r="F621" s="21"/>
    </row>
    <row r="622" spans="6:6" ht="15.75" customHeight="1" x14ac:dyDescent="0.25">
      <c r="F622" s="21"/>
    </row>
    <row r="623" spans="6:6" ht="15.75" customHeight="1" x14ac:dyDescent="0.25">
      <c r="F623" s="21"/>
    </row>
    <row r="624" spans="6:6" ht="15.75" customHeight="1" x14ac:dyDescent="0.25">
      <c r="F624" s="21"/>
    </row>
    <row r="625" spans="6:6" ht="15.75" customHeight="1" x14ac:dyDescent="0.25">
      <c r="F625" s="21"/>
    </row>
    <row r="626" spans="6:6" ht="15.75" customHeight="1" x14ac:dyDescent="0.25">
      <c r="F626" s="21"/>
    </row>
    <row r="627" spans="6:6" ht="15.75" customHeight="1" x14ac:dyDescent="0.25">
      <c r="F627" s="21"/>
    </row>
    <row r="628" spans="6:6" ht="15.75" customHeight="1" x14ac:dyDescent="0.25">
      <c r="F628" s="21"/>
    </row>
    <row r="629" spans="6:6" ht="15.75" customHeight="1" x14ac:dyDescent="0.25">
      <c r="F629" s="21"/>
    </row>
    <row r="630" spans="6:6" ht="15.75" customHeight="1" x14ac:dyDescent="0.25">
      <c r="F630" s="21"/>
    </row>
    <row r="631" spans="6:6" ht="15.75" customHeight="1" x14ac:dyDescent="0.25">
      <c r="F631" s="21"/>
    </row>
    <row r="632" spans="6:6" ht="15.75" customHeight="1" x14ac:dyDescent="0.25">
      <c r="F632" s="21"/>
    </row>
    <row r="633" spans="6:6" ht="15.75" customHeight="1" x14ac:dyDescent="0.25">
      <c r="F633" s="21"/>
    </row>
    <row r="634" spans="6:6" ht="15.75" customHeight="1" x14ac:dyDescent="0.25">
      <c r="F634" s="21"/>
    </row>
    <row r="635" spans="6:6" ht="15.75" customHeight="1" x14ac:dyDescent="0.25">
      <c r="F635" s="21"/>
    </row>
    <row r="636" spans="6:6" ht="15.75" customHeight="1" x14ac:dyDescent="0.25">
      <c r="F636" s="21"/>
    </row>
    <row r="637" spans="6:6" ht="15.75" customHeight="1" x14ac:dyDescent="0.25">
      <c r="F637" s="21"/>
    </row>
    <row r="638" spans="6:6" ht="15.75" customHeight="1" x14ac:dyDescent="0.25">
      <c r="F638" s="21"/>
    </row>
    <row r="639" spans="6:6" ht="15.75" customHeight="1" x14ac:dyDescent="0.25">
      <c r="F639" s="21"/>
    </row>
    <row r="640" spans="6:6" ht="15.75" customHeight="1" x14ac:dyDescent="0.25">
      <c r="F640" s="21"/>
    </row>
    <row r="641" spans="6:6" ht="15.75" customHeight="1" x14ac:dyDescent="0.25">
      <c r="F641" s="21"/>
    </row>
    <row r="642" spans="6:6" ht="15.75" customHeight="1" x14ac:dyDescent="0.25">
      <c r="F642" s="21"/>
    </row>
    <row r="643" spans="6:6" ht="15.75" customHeight="1" x14ac:dyDescent="0.25">
      <c r="F643" s="21"/>
    </row>
    <row r="644" spans="6:6" ht="15.75" customHeight="1" x14ac:dyDescent="0.25">
      <c r="F644" s="21"/>
    </row>
    <row r="645" spans="6:6" ht="15.75" customHeight="1" x14ac:dyDescent="0.25">
      <c r="F645" s="21"/>
    </row>
    <row r="646" spans="6:6" ht="15.75" customHeight="1" x14ac:dyDescent="0.25">
      <c r="F646" s="21"/>
    </row>
    <row r="647" spans="6:6" ht="15.75" customHeight="1" x14ac:dyDescent="0.25">
      <c r="F647" s="21"/>
    </row>
    <row r="648" spans="6:6" ht="15.75" customHeight="1" x14ac:dyDescent="0.25">
      <c r="F648" s="21"/>
    </row>
    <row r="649" spans="6:6" ht="15.75" customHeight="1" x14ac:dyDescent="0.25">
      <c r="F649" s="21"/>
    </row>
    <row r="650" spans="6:6" ht="15.75" customHeight="1" x14ac:dyDescent="0.25">
      <c r="F650" s="21"/>
    </row>
    <row r="651" spans="6:6" ht="15.75" customHeight="1" x14ac:dyDescent="0.25">
      <c r="F651" s="21"/>
    </row>
    <row r="652" spans="6:6" ht="15.75" customHeight="1" x14ac:dyDescent="0.25">
      <c r="F652" s="21"/>
    </row>
    <row r="653" spans="6:6" ht="15.75" customHeight="1" x14ac:dyDescent="0.25">
      <c r="F653" s="21"/>
    </row>
    <row r="654" spans="6:6" ht="15.75" customHeight="1" x14ac:dyDescent="0.25">
      <c r="F654" s="21"/>
    </row>
    <row r="655" spans="6:6" ht="15.75" customHeight="1" x14ac:dyDescent="0.25">
      <c r="F655" s="21"/>
    </row>
    <row r="656" spans="6:6" ht="15.75" customHeight="1" x14ac:dyDescent="0.25">
      <c r="F656" s="21"/>
    </row>
    <row r="657" spans="6:6" ht="15.75" customHeight="1" x14ac:dyDescent="0.25">
      <c r="F657" s="21"/>
    </row>
    <row r="658" spans="6:6" ht="15.75" customHeight="1" x14ac:dyDescent="0.25">
      <c r="F658" s="21"/>
    </row>
    <row r="659" spans="6:6" ht="15.75" customHeight="1" x14ac:dyDescent="0.25">
      <c r="F659" s="21"/>
    </row>
    <row r="660" spans="6:6" ht="15.75" customHeight="1" x14ac:dyDescent="0.25">
      <c r="F660" s="21"/>
    </row>
    <row r="661" spans="6:6" ht="15.75" customHeight="1" x14ac:dyDescent="0.25">
      <c r="F661" s="21"/>
    </row>
    <row r="662" spans="6:6" ht="15.75" customHeight="1" x14ac:dyDescent="0.25">
      <c r="F662" s="21"/>
    </row>
    <row r="663" spans="6:6" ht="15.75" customHeight="1" x14ac:dyDescent="0.25">
      <c r="F663" s="21"/>
    </row>
    <row r="664" spans="6:6" ht="15.75" customHeight="1" x14ac:dyDescent="0.25">
      <c r="F664" s="21"/>
    </row>
    <row r="665" spans="6:6" ht="15.75" customHeight="1" x14ac:dyDescent="0.25">
      <c r="F665" s="21"/>
    </row>
    <row r="666" spans="6:6" ht="15.75" customHeight="1" x14ac:dyDescent="0.25">
      <c r="F666" s="21"/>
    </row>
    <row r="667" spans="6:6" ht="15.75" customHeight="1" x14ac:dyDescent="0.25">
      <c r="F667" s="21"/>
    </row>
    <row r="668" spans="6:6" ht="15.75" customHeight="1" x14ac:dyDescent="0.25">
      <c r="F668" s="21"/>
    </row>
    <row r="669" spans="6:6" ht="15.75" customHeight="1" x14ac:dyDescent="0.25">
      <c r="F669" s="21"/>
    </row>
    <row r="670" spans="6:6" ht="15.75" customHeight="1" x14ac:dyDescent="0.25">
      <c r="F670" s="21"/>
    </row>
    <row r="671" spans="6:6" ht="15.75" customHeight="1" x14ac:dyDescent="0.25">
      <c r="F671" s="21"/>
    </row>
    <row r="672" spans="6:6" ht="15.75" customHeight="1" x14ac:dyDescent="0.25">
      <c r="F672" s="21"/>
    </row>
    <row r="673" spans="6:6" ht="15.75" customHeight="1" x14ac:dyDescent="0.25">
      <c r="F673" s="21"/>
    </row>
    <row r="674" spans="6:6" ht="15.75" customHeight="1" x14ac:dyDescent="0.25">
      <c r="F674" s="21"/>
    </row>
    <row r="675" spans="6:6" ht="15.75" customHeight="1" x14ac:dyDescent="0.25">
      <c r="F675" s="21"/>
    </row>
    <row r="676" spans="6:6" ht="15.75" customHeight="1" x14ac:dyDescent="0.25">
      <c r="F676" s="21"/>
    </row>
    <row r="677" spans="6:6" ht="15.75" customHeight="1" x14ac:dyDescent="0.25">
      <c r="F677" s="21"/>
    </row>
    <row r="678" spans="6:6" ht="15.75" customHeight="1" x14ac:dyDescent="0.25">
      <c r="F678" s="21"/>
    </row>
    <row r="679" spans="6:6" ht="15.75" customHeight="1" x14ac:dyDescent="0.25">
      <c r="F679" s="21"/>
    </row>
    <row r="680" spans="6:6" ht="15.75" customHeight="1" x14ac:dyDescent="0.25">
      <c r="F680" s="21"/>
    </row>
    <row r="681" spans="6:6" ht="15.75" customHeight="1" x14ac:dyDescent="0.25">
      <c r="F681" s="21"/>
    </row>
    <row r="682" spans="6:6" ht="15.75" customHeight="1" x14ac:dyDescent="0.25">
      <c r="F682" s="21"/>
    </row>
    <row r="683" spans="6:6" ht="15.75" customHeight="1" x14ac:dyDescent="0.25">
      <c r="F683" s="21"/>
    </row>
    <row r="684" spans="6:6" ht="15.75" customHeight="1" x14ac:dyDescent="0.25">
      <c r="F684" s="21"/>
    </row>
    <row r="685" spans="6:6" ht="15.75" customHeight="1" x14ac:dyDescent="0.25">
      <c r="F685" s="21"/>
    </row>
    <row r="686" spans="6:6" ht="15.75" customHeight="1" x14ac:dyDescent="0.25">
      <c r="F686" s="21"/>
    </row>
    <row r="687" spans="6:6" ht="15.75" customHeight="1" x14ac:dyDescent="0.25">
      <c r="F687" s="21"/>
    </row>
    <row r="688" spans="6:6" ht="15.75" customHeight="1" x14ac:dyDescent="0.25">
      <c r="F688" s="21"/>
    </row>
    <row r="689" spans="6:6" ht="15.75" customHeight="1" x14ac:dyDescent="0.25">
      <c r="F689" s="21"/>
    </row>
    <row r="690" spans="6:6" ht="15.75" customHeight="1" x14ac:dyDescent="0.25">
      <c r="F690" s="21"/>
    </row>
    <row r="691" spans="6:6" ht="15.75" customHeight="1" x14ac:dyDescent="0.25">
      <c r="F691" s="21"/>
    </row>
    <row r="692" spans="6:6" ht="15.75" customHeight="1" x14ac:dyDescent="0.25">
      <c r="F692" s="21"/>
    </row>
    <row r="693" spans="6:6" ht="15.75" customHeight="1" x14ac:dyDescent="0.25">
      <c r="F693" s="21"/>
    </row>
    <row r="694" spans="6:6" ht="15.75" customHeight="1" x14ac:dyDescent="0.25">
      <c r="F694" s="21"/>
    </row>
    <row r="695" spans="6:6" ht="15.75" customHeight="1" x14ac:dyDescent="0.25">
      <c r="F695" s="21"/>
    </row>
    <row r="696" spans="6:6" ht="15.75" customHeight="1" x14ac:dyDescent="0.25">
      <c r="F696" s="21"/>
    </row>
    <row r="697" spans="6:6" ht="15.75" customHeight="1" x14ac:dyDescent="0.25">
      <c r="F697" s="21"/>
    </row>
    <row r="698" spans="6:6" ht="15.75" customHeight="1" x14ac:dyDescent="0.25">
      <c r="F698" s="21"/>
    </row>
    <row r="699" spans="6:6" ht="15.75" customHeight="1" x14ac:dyDescent="0.25">
      <c r="F699" s="21"/>
    </row>
    <row r="700" spans="6:6" ht="15.75" customHeight="1" x14ac:dyDescent="0.25">
      <c r="F700" s="21"/>
    </row>
    <row r="701" spans="6:6" ht="15.75" customHeight="1" x14ac:dyDescent="0.25">
      <c r="F701" s="21"/>
    </row>
    <row r="702" spans="6:6" ht="15.75" customHeight="1" x14ac:dyDescent="0.25">
      <c r="F702" s="21"/>
    </row>
    <row r="703" spans="6:6" ht="15.75" customHeight="1" x14ac:dyDescent="0.25">
      <c r="F703" s="21"/>
    </row>
    <row r="704" spans="6:6" ht="15.75" customHeight="1" x14ac:dyDescent="0.25">
      <c r="F704" s="21"/>
    </row>
    <row r="705" spans="6:6" ht="15.75" customHeight="1" x14ac:dyDescent="0.25">
      <c r="F705" s="21"/>
    </row>
    <row r="706" spans="6:6" ht="15.75" customHeight="1" x14ac:dyDescent="0.25">
      <c r="F706" s="21"/>
    </row>
    <row r="707" spans="6:6" ht="15.75" customHeight="1" x14ac:dyDescent="0.25">
      <c r="F707" s="21"/>
    </row>
    <row r="708" spans="6:6" ht="15.75" customHeight="1" x14ac:dyDescent="0.25">
      <c r="F708" s="21"/>
    </row>
    <row r="709" spans="6:6" ht="15.75" customHeight="1" x14ac:dyDescent="0.25">
      <c r="F709" s="21"/>
    </row>
    <row r="710" spans="6:6" ht="15.75" customHeight="1" x14ac:dyDescent="0.25">
      <c r="F710" s="21"/>
    </row>
    <row r="711" spans="6:6" ht="15.75" customHeight="1" x14ac:dyDescent="0.25">
      <c r="F711" s="21"/>
    </row>
    <row r="712" spans="6:6" ht="15.75" customHeight="1" x14ac:dyDescent="0.25">
      <c r="F712" s="21"/>
    </row>
    <row r="713" spans="6:6" ht="15.75" customHeight="1" x14ac:dyDescent="0.25">
      <c r="F713" s="21"/>
    </row>
    <row r="714" spans="6:6" ht="15.75" customHeight="1" x14ac:dyDescent="0.25">
      <c r="F714" s="21"/>
    </row>
    <row r="715" spans="6:6" ht="15.75" customHeight="1" x14ac:dyDescent="0.25">
      <c r="F715" s="21"/>
    </row>
    <row r="716" spans="6:6" ht="15.75" customHeight="1" x14ac:dyDescent="0.25">
      <c r="F716" s="21"/>
    </row>
    <row r="717" spans="6:6" ht="15.75" customHeight="1" x14ac:dyDescent="0.25">
      <c r="F717" s="21"/>
    </row>
    <row r="718" spans="6:6" ht="15.75" customHeight="1" x14ac:dyDescent="0.25">
      <c r="F718" s="21"/>
    </row>
    <row r="719" spans="6:6" ht="15.75" customHeight="1" x14ac:dyDescent="0.25">
      <c r="F719" s="21"/>
    </row>
    <row r="720" spans="6:6" ht="15.75" customHeight="1" x14ac:dyDescent="0.25">
      <c r="F720" s="21"/>
    </row>
    <row r="721" spans="6:6" ht="15.75" customHeight="1" x14ac:dyDescent="0.25">
      <c r="F721" s="21"/>
    </row>
    <row r="722" spans="6:6" ht="15.75" customHeight="1" x14ac:dyDescent="0.25">
      <c r="F722" s="21"/>
    </row>
    <row r="723" spans="6:6" ht="15.75" customHeight="1" x14ac:dyDescent="0.25">
      <c r="F723" s="21"/>
    </row>
    <row r="724" spans="6:6" ht="15.75" customHeight="1" x14ac:dyDescent="0.25">
      <c r="F724" s="21"/>
    </row>
    <row r="725" spans="6:6" ht="15.75" customHeight="1" x14ac:dyDescent="0.25">
      <c r="F725" s="21"/>
    </row>
    <row r="726" spans="6:6" ht="15.75" customHeight="1" x14ac:dyDescent="0.25">
      <c r="F726" s="21"/>
    </row>
    <row r="727" spans="6:6" ht="15.75" customHeight="1" x14ac:dyDescent="0.25">
      <c r="F727" s="21"/>
    </row>
    <row r="728" spans="6:6" ht="15.75" customHeight="1" x14ac:dyDescent="0.25">
      <c r="F728" s="21"/>
    </row>
    <row r="729" spans="6:6" ht="15.75" customHeight="1" x14ac:dyDescent="0.25">
      <c r="F729" s="21"/>
    </row>
    <row r="730" spans="6:6" ht="15.75" customHeight="1" x14ac:dyDescent="0.25">
      <c r="F730" s="21"/>
    </row>
    <row r="731" spans="6:6" ht="15.75" customHeight="1" x14ac:dyDescent="0.25">
      <c r="F731" s="21"/>
    </row>
    <row r="732" spans="6:6" ht="15.75" customHeight="1" x14ac:dyDescent="0.25">
      <c r="F732" s="21"/>
    </row>
    <row r="733" spans="6:6" ht="15.75" customHeight="1" x14ac:dyDescent="0.25">
      <c r="F733" s="21"/>
    </row>
    <row r="734" spans="6:6" ht="15.75" customHeight="1" x14ac:dyDescent="0.25">
      <c r="F734" s="21"/>
    </row>
    <row r="735" spans="6:6" ht="15.75" customHeight="1" x14ac:dyDescent="0.25">
      <c r="F735" s="21"/>
    </row>
    <row r="736" spans="6:6" ht="15.75" customHeight="1" x14ac:dyDescent="0.25">
      <c r="F736" s="21"/>
    </row>
    <row r="737" spans="6:6" ht="15.75" customHeight="1" x14ac:dyDescent="0.25">
      <c r="F737" s="21"/>
    </row>
    <row r="738" spans="6:6" ht="15.75" customHeight="1" x14ac:dyDescent="0.25">
      <c r="F738" s="21"/>
    </row>
    <row r="739" spans="6:6" ht="15.75" customHeight="1" x14ac:dyDescent="0.25">
      <c r="F739" s="21"/>
    </row>
    <row r="740" spans="6:6" ht="15.75" customHeight="1" x14ac:dyDescent="0.25">
      <c r="F740" s="21"/>
    </row>
    <row r="741" spans="6:6" ht="15.75" customHeight="1" x14ac:dyDescent="0.25">
      <c r="F741" s="21"/>
    </row>
    <row r="742" spans="6:6" ht="15.75" customHeight="1" x14ac:dyDescent="0.25">
      <c r="F742" s="21"/>
    </row>
    <row r="743" spans="6:6" ht="15.75" customHeight="1" x14ac:dyDescent="0.25">
      <c r="F743" s="21"/>
    </row>
    <row r="744" spans="6:6" ht="15.75" customHeight="1" x14ac:dyDescent="0.25">
      <c r="F744" s="21"/>
    </row>
    <row r="745" spans="6:6" ht="15.75" customHeight="1" x14ac:dyDescent="0.25">
      <c r="F745" s="21"/>
    </row>
    <row r="746" spans="6:6" ht="15.75" customHeight="1" x14ac:dyDescent="0.25">
      <c r="F746" s="21"/>
    </row>
    <row r="747" spans="6:6" ht="15.75" customHeight="1" x14ac:dyDescent="0.25">
      <c r="F747" s="21"/>
    </row>
    <row r="748" spans="6:6" ht="15.75" customHeight="1" x14ac:dyDescent="0.25">
      <c r="F748" s="21"/>
    </row>
    <row r="749" spans="6:6" ht="15.75" customHeight="1" x14ac:dyDescent="0.25">
      <c r="F749" s="21"/>
    </row>
    <row r="750" spans="6:6" ht="15.75" customHeight="1" x14ac:dyDescent="0.25">
      <c r="F750" s="21"/>
    </row>
    <row r="751" spans="6:6" ht="15.75" customHeight="1" x14ac:dyDescent="0.25">
      <c r="F751" s="21"/>
    </row>
    <row r="752" spans="6:6" ht="15.75" customHeight="1" x14ac:dyDescent="0.25">
      <c r="F752" s="21"/>
    </row>
    <row r="753" spans="6:6" ht="15.75" customHeight="1" x14ac:dyDescent="0.25">
      <c r="F753" s="21"/>
    </row>
    <row r="754" spans="6:6" ht="15.75" customHeight="1" x14ac:dyDescent="0.25">
      <c r="F754" s="21"/>
    </row>
    <row r="755" spans="6:6" ht="15.75" customHeight="1" x14ac:dyDescent="0.25">
      <c r="F755" s="21"/>
    </row>
    <row r="756" spans="6:6" ht="15.75" customHeight="1" x14ac:dyDescent="0.25">
      <c r="F756" s="21"/>
    </row>
    <row r="757" spans="6:6" ht="15.75" customHeight="1" x14ac:dyDescent="0.25">
      <c r="F757" s="21"/>
    </row>
    <row r="758" spans="6:6" ht="15.75" customHeight="1" x14ac:dyDescent="0.25">
      <c r="F758" s="21"/>
    </row>
    <row r="759" spans="6:6" ht="15.75" customHeight="1" x14ac:dyDescent="0.25">
      <c r="F759" s="21"/>
    </row>
    <row r="760" spans="6:6" ht="15.75" customHeight="1" x14ac:dyDescent="0.25">
      <c r="F760" s="21"/>
    </row>
    <row r="761" spans="6:6" ht="15.75" customHeight="1" x14ac:dyDescent="0.25">
      <c r="F761" s="21"/>
    </row>
    <row r="762" spans="6:6" ht="15.75" customHeight="1" x14ac:dyDescent="0.25">
      <c r="F762" s="21"/>
    </row>
    <row r="763" spans="6:6" ht="15.75" customHeight="1" x14ac:dyDescent="0.25">
      <c r="F763" s="21"/>
    </row>
    <row r="764" spans="6:6" ht="15.75" customHeight="1" x14ac:dyDescent="0.25">
      <c r="F764" s="21"/>
    </row>
    <row r="765" spans="6:6" ht="15.75" customHeight="1" x14ac:dyDescent="0.25">
      <c r="F765" s="21"/>
    </row>
    <row r="766" spans="6:6" ht="15.75" customHeight="1" x14ac:dyDescent="0.25">
      <c r="F766" s="21"/>
    </row>
    <row r="767" spans="6:6" ht="15.75" customHeight="1" x14ac:dyDescent="0.25">
      <c r="F767" s="21"/>
    </row>
    <row r="768" spans="6:6" ht="15.75" customHeight="1" x14ac:dyDescent="0.25">
      <c r="F768" s="21"/>
    </row>
    <row r="769" spans="6:6" ht="15.75" customHeight="1" x14ac:dyDescent="0.25">
      <c r="F769" s="21"/>
    </row>
    <row r="770" spans="6:6" ht="15.75" customHeight="1" x14ac:dyDescent="0.25">
      <c r="F770" s="21"/>
    </row>
    <row r="771" spans="6:6" ht="15.75" customHeight="1" x14ac:dyDescent="0.25">
      <c r="F771" s="21"/>
    </row>
    <row r="772" spans="6:6" ht="15.75" customHeight="1" x14ac:dyDescent="0.25">
      <c r="F772" s="21"/>
    </row>
    <row r="773" spans="6:6" ht="15.75" customHeight="1" x14ac:dyDescent="0.25">
      <c r="F773" s="21"/>
    </row>
    <row r="774" spans="6:6" ht="15.75" customHeight="1" x14ac:dyDescent="0.25">
      <c r="F774" s="21"/>
    </row>
    <row r="775" spans="6:6" ht="15.75" customHeight="1" x14ac:dyDescent="0.25">
      <c r="F775" s="21"/>
    </row>
    <row r="776" spans="6:6" ht="15.75" customHeight="1" x14ac:dyDescent="0.25">
      <c r="F776" s="21"/>
    </row>
    <row r="777" spans="6:6" ht="15.75" customHeight="1" x14ac:dyDescent="0.25">
      <c r="F777" s="21"/>
    </row>
    <row r="778" spans="6:6" ht="15.75" customHeight="1" x14ac:dyDescent="0.25">
      <c r="F778" s="21"/>
    </row>
    <row r="779" spans="6:6" ht="15.75" customHeight="1" x14ac:dyDescent="0.25">
      <c r="F779" s="21"/>
    </row>
    <row r="780" spans="6:6" ht="15.75" customHeight="1" x14ac:dyDescent="0.25">
      <c r="F780" s="21"/>
    </row>
    <row r="781" spans="6:6" ht="15.75" customHeight="1" x14ac:dyDescent="0.25">
      <c r="F781" s="21"/>
    </row>
    <row r="782" spans="6:6" ht="15.75" customHeight="1" x14ac:dyDescent="0.25">
      <c r="F782" s="21"/>
    </row>
    <row r="783" spans="6:6" ht="15.75" customHeight="1" x14ac:dyDescent="0.25">
      <c r="F783" s="21"/>
    </row>
    <row r="784" spans="6:6" ht="15.75" customHeight="1" x14ac:dyDescent="0.25">
      <c r="F784" s="21"/>
    </row>
    <row r="785" spans="6:6" ht="15.75" customHeight="1" x14ac:dyDescent="0.25">
      <c r="F785" s="21"/>
    </row>
    <row r="786" spans="6:6" ht="15.75" customHeight="1" x14ac:dyDescent="0.25">
      <c r="F786" s="21"/>
    </row>
    <row r="787" spans="6:6" ht="15.75" customHeight="1" x14ac:dyDescent="0.25">
      <c r="F787" s="21"/>
    </row>
    <row r="788" spans="6:6" ht="15.75" customHeight="1" x14ac:dyDescent="0.25">
      <c r="F788" s="21"/>
    </row>
    <row r="789" spans="6:6" ht="15.75" customHeight="1" x14ac:dyDescent="0.25">
      <c r="F789" s="21"/>
    </row>
    <row r="790" spans="6:6" ht="15.75" customHeight="1" x14ac:dyDescent="0.25">
      <c r="F790" s="21"/>
    </row>
    <row r="791" spans="6:6" ht="15.75" customHeight="1" x14ac:dyDescent="0.25">
      <c r="F791" s="21"/>
    </row>
    <row r="792" spans="6:6" ht="15.75" customHeight="1" x14ac:dyDescent="0.25">
      <c r="F792" s="21"/>
    </row>
    <row r="793" spans="6:6" ht="15.75" customHeight="1" x14ac:dyDescent="0.25">
      <c r="F793" s="21"/>
    </row>
    <row r="794" spans="6:6" ht="15.75" customHeight="1" x14ac:dyDescent="0.25">
      <c r="F794" s="21"/>
    </row>
    <row r="795" spans="6:6" ht="15.75" customHeight="1" x14ac:dyDescent="0.25">
      <c r="F795" s="21"/>
    </row>
    <row r="796" spans="6:6" ht="15.75" customHeight="1" x14ac:dyDescent="0.25">
      <c r="F796" s="21"/>
    </row>
    <row r="797" spans="6:6" ht="15.75" customHeight="1" x14ac:dyDescent="0.25">
      <c r="F797" s="21"/>
    </row>
    <row r="798" spans="6:6" ht="15.75" customHeight="1" x14ac:dyDescent="0.25">
      <c r="F798" s="21"/>
    </row>
    <row r="799" spans="6:6" ht="15.75" customHeight="1" x14ac:dyDescent="0.25">
      <c r="F799" s="21"/>
    </row>
    <row r="800" spans="6:6" ht="15.75" customHeight="1" x14ac:dyDescent="0.25">
      <c r="F800" s="21"/>
    </row>
    <row r="801" spans="6:6" ht="15.75" customHeight="1" x14ac:dyDescent="0.25">
      <c r="F801" s="21"/>
    </row>
    <row r="802" spans="6:6" ht="15.75" customHeight="1" x14ac:dyDescent="0.25">
      <c r="F802" s="21"/>
    </row>
    <row r="803" spans="6:6" ht="15.75" customHeight="1" x14ac:dyDescent="0.25">
      <c r="F803" s="21"/>
    </row>
    <row r="804" spans="6:6" ht="15.75" customHeight="1" x14ac:dyDescent="0.25">
      <c r="F804" s="21"/>
    </row>
    <row r="805" spans="6:6" ht="15.75" customHeight="1" x14ac:dyDescent="0.25">
      <c r="F805" s="21"/>
    </row>
    <row r="806" spans="6:6" ht="15.75" customHeight="1" x14ac:dyDescent="0.25">
      <c r="F806" s="21"/>
    </row>
    <row r="807" spans="6:6" ht="15.75" customHeight="1" x14ac:dyDescent="0.25">
      <c r="F807" s="21"/>
    </row>
    <row r="808" spans="6:6" ht="15.75" customHeight="1" x14ac:dyDescent="0.25">
      <c r="F808" s="21"/>
    </row>
    <row r="809" spans="6:6" ht="15.75" customHeight="1" x14ac:dyDescent="0.25">
      <c r="F809" s="21"/>
    </row>
    <row r="810" spans="6:6" ht="15.75" customHeight="1" x14ac:dyDescent="0.25">
      <c r="F810" s="21"/>
    </row>
    <row r="811" spans="6:6" ht="15.75" customHeight="1" x14ac:dyDescent="0.25">
      <c r="F811" s="21"/>
    </row>
    <row r="812" spans="6:6" ht="15.75" customHeight="1" x14ac:dyDescent="0.25">
      <c r="F812" s="21"/>
    </row>
    <row r="813" spans="6:6" ht="15.75" customHeight="1" x14ac:dyDescent="0.25">
      <c r="F813" s="21"/>
    </row>
    <row r="814" spans="6:6" ht="15.75" customHeight="1" x14ac:dyDescent="0.25">
      <c r="F814" s="21"/>
    </row>
    <row r="815" spans="6:6" ht="15.75" customHeight="1" x14ac:dyDescent="0.25">
      <c r="F815" s="21"/>
    </row>
    <row r="816" spans="6:6" ht="15.75" customHeight="1" x14ac:dyDescent="0.25">
      <c r="F816" s="21"/>
    </row>
    <row r="817" spans="6:6" ht="15.75" customHeight="1" x14ac:dyDescent="0.25">
      <c r="F817" s="21"/>
    </row>
    <row r="818" spans="6:6" ht="15.75" customHeight="1" x14ac:dyDescent="0.25">
      <c r="F818" s="21"/>
    </row>
    <row r="819" spans="6:6" ht="15.75" customHeight="1" x14ac:dyDescent="0.25">
      <c r="F819" s="21"/>
    </row>
    <row r="820" spans="6:6" ht="15.75" customHeight="1" x14ac:dyDescent="0.25">
      <c r="F820" s="21"/>
    </row>
    <row r="821" spans="6:6" ht="15.75" customHeight="1" x14ac:dyDescent="0.25">
      <c r="F821" s="21"/>
    </row>
    <row r="822" spans="6:6" ht="15.75" customHeight="1" x14ac:dyDescent="0.25">
      <c r="F822" s="21"/>
    </row>
    <row r="823" spans="6:6" ht="15.75" customHeight="1" x14ac:dyDescent="0.25">
      <c r="F823" s="21"/>
    </row>
    <row r="824" spans="6:6" ht="15.75" customHeight="1" x14ac:dyDescent="0.25">
      <c r="F824" s="21"/>
    </row>
    <row r="825" spans="6:6" ht="15.75" customHeight="1" x14ac:dyDescent="0.25">
      <c r="F825" s="21"/>
    </row>
    <row r="826" spans="6:6" ht="15.75" customHeight="1" x14ac:dyDescent="0.25">
      <c r="F826" s="21"/>
    </row>
    <row r="827" spans="6:6" ht="15.75" customHeight="1" x14ac:dyDescent="0.25">
      <c r="F827" s="21"/>
    </row>
    <row r="828" spans="6:6" ht="15.75" customHeight="1" x14ac:dyDescent="0.25">
      <c r="F828" s="21"/>
    </row>
    <row r="829" spans="6:6" ht="15.75" customHeight="1" x14ac:dyDescent="0.25">
      <c r="F829" s="21"/>
    </row>
    <row r="830" spans="6:6" ht="15.75" customHeight="1" x14ac:dyDescent="0.25">
      <c r="F830" s="21"/>
    </row>
    <row r="831" spans="6:6" ht="15.75" customHeight="1" x14ac:dyDescent="0.25">
      <c r="F831" s="21"/>
    </row>
    <row r="832" spans="6:6" ht="15.75" customHeight="1" x14ac:dyDescent="0.25">
      <c r="F832" s="21"/>
    </row>
    <row r="833" spans="6:6" ht="15.75" customHeight="1" x14ac:dyDescent="0.25">
      <c r="F833" s="21"/>
    </row>
    <row r="834" spans="6:6" ht="15.75" customHeight="1" x14ac:dyDescent="0.25">
      <c r="F834" s="21"/>
    </row>
    <row r="835" spans="6:6" ht="15.75" customHeight="1" x14ac:dyDescent="0.25">
      <c r="F835" s="21"/>
    </row>
    <row r="836" spans="6:6" ht="15.75" customHeight="1" x14ac:dyDescent="0.25">
      <c r="F836" s="21"/>
    </row>
    <row r="837" spans="6:6" ht="15.75" customHeight="1" x14ac:dyDescent="0.25">
      <c r="F837" s="21"/>
    </row>
    <row r="838" spans="6:6" ht="15.75" customHeight="1" x14ac:dyDescent="0.25">
      <c r="F838" s="21"/>
    </row>
    <row r="839" spans="6:6" ht="15.75" customHeight="1" x14ac:dyDescent="0.25">
      <c r="F839" s="21"/>
    </row>
    <row r="840" spans="6:6" ht="15.75" customHeight="1" x14ac:dyDescent="0.25">
      <c r="F840" s="21"/>
    </row>
    <row r="841" spans="6:6" ht="15.75" customHeight="1" x14ac:dyDescent="0.25">
      <c r="F841" s="21"/>
    </row>
    <row r="842" spans="6:6" ht="15.75" customHeight="1" x14ac:dyDescent="0.25">
      <c r="F842" s="21"/>
    </row>
    <row r="843" spans="6:6" ht="15.75" customHeight="1" x14ac:dyDescent="0.25">
      <c r="F843" s="21"/>
    </row>
    <row r="844" spans="6:6" ht="15.75" customHeight="1" x14ac:dyDescent="0.25">
      <c r="F844" s="21"/>
    </row>
    <row r="845" spans="6:6" ht="15.75" customHeight="1" x14ac:dyDescent="0.25">
      <c r="F845" s="21"/>
    </row>
    <row r="846" spans="6:6" ht="15.75" customHeight="1" x14ac:dyDescent="0.25">
      <c r="F846" s="21"/>
    </row>
    <row r="847" spans="6:6" ht="15.75" customHeight="1" x14ac:dyDescent="0.25">
      <c r="F847" s="21"/>
    </row>
    <row r="848" spans="6:6" ht="15.75" customHeight="1" x14ac:dyDescent="0.25">
      <c r="F848" s="21"/>
    </row>
    <row r="849" spans="6:6" ht="15.75" customHeight="1" x14ac:dyDescent="0.25">
      <c r="F849" s="21"/>
    </row>
    <row r="850" spans="6:6" ht="15.75" customHeight="1" x14ac:dyDescent="0.25">
      <c r="F850" s="21"/>
    </row>
    <row r="851" spans="6:6" ht="15.75" customHeight="1" x14ac:dyDescent="0.25">
      <c r="F851" s="21"/>
    </row>
    <row r="852" spans="6:6" ht="15.75" customHeight="1" x14ac:dyDescent="0.25">
      <c r="F852" s="21"/>
    </row>
    <row r="853" spans="6:6" ht="15.75" customHeight="1" x14ac:dyDescent="0.25">
      <c r="F853" s="21"/>
    </row>
    <row r="854" spans="6:6" ht="15.75" customHeight="1" x14ac:dyDescent="0.25">
      <c r="F854" s="21"/>
    </row>
    <row r="855" spans="6:6" ht="15.75" customHeight="1" x14ac:dyDescent="0.25">
      <c r="F855" s="21"/>
    </row>
    <row r="856" spans="6:6" ht="15.75" customHeight="1" x14ac:dyDescent="0.25">
      <c r="F856" s="21"/>
    </row>
    <row r="857" spans="6:6" ht="15.75" customHeight="1" x14ac:dyDescent="0.25">
      <c r="F857" s="21"/>
    </row>
    <row r="858" spans="6:6" ht="15.75" customHeight="1" x14ac:dyDescent="0.25">
      <c r="F858" s="21"/>
    </row>
    <row r="859" spans="6:6" ht="15.75" customHeight="1" x14ac:dyDescent="0.25">
      <c r="F859" s="21"/>
    </row>
    <row r="860" spans="6:6" ht="15.75" customHeight="1" x14ac:dyDescent="0.25">
      <c r="F860" s="21"/>
    </row>
    <row r="861" spans="6:6" ht="15.75" customHeight="1" x14ac:dyDescent="0.25">
      <c r="F861" s="21"/>
    </row>
    <row r="862" spans="6:6" ht="15.75" customHeight="1" x14ac:dyDescent="0.25">
      <c r="F862" s="21"/>
    </row>
    <row r="863" spans="6:6" ht="15.75" customHeight="1" x14ac:dyDescent="0.25">
      <c r="F863" s="21"/>
    </row>
    <row r="864" spans="6:6" ht="15.75" customHeight="1" x14ac:dyDescent="0.25">
      <c r="F864" s="21"/>
    </row>
    <row r="865" spans="6:6" ht="15.75" customHeight="1" x14ac:dyDescent="0.25">
      <c r="F865" s="21"/>
    </row>
    <row r="866" spans="6:6" ht="15.75" customHeight="1" x14ac:dyDescent="0.25">
      <c r="F866" s="21"/>
    </row>
    <row r="867" spans="6:6" ht="15.75" customHeight="1" x14ac:dyDescent="0.25">
      <c r="F867" s="21"/>
    </row>
    <row r="868" spans="6:6" ht="15.75" customHeight="1" x14ac:dyDescent="0.25">
      <c r="F868" s="21"/>
    </row>
    <row r="869" spans="6:6" ht="15.75" customHeight="1" x14ac:dyDescent="0.25">
      <c r="F869" s="21"/>
    </row>
    <row r="870" spans="6:6" ht="15.75" customHeight="1" x14ac:dyDescent="0.25">
      <c r="F870" s="21"/>
    </row>
    <row r="871" spans="6:6" ht="15.75" customHeight="1" x14ac:dyDescent="0.25">
      <c r="F871" s="21"/>
    </row>
    <row r="872" spans="6:6" ht="15.75" customHeight="1" x14ac:dyDescent="0.25">
      <c r="F872" s="21"/>
    </row>
    <row r="873" spans="6:6" ht="15.75" customHeight="1" x14ac:dyDescent="0.25">
      <c r="F873" s="21"/>
    </row>
    <row r="874" spans="6:6" ht="15.75" customHeight="1" x14ac:dyDescent="0.25">
      <c r="F874" s="21"/>
    </row>
    <row r="875" spans="6:6" ht="15.75" customHeight="1" x14ac:dyDescent="0.25">
      <c r="F875" s="21"/>
    </row>
    <row r="876" spans="6:6" ht="15.75" customHeight="1" x14ac:dyDescent="0.25">
      <c r="F876" s="21"/>
    </row>
    <row r="877" spans="6:6" ht="15.75" customHeight="1" x14ac:dyDescent="0.25">
      <c r="F877" s="21"/>
    </row>
    <row r="878" spans="6:6" ht="15.75" customHeight="1" x14ac:dyDescent="0.25">
      <c r="F878" s="21"/>
    </row>
    <row r="879" spans="6:6" ht="15.75" customHeight="1" x14ac:dyDescent="0.25">
      <c r="F879" s="21"/>
    </row>
    <row r="880" spans="6:6" ht="15.75" customHeight="1" x14ac:dyDescent="0.25">
      <c r="F880" s="21"/>
    </row>
    <row r="881" spans="6:6" ht="15.75" customHeight="1" x14ac:dyDescent="0.25">
      <c r="F881" s="21"/>
    </row>
    <row r="882" spans="6:6" ht="15.75" customHeight="1" x14ac:dyDescent="0.25">
      <c r="F882" s="21"/>
    </row>
    <row r="883" spans="6:6" ht="15.75" customHeight="1" x14ac:dyDescent="0.25">
      <c r="F883" s="21"/>
    </row>
    <row r="884" spans="6:6" ht="15.75" customHeight="1" x14ac:dyDescent="0.25">
      <c r="F884" s="21"/>
    </row>
    <row r="885" spans="6:6" ht="15.75" customHeight="1" x14ac:dyDescent="0.25">
      <c r="F885" s="21"/>
    </row>
    <row r="886" spans="6:6" ht="15.75" customHeight="1" x14ac:dyDescent="0.25">
      <c r="F886" s="21"/>
    </row>
    <row r="887" spans="6:6" ht="15.75" customHeight="1" x14ac:dyDescent="0.25">
      <c r="F887" s="21"/>
    </row>
    <row r="888" spans="6:6" ht="15.75" customHeight="1" x14ac:dyDescent="0.25">
      <c r="F888" s="21"/>
    </row>
    <row r="889" spans="6:6" ht="15.75" customHeight="1" x14ac:dyDescent="0.25">
      <c r="F889" s="21"/>
    </row>
    <row r="890" spans="6:6" ht="15.75" customHeight="1" x14ac:dyDescent="0.25">
      <c r="F890" s="21"/>
    </row>
    <row r="891" spans="6:6" ht="15.75" customHeight="1" x14ac:dyDescent="0.25">
      <c r="F891" s="21"/>
    </row>
    <row r="892" spans="6:6" ht="15.75" customHeight="1" x14ac:dyDescent="0.25">
      <c r="F892" s="21"/>
    </row>
    <row r="893" spans="6:6" ht="15.75" customHeight="1" x14ac:dyDescent="0.25">
      <c r="F893" s="21"/>
    </row>
    <row r="894" spans="6:6" ht="15.75" customHeight="1" x14ac:dyDescent="0.25">
      <c r="F894" s="21"/>
    </row>
    <row r="895" spans="6:6" ht="15.75" customHeight="1" x14ac:dyDescent="0.25">
      <c r="F895" s="21"/>
    </row>
    <row r="896" spans="6:6" ht="15.75" customHeight="1" x14ac:dyDescent="0.25">
      <c r="F896" s="21"/>
    </row>
    <row r="897" spans="6:6" ht="15.75" customHeight="1" x14ac:dyDescent="0.25">
      <c r="F897" s="21"/>
    </row>
    <row r="898" spans="6:6" ht="15.75" customHeight="1" x14ac:dyDescent="0.25">
      <c r="F898" s="21"/>
    </row>
    <row r="899" spans="6:6" ht="15.75" customHeight="1" x14ac:dyDescent="0.25">
      <c r="F899" s="21"/>
    </row>
    <row r="900" spans="6:6" ht="15.75" customHeight="1" x14ac:dyDescent="0.25">
      <c r="F900" s="21"/>
    </row>
    <row r="901" spans="6:6" ht="15.75" customHeight="1" x14ac:dyDescent="0.25">
      <c r="F901" s="21"/>
    </row>
    <row r="902" spans="6:6" ht="15.75" customHeight="1" x14ac:dyDescent="0.25">
      <c r="F902" s="21"/>
    </row>
    <row r="903" spans="6:6" ht="15.75" customHeight="1" x14ac:dyDescent="0.25">
      <c r="F903" s="21"/>
    </row>
    <row r="904" spans="6:6" ht="15.75" customHeight="1" x14ac:dyDescent="0.25">
      <c r="F904" s="21"/>
    </row>
    <row r="905" spans="6:6" ht="15.75" customHeight="1" x14ac:dyDescent="0.25">
      <c r="F905" s="21"/>
    </row>
    <row r="906" spans="6:6" ht="15.75" customHeight="1" x14ac:dyDescent="0.25">
      <c r="F906" s="21"/>
    </row>
    <row r="907" spans="6:6" ht="15.75" customHeight="1" x14ac:dyDescent="0.25">
      <c r="F907" s="21"/>
    </row>
    <row r="908" spans="6:6" ht="15.75" customHeight="1" x14ac:dyDescent="0.25">
      <c r="F908" s="21"/>
    </row>
    <row r="909" spans="6:6" ht="15.75" customHeight="1" x14ac:dyDescent="0.25">
      <c r="F909" s="21"/>
    </row>
    <row r="910" spans="6:6" ht="15.75" customHeight="1" x14ac:dyDescent="0.25">
      <c r="F910" s="21"/>
    </row>
    <row r="911" spans="6:6" ht="15.75" customHeight="1" x14ac:dyDescent="0.25">
      <c r="F911" s="21"/>
    </row>
    <row r="912" spans="6:6" ht="15.75" customHeight="1" x14ac:dyDescent="0.25">
      <c r="F912" s="21"/>
    </row>
    <row r="913" spans="6:6" ht="15.75" customHeight="1" x14ac:dyDescent="0.25">
      <c r="F913" s="21"/>
    </row>
    <row r="914" spans="6:6" ht="15.75" customHeight="1" x14ac:dyDescent="0.25">
      <c r="F914" s="21"/>
    </row>
    <row r="915" spans="6:6" ht="15.75" customHeight="1" x14ac:dyDescent="0.25">
      <c r="F915" s="21"/>
    </row>
    <row r="916" spans="6:6" ht="15.75" customHeight="1" x14ac:dyDescent="0.25">
      <c r="F916" s="21"/>
    </row>
    <row r="917" spans="6:6" ht="15.75" customHeight="1" x14ac:dyDescent="0.25">
      <c r="F917" s="21"/>
    </row>
    <row r="918" spans="6:6" ht="15.75" customHeight="1" x14ac:dyDescent="0.25">
      <c r="F918" s="21"/>
    </row>
    <row r="919" spans="6:6" ht="15.75" customHeight="1" x14ac:dyDescent="0.25">
      <c r="F919" s="21"/>
    </row>
    <row r="920" spans="6:6" ht="15.75" customHeight="1" x14ac:dyDescent="0.25">
      <c r="F920" s="21"/>
    </row>
    <row r="921" spans="6:6" ht="15.75" customHeight="1" x14ac:dyDescent="0.25">
      <c r="F921" s="21"/>
    </row>
    <row r="922" spans="6:6" ht="15.75" customHeight="1" x14ac:dyDescent="0.25">
      <c r="F922" s="21"/>
    </row>
    <row r="923" spans="6:6" ht="15.75" customHeight="1" x14ac:dyDescent="0.25">
      <c r="F923" s="21"/>
    </row>
    <row r="924" spans="6:6" ht="15.75" customHeight="1" x14ac:dyDescent="0.25">
      <c r="F924" s="21"/>
    </row>
    <row r="925" spans="6:6" ht="15.75" customHeight="1" x14ac:dyDescent="0.25">
      <c r="F925" s="21"/>
    </row>
    <row r="926" spans="6:6" ht="15.75" customHeight="1" x14ac:dyDescent="0.25">
      <c r="F926" s="21"/>
    </row>
    <row r="927" spans="6:6" ht="15.75" customHeight="1" x14ac:dyDescent="0.25">
      <c r="F927" s="21"/>
    </row>
    <row r="928" spans="6:6" ht="15.75" customHeight="1" x14ac:dyDescent="0.25">
      <c r="F928" s="21"/>
    </row>
    <row r="929" spans="6:6" ht="15.75" customHeight="1" x14ac:dyDescent="0.25">
      <c r="F929" s="21"/>
    </row>
    <row r="930" spans="6:6" ht="15.75" customHeight="1" x14ac:dyDescent="0.25">
      <c r="F930" s="21"/>
    </row>
    <row r="931" spans="6:6" ht="15.75" customHeight="1" x14ac:dyDescent="0.25">
      <c r="F931" s="21"/>
    </row>
    <row r="932" spans="6:6" ht="15.75" customHeight="1" x14ac:dyDescent="0.25">
      <c r="F932" s="21"/>
    </row>
    <row r="933" spans="6:6" ht="15.75" customHeight="1" x14ac:dyDescent="0.25">
      <c r="F933" s="21"/>
    </row>
    <row r="934" spans="6:6" ht="15.75" customHeight="1" x14ac:dyDescent="0.25">
      <c r="F934" s="21"/>
    </row>
    <row r="935" spans="6:6" ht="15.75" customHeight="1" x14ac:dyDescent="0.25">
      <c r="F935" s="21"/>
    </row>
    <row r="936" spans="6:6" ht="15.75" customHeight="1" x14ac:dyDescent="0.25">
      <c r="F936" s="21"/>
    </row>
    <row r="937" spans="6:6" ht="15.75" customHeight="1" x14ac:dyDescent="0.25">
      <c r="F937" s="21"/>
    </row>
    <row r="938" spans="6:6" ht="15.75" customHeight="1" x14ac:dyDescent="0.25">
      <c r="F938" s="21"/>
    </row>
    <row r="939" spans="6:6" ht="15.75" customHeight="1" x14ac:dyDescent="0.25">
      <c r="F939" s="21"/>
    </row>
    <row r="940" spans="6:6" ht="15.75" customHeight="1" x14ac:dyDescent="0.25">
      <c r="F940" s="21"/>
    </row>
    <row r="941" spans="6:6" ht="15.75" customHeight="1" x14ac:dyDescent="0.25">
      <c r="F941" s="21"/>
    </row>
    <row r="942" spans="6:6" ht="15.75" customHeight="1" x14ac:dyDescent="0.25">
      <c r="F942" s="21"/>
    </row>
    <row r="943" spans="6:6" ht="15.75" customHeight="1" x14ac:dyDescent="0.25">
      <c r="F943" s="21"/>
    </row>
    <row r="944" spans="6:6" ht="15.75" customHeight="1" x14ac:dyDescent="0.25">
      <c r="F944" s="21"/>
    </row>
    <row r="945" spans="6:6" ht="15.75" customHeight="1" x14ac:dyDescent="0.25">
      <c r="F945" s="21"/>
    </row>
    <row r="946" spans="6:6" ht="15.75" customHeight="1" x14ac:dyDescent="0.25">
      <c r="F946" s="21"/>
    </row>
    <row r="947" spans="6:6" ht="15.75" customHeight="1" x14ac:dyDescent="0.25">
      <c r="F947" s="21"/>
    </row>
    <row r="948" spans="6:6" ht="15.75" customHeight="1" x14ac:dyDescent="0.25">
      <c r="F948" s="21"/>
    </row>
    <row r="949" spans="6:6" ht="15.75" customHeight="1" x14ac:dyDescent="0.25">
      <c r="F949" s="21"/>
    </row>
    <row r="950" spans="6:6" ht="15.75" customHeight="1" x14ac:dyDescent="0.25">
      <c r="F950" s="21"/>
    </row>
    <row r="951" spans="6:6" ht="15.75" customHeight="1" x14ac:dyDescent="0.25">
      <c r="F951" s="21"/>
    </row>
    <row r="952" spans="6:6" ht="15.75" customHeight="1" x14ac:dyDescent="0.25">
      <c r="F952" s="21"/>
    </row>
    <row r="953" spans="6:6" ht="15.75" customHeight="1" x14ac:dyDescent="0.25">
      <c r="F953" s="21"/>
    </row>
    <row r="954" spans="6:6" ht="15.75" customHeight="1" x14ac:dyDescent="0.25">
      <c r="F954" s="21"/>
    </row>
    <row r="955" spans="6:6" ht="15.75" customHeight="1" x14ac:dyDescent="0.25">
      <c r="F955" s="21"/>
    </row>
    <row r="956" spans="6:6" ht="15.75" customHeight="1" x14ac:dyDescent="0.25">
      <c r="F956" s="21"/>
    </row>
    <row r="957" spans="6:6" ht="15.75" customHeight="1" x14ac:dyDescent="0.25">
      <c r="F957" s="21"/>
    </row>
    <row r="958" spans="6:6" ht="15.75" customHeight="1" x14ac:dyDescent="0.25">
      <c r="F958" s="21"/>
    </row>
    <row r="959" spans="6:6" ht="15.75" customHeight="1" x14ac:dyDescent="0.25">
      <c r="F959" s="21"/>
    </row>
    <row r="960" spans="6:6" ht="15.75" customHeight="1" x14ac:dyDescent="0.25">
      <c r="F960" s="21"/>
    </row>
    <row r="961" spans="6:6" ht="15.75" customHeight="1" x14ac:dyDescent="0.25">
      <c r="F961" s="21"/>
    </row>
    <row r="962" spans="6:6" ht="15.75" customHeight="1" x14ac:dyDescent="0.25">
      <c r="F962" s="21"/>
    </row>
    <row r="963" spans="6:6" ht="15.75" customHeight="1" x14ac:dyDescent="0.25">
      <c r="F963" s="21"/>
    </row>
    <row r="964" spans="6:6" ht="15.75" customHeight="1" x14ac:dyDescent="0.25">
      <c r="F964" s="21"/>
    </row>
    <row r="965" spans="6:6" ht="15.75" customHeight="1" x14ac:dyDescent="0.25">
      <c r="F965" s="21"/>
    </row>
    <row r="966" spans="6:6" ht="15.75" customHeight="1" x14ac:dyDescent="0.25">
      <c r="F966" s="21"/>
    </row>
    <row r="967" spans="6:6" ht="15.75" customHeight="1" x14ac:dyDescent="0.25">
      <c r="F967" s="21"/>
    </row>
    <row r="968" spans="6:6" ht="15.75" customHeight="1" x14ac:dyDescent="0.25">
      <c r="F968" s="21"/>
    </row>
    <row r="969" spans="6:6" ht="15.75" customHeight="1" x14ac:dyDescent="0.25">
      <c r="F969" s="21"/>
    </row>
    <row r="970" spans="6:6" ht="15.75" customHeight="1" x14ac:dyDescent="0.25">
      <c r="F970" s="21"/>
    </row>
    <row r="971" spans="6:6" ht="15.75" customHeight="1" x14ac:dyDescent="0.25">
      <c r="F971" s="21"/>
    </row>
    <row r="972" spans="6:6" ht="15.75" customHeight="1" x14ac:dyDescent="0.25">
      <c r="F972" s="21"/>
    </row>
    <row r="973" spans="6:6" ht="15.75" customHeight="1" x14ac:dyDescent="0.25">
      <c r="F973" s="21"/>
    </row>
    <row r="974" spans="6:6" ht="15.75" customHeight="1" x14ac:dyDescent="0.25">
      <c r="F974" s="21"/>
    </row>
    <row r="975" spans="6:6" ht="15.75" customHeight="1" x14ac:dyDescent="0.25">
      <c r="F975" s="21"/>
    </row>
    <row r="976" spans="6:6" ht="15.75" customHeight="1" x14ac:dyDescent="0.25">
      <c r="F976" s="21"/>
    </row>
    <row r="977" spans="6:6" ht="15.75" customHeight="1" x14ac:dyDescent="0.25">
      <c r="F977" s="21"/>
    </row>
    <row r="978" spans="6:6" ht="15.75" customHeight="1" x14ac:dyDescent="0.25">
      <c r="F978" s="21"/>
    </row>
    <row r="979" spans="6:6" ht="15.75" customHeight="1" x14ac:dyDescent="0.25">
      <c r="F979" s="21"/>
    </row>
    <row r="980" spans="6:6" ht="15.75" customHeight="1" x14ac:dyDescent="0.25">
      <c r="F980" s="21"/>
    </row>
    <row r="981" spans="6:6" ht="15.75" customHeight="1" x14ac:dyDescent="0.25">
      <c r="F981" s="21"/>
    </row>
    <row r="982" spans="6:6" ht="15.75" customHeight="1" x14ac:dyDescent="0.25">
      <c r="F982" s="21"/>
    </row>
    <row r="983" spans="6:6" ht="15.75" customHeight="1" x14ac:dyDescent="0.25">
      <c r="F983" s="21"/>
    </row>
    <row r="984" spans="6:6" ht="15.75" customHeight="1" x14ac:dyDescent="0.25">
      <c r="F984" s="21"/>
    </row>
    <row r="985" spans="6:6" ht="15.75" customHeight="1" x14ac:dyDescent="0.25">
      <c r="F985" s="21"/>
    </row>
    <row r="986" spans="6:6" ht="15.75" customHeight="1" x14ac:dyDescent="0.25">
      <c r="F986" s="21"/>
    </row>
    <row r="987" spans="6:6" ht="15.75" customHeight="1" x14ac:dyDescent="0.25">
      <c r="F987" s="21"/>
    </row>
    <row r="988" spans="6:6" ht="15.75" customHeight="1" x14ac:dyDescent="0.25">
      <c r="F988" s="21"/>
    </row>
    <row r="989" spans="6:6" ht="15.75" customHeight="1" x14ac:dyDescent="0.25">
      <c r="F989" s="21"/>
    </row>
    <row r="990" spans="6:6" ht="15.75" customHeight="1" x14ac:dyDescent="0.25">
      <c r="F990" s="21"/>
    </row>
    <row r="991" spans="6:6" ht="15.75" customHeight="1" x14ac:dyDescent="0.25">
      <c r="F991" s="21"/>
    </row>
    <row r="992" spans="6:6" ht="15.75" customHeight="1" x14ac:dyDescent="0.25">
      <c r="F992" s="21"/>
    </row>
    <row r="993" spans="6:6" ht="15.75" customHeight="1" x14ac:dyDescent="0.25">
      <c r="F993" s="21"/>
    </row>
    <row r="994" spans="6:6" ht="15.75" customHeight="1" x14ac:dyDescent="0.25">
      <c r="F994" s="21"/>
    </row>
    <row r="995" spans="6:6" ht="15.75" customHeight="1" x14ac:dyDescent="0.25">
      <c r="F995" s="21"/>
    </row>
    <row r="996" spans="6:6" ht="15.75" customHeight="1" x14ac:dyDescent="0.25">
      <c r="F996" s="21"/>
    </row>
    <row r="997" spans="6:6" ht="15.75" customHeight="1" x14ac:dyDescent="0.25">
      <c r="F997" s="21"/>
    </row>
    <row r="998" spans="6:6" ht="15.75" customHeight="1" x14ac:dyDescent="0.25">
      <c r="F998" s="21"/>
    </row>
    <row r="999" spans="6:6" ht="15.75" customHeight="1" x14ac:dyDescent="0.25">
      <c r="F999" s="21"/>
    </row>
    <row r="1000" spans="6:6" ht="15.75" customHeight="1" x14ac:dyDescent="0.25">
      <c r="F1000" s="21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/>
  </sheetViews>
  <sheetFormatPr defaultColWidth="12.5703125" defaultRowHeight="15" customHeight="1" x14ac:dyDescent="0.25"/>
  <cols>
    <col min="1" max="1" width="8.85546875" customWidth="1"/>
    <col min="2" max="2" width="23.5703125" customWidth="1"/>
    <col min="3" max="26" width="8.85546875" customWidth="1"/>
  </cols>
  <sheetData>
    <row r="1" spans="1:2" ht="45" x14ac:dyDescent="0.25">
      <c r="A1" s="1" t="s">
        <v>0</v>
      </c>
      <c r="B1" s="4" t="s">
        <v>2</v>
      </c>
    </row>
    <row r="2" spans="1:2" x14ac:dyDescent="0.25">
      <c r="A2" s="6"/>
      <c r="B2" s="6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"/>
  <sheetViews>
    <sheetView tabSelected="1" topLeftCell="A22" workbookViewId="0">
      <selection activeCell="N50" sqref="N50"/>
    </sheetView>
  </sheetViews>
  <sheetFormatPr defaultColWidth="12.5703125" defaultRowHeight="15" customHeight="1" x14ac:dyDescent="0.25"/>
  <sheetData/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INDIA_RAW_DATA</vt:lpstr>
      <vt:lpstr>host country (india)</vt:lpstr>
      <vt:lpstr>host - china</vt:lpstr>
      <vt:lpstr>host-topFDI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Clare Kon</dc:creator>
  <cp:lastModifiedBy>Joseph Koh</cp:lastModifiedBy>
  <dcterms:created xsi:type="dcterms:W3CDTF">2026-07-22T08:27:28Z</dcterms:created>
  <dcterms:modified xsi:type="dcterms:W3CDTF">2026-08-02T12:32:07Z</dcterms:modified>
</cp:coreProperties>
</file>