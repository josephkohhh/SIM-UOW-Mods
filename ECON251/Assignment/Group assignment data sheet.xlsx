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IA_RAW_DATA" sheetId="1" r:id="rId4"/>
    <sheet state="visible" name="host country (india)" sheetId="2" r:id="rId5"/>
    <sheet state="visible" name="Sheet2" sheetId="3" r:id="rId6"/>
    <sheet state="visible" name="India FDI Inflows" sheetId="4" r:id="rId7"/>
    <sheet state="visible" name="India Top 3 FDI Inflows" sheetId="5" r:id="rId8"/>
    <sheet state="visible" name="India-SG Import &amp; Export RAW" sheetId="6" r:id="rId9"/>
    <sheet state="visible" name="India-SG Import, Export &amp; FDI" sheetId="7" r:id="rId10"/>
    <sheet state="visible" name="Pillar 3 Regression" sheetId="8" r:id="rId11"/>
    <sheet state="visible" name="Charts" sheetId="9" r:id="rId12"/>
    <sheet state="visible" name="India-China Raw" sheetId="10" r:id="rId13"/>
    <sheet state="visible" name="India-China Trade Growth" sheetId="11" r:id="rId14"/>
    <sheet state="visible" name="India Exports (% from China Val" sheetId="12" r:id="rId15"/>
  </sheets>
  <definedNames/>
  <calcPr/>
  <extLst>
    <ext uri="GoogleSheetsCustomDataVersion2">
      <go:sheetsCustomData xmlns:go="http://customooxmlschemas.google.com/" r:id="rId16" roundtripDataChecksum="2KUL1nO7e/V7o87dZSSYdyUTYwwiZnk6SE0crr/F+j0="/>
    </ext>
  </extLst>
</workbook>
</file>

<file path=xl/sharedStrings.xml><?xml version="1.0" encoding="utf-8"?>
<sst xmlns="http://schemas.openxmlformats.org/spreadsheetml/2006/main" count="1396" uniqueCount="435">
  <si>
    <t>Country Name</t>
  </si>
  <si>
    <t>Country Code</t>
  </si>
  <si>
    <t>Table No. 3.2</t>
  </si>
  <si>
    <t>Time</t>
  </si>
  <si>
    <t>Time Code</t>
  </si>
  <si>
    <t>GDP (constant 2015 US$) [NY.GDP.MKTP.KD]</t>
  </si>
  <si>
    <t>GDP growth (annual %) [NY.GDP.MKTP.KD.ZG]</t>
  </si>
  <si>
    <t>GDP per capita (constant 2015 US$) [NY.GDP.PCAP.KD]</t>
  </si>
  <si>
    <t>COUNTRY-WISE / YEAR-WISE FDI EQUITY INFLOW
 FROM JANUARY 2000 TO DECEMBER 2025</t>
  </si>
  <si>
    <t>Gross fixed capital formation (constant 2015 US$) [NE.GDI.FTOT.KD]</t>
  </si>
  <si>
    <t>GDP (constant 2015 US$)</t>
  </si>
  <si>
    <t>Gross fixed capital formation (annual % growth) [NE.GDI.FTOT.KD.ZG]</t>
  </si>
  <si>
    <t>Labor force, total [SL.TLF.TOTL.IN]</t>
  </si>
  <si>
    <t>GDP growth (annual %)</t>
  </si>
  <si>
    <t>Sr. No.</t>
  </si>
  <si>
    <t>Unemployment, total (% of total labor force) (modeled ILO estimate) [SL.UEM.TOTL.ZS]</t>
  </si>
  <si>
    <t>GDP per person(constant 2015 US$)</t>
  </si>
  <si>
    <t>Manufacturing, value added (% of GDP) [NV.IND.MANF.ZS]</t>
  </si>
  <si>
    <t xml:space="preserve">Growth rate of GDP per capita </t>
  </si>
  <si>
    <t>Manufacturing, value added (annual % growth) [NV.IND.MANF.KD.ZG]</t>
  </si>
  <si>
    <t>Name of the Country</t>
  </si>
  <si>
    <t>Manufacturing, value added (constant 2015 US$) [NV.IND.MANF.KD]</t>
  </si>
  <si>
    <t>Employment in agriculture (% of total employment) (modeled ILO estimate) [SL.AGR.EMPL.ZS]</t>
  </si>
  <si>
    <t>2000 To 2021</t>
  </si>
  <si>
    <t>Gross fixed capital formation (constant 2015 US$)</t>
  </si>
  <si>
    <t>Employment in industry (% of total employment) (modeled ILO estimate) [SL.IND.EMPL.ZS]</t>
  </si>
  <si>
    <t>Gross fixed capital formation (annual % growth)</t>
  </si>
  <si>
    <t>Employment in services (% of total employment) (modeled ILO estimate) [SL.SRV.EMPL.ZS]</t>
  </si>
  <si>
    <t>Trade (% of GDP) [NE.TRD.GNFS.ZS]</t>
  </si>
  <si>
    <t>Exports of goods and services (constant 2015 US$) [NE.EXP.GNFS.KD]</t>
  </si>
  <si>
    <t>Imports of goods and services (constant 2015 US$) [NE.IMP.GNFS.KD]</t>
  </si>
  <si>
    <t>Labor force, total</t>
  </si>
  <si>
    <t>Exports of goods and services (current US$) [NE.EXP.GNFS.CD]</t>
  </si>
  <si>
    <t>Unemployment, total (% of total labor force) (modeled ILO estimate)</t>
  </si>
  <si>
    <t>Imports of goods and services (current US$) [NE.IMP.GNFS.CD]</t>
  </si>
  <si>
    <t xml:space="preserve">Employment Rate </t>
  </si>
  <si>
    <t>Tariff rate, applied, weighted mean, all products (%) [TM.TAX.MRCH.WM.AR.ZS]</t>
  </si>
  <si>
    <t>Cumulative FDI (Jan 2000 to Dec 2025)</t>
  </si>
  <si>
    <t>Foreign direct investment, net inflows (BoP, current US$) [BX.KLT.DINV.CD.WD]</t>
  </si>
  <si>
    <t xml:space="preserve">Number employed </t>
  </si>
  <si>
    <t>GDP (current US$) [NY.GDP.MKTP.CD]</t>
  </si>
  <si>
    <t>India</t>
  </si>
  <si>
    <t xml:space="preserve">Labour productivity </t>
  </si>
  <si>
    <t>IND</t>
  </si>
  <si>
    <t>YR1976</t>
  </si>
  <si>
    <t>% labour productivity</t>
  </si>
  <si>
    <t xml:space="preserve">Capital per employed </t>
  </si>
  <si>
    <t xml:space="preserve"> growth of capital per employed</t>
  </si>
  <si>
    <t>..</t>
  </si>
  <si>
    <t>(In USD Million)</t>
  </si>
  <si>
    <t>Manufacturing, value added (% of GDP)</t>
  </si>
  <si>
    <t>Manufacturing, value added (annual % growth)</t>
  </si>
  <si>
    <t>Manufacturing, value added (constant 2015 US$)</t>
  </si>
  <si>
    <t>Employment in agriculture (% of total employment) (modeled ILO estimate)</t>
  </si>
  <si>
    <t>Employment in industry (% of total employment) (modeled ILO estimate)</t>
  </si>
  <si>
    <t>(In INR Crore)</t>
  </si>
  <si>
    <t>Employment in services (% of total employment) (modeled ILO estimate)</t>
  </si>
  <si>
    <t>Trade (% of GDP)</t>
  </si>
  <si>
    <t>Export value (current US$)</t>
  </si>
  <si>
    <t>Import value (current US$)</t>
  </si>
  <si>
    <t>Singapore</t>
  </si>
  <si>
    <t xml:space="preserve">Simple tariff rate (%) </t>
  </si>
  <si>
    <t>YR1977</t>
  </si>
  <si>
    <t>FDI inflow (current US$)</t>
  </si>
  <si>
    <t xml:space="preserve">Growth rate of FDI </t>
  </si>
  <si>
    <t>FDI as % of GDP</t>
  </si>
  <si>
    <t xml:space="preserve">GDP 
(current US$) </t>
  </si>
  <si>
    <t>13,72,324.74</t>
  </si>
  <si>
    <t>There isn't a corresponding "constant 2015 US$" version of this indicator in the World Bank database. Therefore, to compute FDI as % of GDP, the standard practice is to use:
FDI (current US$)
GDP (current US$)
This way, both numerator and denominator are measured in the same year's prices.</t>
  </si>
  <si>
    <t>YR1978</t>
  </si>
  <si>
    <t>Mauritius</t>
  </si>
  <si>
    <r>
      <rPr>
        <rFont val="Arial"/>
        <color rgb="FF0000FF"/>
        <sz val="12.0"/>
      </rPr>
      <t>Current prices (nominal) → T</t>
    </r>
    <r>
      <rPr>
        <rFont val="Arial"/>
        <b/>
        <color rgb="FF0000FF"/>
        <sz val="12.0"/>
      </rPr>
      <t>o include Inflation</t>
    </r>
    <r>
      <rPr>
        <rFont val="Arial"/>
        <color rgb="FF0000FF"/>
        <sz val="12.0"/>
      </rPr>
      <t xml:space="preserve">
Uses the prices that actually existed in each year.
Inflation is included.
Constant prices (real) → </t>
    </r>
    <r>
      <rPr>
        <rFont val="Arial"/>
        <b/>
        <color rgb="FF0000FF"/>
        <sz val="12.0"/>
      </rPr>
      <t>To exclude inflation</t>
    </r>
    <r>
      <rPr>
        <rFont val="Arial"/>
        <color rgb="FF0000FF"/>
        <sz val="12.0"/>
      </rPr>
      <t xml:space="preserve">
Uses prices from a fixed base year (e.g., 2015 or 2021).
Inflation is removed.
A quick memory trick:
Current = Current year's prices = Inflation included
Constant = Constant base-year prices = Inflation removed</t>
    </r>
  </si>
  <si>
    <t>11,35,690.27</t>
  </si>
  <si>
    <t>Y</t>
  </si>
  <si>
    <t>Find % change = ((new - old)/old)*100</t>
  </si>
  <si>
    <t>U.S.A</t>
  </si>
  <si>
    <t>YR1979</t>
  </si>
  <si>
    <t>K</t>
  </si>
  <si>
    <t>U</t>
  </si>
  <si>
    <t>5,61,591.22</t>
  </si>
  <si>
    <t>E % =100 - U</t>
  </si>
  <si>
    <t>L = E% X Labour force</t>
  </si>
  <si>
    <t>Y/L</t>
  </si>
  <si>
    <t>Netherland</t>
  </si>
  <si>
    <t>=k/L</t>
  </si>
  <si>
    <t>Find % change = ((new - old)/old)*100)</t>
  </si>
  <si>
    <t>YR1980</t>
  </si>
  <si>
    <t>3,83,080.67</t>
  </si>
  <si>
    <t xml:space="preserve">trade openness </t>
  </si>
  <si>
    <t>Japan</t>
  </si>
  <si>
    <t>= FDIinflow/GDP current) X 100%</t>
  </si>
  <si>
    <t>YR1981</t>
  </si>
  <si>
    <t>3,11,851.18</t>
  </si>
  <si>
    <t>United Kingdom</t>
  </si>
  <si>
    <t>YR1982</t>
  </si>
  <si>
    <t>2,17,316.40</t>
  </si>
  <si>
    <t>UAE</t>
  </si>
  <si>
    <t>1,88,978.69</t>
  </si>
  <si>
    <t>YR1983</t>
  </si>
  <si>
    <t>Cayman Islands</t>
  </si>
  <si>
    <t>1,28,119.62</t>
  </si>
  <si>
    <t>YR1984</t>
  </si>
  <si>
    <t>Cyprus</t>
  </si>
  <si>
    <t>1,01,681.11</t>
  </si>
  <si>
    <t>YR1985</t>
  </si>
  <si>
    <t>Germany</t>
  </si>
  <si>
    <t>YR1986</t>
  </si>
  <si>
    <t>France</t>
  </si>
  <si>
    <t>YR1987</t>
  </si>
  <si>
    <t>Switzerland</t>
  </si>
  <si>
    <t>YR1988</t>
  </si>
  <si>
    <t>South Korea</t>
  </si>
  <si>
    <t>YR1989</t>
  </si>
  <si>
    <t>Luxembourg</t>
  </si>
  <si>
    <t>YR1990</t>
  </si>
  <si>
    <t>Hong Kong</t>
  </si>
  <si>
    <t>YR1991</t>
  </si>
  <si>
    <t>Canada</t>
  </si>
  <si>
    <t>YR1992</t>
  </si>
  <si>
    <t>Spain</t>
  </si>
  <si>
    <t>YR1993</t>
  </si>
  <si>
    <t>Belgium</t>
  </si>
  <si>
    <t>Italy</t>
  </si>
  <si>
    <t>YR1994</t>
  </si>
  <si>
    <t>Saudi Arabia</t>
  </si>
  <si>
    <t>YR1995</t>
  </si>
  <si>
    <t>Sweden</t>
  </si>
  <si>
    <t>British Virginia</t>
  </si>
  <si>
    <t>YR1996</t>
  </si>
  <si>
    <t>YR1997</t>
  </si>
  <si>
    <t>China</t>
  </si>
  <si>
    <t>YR1998</t>
  </si>
  <si>
    <t>Ireland</t>
  </si>
  <si>
    <t>YR1999</t>
  </si>
  <si>
    <t>Qatar</t>
  </si>
  <si>
    <t>YR2000</t>
  </si>
  <si>
    <t>Australia</t>
  </si>
  <si>
    <t>YR2001</t>
  </si>
  <si>
    <t>Thailand</t>
  </si>
  <si>
    <t>YR2002</t>
  </si>
  <si>
    <t>Bermuda</t>
  </si>
  <si>
    <t>Denmark</t>
  </si>
  <si>
    <t>YR2003</t>
  </si>
  <si>
    <t>Russia</t>
  </si>
  <si>
    <t>YR2004</t>
  </si>
  <si>
    <t>Malaysia</t>
  </si>
  <si>
    <t>YR2005</t>
  </si>
  <si>
    <t>IFSC, India</t>
  </si>
  <si>
    <t>-</t>
  </si>
  <si>
    <t>YR2006</t>
  </si>
  <si>
    <t>Taiwan</t>
  </si>
  <si>
    <t>YR2007</t>
  </si>
  <si>
    <t>Norway</t>
  </si>
  <si>
    <t>YR2008</t>
  </si>
  <si>
    <t>Poland</t>
  </si>
  <si>
    <t>YR2009</t>
  </si>
  <si>
    <t>Austria</t>
  </si>
  <si>
    <t>YR2010</t>
  </si>
  <si>
    <t>Indonesia</t>
  </si>
  <si>
    <t>YR2011</t>
  </si>
  <si>
    <t>South Africa</t>
  </si>
  <si>
    <t>YR2012</t>
  </si>
  <si>
    <t>Oman</t>
  </si>
  <si>
    <t>YR2013</t>
  </si>
  <si>
    <t>Virgin Islands(US)</t>
  </si>
  <si>
    <t>Finland</t>
  </si>
  <si>
    <t>YR2014</t>
  </si>
  <si>
    <t>Philippines</t>
  </si>
  <si>
    <t>YR2015</t>
  </si>
  <si>
    <t>JERSEY</t>
  </si>
  <si>
    <t>YR2016</t>
  </si>
  <si>
    <t>Mexico</t>
  </si>
  <si>
    <t>Israel</t>
  </si>
  <si>
    <t>YR2017</t>
  </si>
  <si>
    <t>Guernsey</t>
  </si>
  <si>
    <t>YR2018</t>
  </si>
  <si>
    <t>Turkey</t>
  </si>
  <si>
    <t>Seychelles</t>
  </si>
  <si>
    <t>YR2019</t>
  </si>
  <si>
    <t>Bahrain</t>
  </si>
  <si>
    <t>YR2020</t>
  </si>
  <si>
    <t>Chile</t>
  </si>
  <si>
    <t>Morocco</t>
  </si>
  <si>
    <t>YR2021</t>
  </si>
  <si>
    <t>Portugal</t>
  </si>
  <si>
    <t>YR2022</t>
  </si>
  <si>
    <t>Czech Republic</t>
  </si>
  <si>
    <t>YR2023</t>
  </si>
  <si>
    <t>Liechtenstein</t>
  </si>
  <si>
    <t>YR2024</t>
  </si>
  <si>
    <t>Samoa</t>
  </si>
  <si>
    <t>YR2025</t>
  </si>
  <si>
    <t>Sri Lanka</t>
  </si>
  <si>
    <t>Data from database: World Development Indicators</t>
  </si>
  <si>
    <t>Last Updated: 07/13/2026</t>
  </si>
  <si>
    <t>Kuwait</t>
  </si>
  <si>
    <t>Panama</t>
  </si>
  <si>
    <t>New Zealand</t>
  </si>
  <si>
    <t>Vietnam</t>
  </si>
  <si>
    <t>West Indies</t>
  </si>
  <si>
    <t>Bahamas</t>
  </si>
  <si>
    <t>St Vincent</t>
  </si>
  <si>
    <t>Iceland</t>
  </si>
  <si>
    <t>Brazil</t>
  </si>
  <si>
    <t>Cambodia</t>
  </si>
  <si>
    <t>Korea(North)</t>
  </si>
  <si>
    <t>Channel Islands</t>
  </si>
  <si>
    <t>Brunei Darussalam</t>
  </si>
  <si>
    <t>St Kitts &amp; Nevis</t>
  </si>
  <si>
    <t>Greece</t>
  </si>
  <si>
    <t>Hungary</t>
  </si>
  <si>
    <t>Malta</t>
  </si>
  <si>
    <t>Jordan</t>
  </si>
  <si>
    <t>Kenya</t>
  </si>
  <si>
    <t>Belarus</t>
  </si>
  <si>
    <t>Slovenia</t>
  </si>
  <si>
    <t>Kazakhstan</t>
  </si>
  <si>
    <t>Slovakia</t>
  </si>
  <si>
    <t>Gibraltar</t>
  </si>
  <si>
    <t>Nigeria</t>
  </si>
  <si>
    <t>MOZAMBIQUE</t>
  </si>
  <si>
    <t>Bulgaria</t>
  </si>
  <si>
    <t>Liberia</t>
  </si>
  <si>
    <t>Romania</t>
  </si>
  <si>
    <t>Uganda</t>
  </si>
  <si>
    <t>Maldives</t>
  </si>
  <si>
    <t>Ukraine</t>
  </si>
  <si>
    <t>Egypt</t>
  </si>
  <si>
    <t>Colombia</t>
  </si>
  <si>
    <t>Barbados</t>
  </si>
  <si>
    <t>Botswana</t>
  </si>
  <si>
    <t>Argentina</t>
  </si>
  <si>
    <t>Kyrgyzstan</t>
  </si>
  <si>
    <t>MARSHALL ISLANDS</t>
  </si>
  <si>
    <t>Myanmar</t>
  </si>
  <si>
    <t>Nepal</t>
  </si>
  <si>
    <t>Ghana</t>
  </si>
  <si>
    <t>Belize</t>
  </si>
  <si>
    <t>CALENAR YEAR-WISE INFLOW OF FOREIGN DIRECT INVESTMENT:</t>
  </si>
  <si>
    <t>Reporter Name</t>
  </si>
  <si>
    <t>Partner Name</t>
  </si>
  <si>
    <t>AZERBAIJAN</t>
  </si>
  <si>
    <t>Trade Flow</t>
  </si>
  <si>
    <t>Product Group</t>
  </si>
  <si>
    <t>Calendar Year (January - December)</t>
  </si>
  <si>
    <t>Indicator</t>
  </si>
  <si>
    <t>2000</t>
  </si>
  <si>
    <t>2001</t>
  </si>
  <si>
    <t>2002</t>
  </si>
  <si>
    <t>2003</t>
  </si>
  <si>
    <t>2004</t>
  </si>
  <si>
    <t>2005</t>
  </si>
  <si>
    <t>FDI equity inflow from Singapore</t>
  </si>
  <si>
    <t>2006</t>
  </si>
  <si>
    <t>2007</t>
  </si>
  <si>
    <t>2008</t>
  </si>
  <si>
    <t>2009</t>
  </si>
  <si>
    <t>2010</t>
  </si>
  <si>
    <t>2011</t>
  </si>
  <si>
    <t>2012</t>
  </si>
  <si>
    <t>2013</t>
  </si>
  <si>
    <t>FDI equity inflow from Mauritius</t>
  </si>
  <si>
    <t>2014</t>
  </si>
  <si>
    <t>2015</t>
  </si>
  <si>
    <t>East Africa</t>
  </si>
  <si>
    <t>2016</t>
  </si>
  <si>
    <t>FDI equity inflow from USA</t>
  </si>
  <si>
    <t>2017</t>
  </si>
  <si>
    <t>2018</t>
  </si>
  <si>
    <t>2019</t>
  </si>
  <si>
    <t>2020</t>
  </si>
  <si>
    <t>2021</t>
  </si>
  <si>
    <t>2022</t>
  </si>
  <si>
    <t>2023</t>
  </si>
  <si>
    <t>INR in Crore</t>
  </si>
  <si>
    <t>Import</t>
  </si>
  <si>
    <t>Food Products</t>
  </si>
  <si>
    <t>USD in Million</t>
  </si>
  <si>
    <t>Import (US$ Thousand)</t>
  </si>
  <si>
    <t>Uruguay</t>
  </si>
  <si>
    <t xml:space="preserve"> Intermediate goods</t>
  </si>
  <si>
    <t>Monaco</t>
  </si>
  <si>
    <t>Miscellaneous</t>
  </si>
  <si>
    <t>Fiji Island</t>
  </si>
  <si>
    <t>Hides and Skins</t>
  </si>
  <si>
    <t>Stone and Glass</t>
  </si>
  <si>
    <t>Tunisia</t>
  </si>
  <si>
    <t>Minerals</t>
  </si>
  <si>
    <t>Trinidad &amp; Tobago</t>
  </si>
  <si>
    <t>Animal</t>
  </si>
  <si>
    <t>Estonia</t>
  </si>
  <si>
    <t>Transportation</t>
  </si>
  <si>
    <t>Tanzania</t>
  </si>
  <si>
    <t>Metals</t>
  </si>
  <si>
    <t>Georgia</t>
  </si>
  <si>
    <t>Plastic or Rubber</t>
  </si>
  <si>
    <t>Peru</t>
  </si>
  <si>
    <t>Mach and Elec</t>
  </si>
  <si>
    <t>Lebanon</t>
  </si>
  <si>
    <t xml:space="preserve"> Capital goods</t>
  </si>
  <si>
    <t>Vanuatu</t>
  </si>
  <si>
    <t xml:space="preserve"> Raw materials</t>
  </si>
  <si>
    <t>St Lucia</t>
  </si>
  <si>
    <t>Wood</t>
  </si>
  <si>
    <t>West Africa</t>
  </si>
  <si>
    <t>1,01,233.01</t>
  </si>
  <si>
    <t>State of Palestine</t>
  </si>
  <si>
    <t xml:space="preserve"> Consumer goods</t>
  </si>
  <si>
    <t>1,05,337.74</t>
  </si>
  <si>
    <t>Chemicals</t>
  </si>
  <si>
    <t>Latvia</t>
  </si>
  <si>
    <t>Textiles and Clothing</t>
  </si>
  <si>
    <t>Mongolia</t>
  </si>
  <si>
    <t xml:space="preserve">  All Products</t>
  </si>
  <si>
    <t>Afghanistan</t>
  </si>
  <si>
    <t>Lithuania</t>
  </si>
  <si>
    <t>Fuels</t>
  </si>
  <si>
    <t>Yemen</t>
  </si>
  <si>
    <t>Vegetable</t>
  </si>
  <si>
    <t>SAN MARINO</t>
  </si>
  <si>
    <t>Footwear</t>
  </si>
  <si>
    <t>Cumulative Total</t>
  </si>
  <si>
    <t>TAJIKISTAN</t>
  </si>
  <si>
    <t>CHAPTER - VI: FDI SYNOPSIS ON COUNTRY, SECTOR &amp; STATE-WISE RECEIVED HIGHEST FDI EQUITY INFLOW</t>
  </si>
  <si>
    <t>Country Profile: (period from January 2000 to December 2025)</t>
  </si>
  <si>
    <t>Congo (DR)</t>
  </si>
  <si>
    <t>Export</t>
  </si>
  <si>
    <t>Export (US$ Thousand)</t>
  </si>
  <si>
    <t>Armenia</t>
  </si>
  <si>
    <t>Malawi</t>
  </si>
  <si>
    <t>Cuba</t>
  </si>
  <si>
    <t>Iran</t>
  </si>
  <si>
    <t>Guyana</t>
  </si>
  <si>
    <t>Jamaica</t>
  </si>
  <si>
    <t>Togo Republic</t>
  </si>
  <si>
    <t>Algeria</t>
  </si>
  <si>
    <t>Croatia</t>
  </si>
  <si>
    <t>Swaziland</t>
  </si>
  <si>
    <t>Anguilla</t>
  </si>
  <si>
    <t>BENIN</t>
  </si>
  <si>
    <t>Serbia</t>
  </si>
  <si>
    <t>Year</t>
  </si>
  <si>
    <t>Puerto Rico</t>
  </si>
  <si>
    <t>Exports to Singapore
(US$ thousand)</t>
  </si>
  <si>
    <t>Exports to Singapore
(US$ million)</t>
  </si>
  <si>
    <t>Imports from Singapore 
(US$ thousand)</t>
  </si>
  <si>
    <t>Imports from Singapore 
(US$ million)</t>
  </si>
  <si>
    <t>FDI Equity Inflow From Singapore 
(US$ million)</t>
  </si>
  <si>
    <t>MAURITANIA</t>
  </si>
  <si>
    <t>Aruba</t>
  </si>
  <si>
    <t>Zambia</t>
  </si>
  <si>
    <t>Iraq</t>
  </si>
  <si>
    <t>VATICAN CITY</t>
  </si>
  <si>
    <t>GABON</t>
  </si>
  <si>
    <t>Honduras</t>
  </si>
  <si>
    <t>Yugoslavia</t>
  </si>
  <si>
    <t>SURINAME</t>
  </si>
  <si>
    <t>Costa Rica</t>
  </si>
  <si>
    <t>Sierra Leone</t>
  </si>
  <si>
    <t>Bangladesh</t>
  </si>
  <si>
    <t>Angola</t>
  </si>
  <si>
    <t>Cook Island</t>
  </si>
  <si>
    <t>Turks and Caicos Islands</t>
  </si>
  <si>
    <t>Zimbabwe</t>
  </si>
  <si>
    <t>Libya</t>
  </si>
  <si>
    <t>Djibouti</t>
  </si>
  <si>
    <t>Sudan</t>
  </si>
  <si>
    <t>COTE DIVOIRE</t>
  </si>
  <si>
    <t>Moldova</t>
  </si>
  <si>
    <t>Cape Verde</t>
  </si>
  <si>
    <t>Niue Island</t>
  </si>
  <si>
    <t>GUAM</t>
  </si>
  <si>
    <t>GUATEMALA</t>
  </si>
  <si>
    <t>Venezuela</t>
  </si>
  <si>
    <t>ETHIOPIA</t>
  </si>
  <si>
    <t>NAMIBIA</t>
  </si>
  <si>
    <t>DOMINICAN REP</t>
  </si>
  <si>
    <t>Cameroon</t>
  </si>
  <si>
    <t>TURKMENISTAN</t>
  </si>
  <si>
    <t>SUMMARY OUTPUT</t>
  </si>
  <si>
    <t>Bolivia</t>
  </si>
  <si>
    <t>Regression Statistics</t>
  </si>
  <si>
    <t>Syria</t>
  </si>
  <si>
    <t>Multiple R</t>
  </si>
  <si>
    <t>SAN TOME AND PRINCIPE</t>
  </si>
  <si>
    <t>R Square</t>
  </si>
  <si>
    <t>Adjusted R Square</t>
  </si>
  <si>
    <t>ECUADOR</t>
  </si>
  <si>
    <t>Standard Error</t>
  </si>
  <si>
    <t>Observations</t>
  </si>
  <si>
    <t>Paraguay</t>
  </si>
  <si>
    <t>ANOVA</t>
  </si>
  <si>
    <t>SENEGAL</t>
  </si>
  <si>
    <t>df</t>
  </si>
  <si>
    <t>SS</t>
  </si>
  <si>
    <t>MS</t>
  </si>
  <si>
    <t>F</t>
  </si>
  <si>
    <t>ANDORRA</t>
  </si>
  <si>
    <t>Significance F</t>
  </si>
  <si>
    <t>Regression</t>
  </si>
  <si>
    <t>MACEDONIA</t>
  </si>
  <si>
    <t>Residual</t>
  </si>
  <si>
    <t>Total</t>
  </si>
  <si>
    <t>Rwanda</t>
  </si>
  <si>
    <t>Mali Republic</t>
  </si>
  <si>
    <t>Coefficients</t>
  </si>
  <si>
    <t>t Stat</t>
  </si>
  <si>
    <t>P-value</t>
  </si>
  <si>
    <t>Lower 95%</t>
  </si>
  <si>
    <t>Upper 95%</t>
  </si>
  <si>
    <t>Lower 95.0%</t>
  </si>
  <si>
    <t>Upper 95.0%</t>
  </si>
  <si>
    <t>Intercept</t>
  </si>
  <si>
    <t>Country Details Awaited</t>
  </si>
  <si>
    <t>NRI ***</t>
  </si>
  <si>
    <t>FII's</t>
  </si>
  <si>
    <t>Sub Total:</t>
  </si>
  <si>
    <t>51,88,505.68</t>
  </si>
  <si>
    <t>RBI’s NRI SCHEMES” *”</t>
  </si>
  <si>
    <t>Grand Total:</t>
  </si>
  <si>
    <t>51,89,094.83</t>
  </si>
  <si>
    <t>Note:
 (i) ‘*’ Complete/separate data on NRI investment is not maintained by RBI. However, the above data reflects investments made by NRI’s reported by RBI under the ‘NRI” head. RBI has informed that NRIs, who have not reported their status as NRIs while making investments, are not included in this category.
 (ii) ^ on the basis of clarification received from RBI, the amount of Stock Swap &amp; advance pending issue of shares has been deleted from the cumulative FDI data.
 (iii) ‘**’ RBI’s NRI schemes for the period from 2000 to 2002.</t>
  </si>
  <si>
    <t>Step 1:</t>
  </si>
  <si>
    <t>Go to official DPIIT website: https://www.dpiit.gov.in/documents/publications?page=1</t>
  </si>
  <si>
    <t>Step 2:</t>
  </si>
  <si>
    <t>Click VIEW ALL on FOREIGN DIRECT INVESTMENT IN INDIA - ANNUAL ISSUE 2025</t>
  </si>
  <si>
    <t>Step 3:</t>
  </si>
  <si>
    <t>Scroll down to CHAPTER – III: CUMULATIVEFDI EQUITY INFLOW DATA STATEMENTS (During January 2000 to December 2025)</t>
  </si>
  <si>
    <t>Click VIEW on 2. Statement on Country-wise / Year-wise</t>
  </si>
  <si>
    <t>Step 4:</t>
  </si>
  <si>
    <t>Download the pdf file and convert to excel file</t>
  </si>
  <si>
    <t>All Products</t>
  </si>
  <si>
    <t>Total Trade (US$ Thousand)</t>
  </si>
  <si>
    <t>Growth Rate (%)</t>
  </si>
  <si>
    <t>China Value Added % of Total India Exports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</si>
</sst>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29">
    <font>
      <sz val="11.0"/>
      <color theme="1"/>
      <name val="Aptos Narrow"/>
      <scheme val="minor"/>
    </font>
    <font>
      <sz val="11.0"/>
      <color theme="1"/>
      <name val="Aptos Narrow"/>
    </font>
    <font>
      <b/>
      <i/>
      <u/>
      <sz val="11.0"/>
      <color theme="1"/>
      <name val="Arial"/>
    </font>
    <font>
      <b/>
      <sz val="13.0"/>
      <color theme="1"/>
      <name val="Calibri"/>
    </font>
    <font>
      <b/>
      <sz val="11.0"/>
      <color theme="1"/>
      <name val="Calibri"/>
    </font>
    <font>
      <b/>
      <sz val="11.0"/>
      <color rgb="FF000000"/>
      <name val="Calibri"/>
    </font>
    <font>
      <sz val="11.0"/>
      <color rgb="FFFF0000"/>
      <name val="Aptos Narrow"/>
    </font>
    <font>
      <b/>
      <sz val="11.0"/>
      <color rgb="FFFF0000"/>
      <name val="Aptos Narrow"/>
    </font>
    <font/>
    <font>
      <sz val="11.0"/>
      <color rgb="FF000000"/>
      <name val="Times New Roman"/>
    </font>
    <font>
      <sz val="11.0"/>
      <color rgb="FF000000"/>
      <name val="Calibri"/>
    </font>
    <font>
      <sz val="11.0"/>
      <color theme="1"/>
      <name val="Calibri"/>
    </font>
    <font>
      <sz val="11.0"/>
      <color rgb="FF0000FF"/>
      <name val="Arial"/>
    </font>
    <font>
      <sz val="12.0"/>
      <color rgb="FF0000FF"/>
      <name val="Arial"/>
    </font>
    <font>
      <sz val="12.0"/>
      <color theme="1"/>
      <name val="Aptos Narrow"/>
    </font>
    <font>
      <sz val="12.0"/>
      <color theme="1"/>
      <name val="Arial"/>
    </font>
    <font>
      <sz val="11.0"/>
      <color theme="1"/>
      <name val="Arial"/>
    </font>
    <font>
      <sz val="11.0"/>
      <color rgb="FFFF0000"/>
      <name val="Arial"/>
    </font>
    <font>
      <color theme="1"/>
      <name val="Aptos Narrow"/>
      <scheme val="minor"/>
    </font>
    <font>
      <b/>
      <u/>
      <sz val="11.0"/>
      <color theme="1"/>
      <name val="Calibri"/>
    </font>
    <font>
      <b/>
      <u/>
      <sz val="11.0"/>
      <color theme="1"/>
      <name val="Calibri"/>
    </font>
    <font>
      <sz val="11.0"/>
      <color rgb="FF212121"/>
      <name val="Calibri"/>
    </font>
    <font>
      <sz val="12.0"/>
      <color rgb="FF150202"/>
      <name val="Noto Sans"/>
    </font>
    <font>
      <sz val="11.0"/>
      <color rgb="FF150202"/>
      <name val="Noto Sans"/>
    </font>
    <font>
      <sz val="11.0"/>
      <color rgb="FF212121"/>
      <name val="Arial"/>
    </font>
    <font>
      <sz val="11.0"/>
      <color rgb="FF000000"/>
      <name val="&quot;Aptos Narrow&quot;"/>
    </font>
    <font>
      <i/>
      <sz val="11.0"/>
      <color rgb="FF000000"/>
      <name val="&quot;Aptos Narrow&quot;"/>
    </font>
    <font>
      <sz val="12.0"/>
      <color rgb="FF000000"/>
      <name val="Arial"/>
    </font>
    <font>
      <color theme="1"/>
      <name val="Arial"/>
    </font>
  </fonts>
  <fills count="9">
    <fill>
      <patternFill patternType="none"/>
    </fill>
    <fill>
      <patternFill patternType="lightGray"/>
    </fill>
    <fill>
      <patternFill patternType="solid">
        <fgColor theme="9"/>
        <bgColor theme="9"/>
      </patternFill>
    </fill>
    <fill>
      <patternFill patternType="solid">
        <fgColor rgb="FFD9F2D0"/>
        <bgColor rgb="FFD9F2D0"/>
      </patternFill>
    </fill>
    <fill>
      <patternFill patternType="solid">
        <fgColor rgb="FFB3E5A1"/>
        <bgColor rgb="FFB3E5A1"/>
      </patternFill>
    </fill>
    <fill>
      <patternFill patternType="solid">
        <fgColor rgb="FF3A7D22"/>
        <bgColor rgb="FF3A7D22"/>
      </patternFill>
    </fill>
    <fill>
      <patternFill patternType="solid">
        <fgColor rgb="FFFFFF00"/>
        <bgColor rgb="FFFFFF00"/>
      </patternFill>
    </fill>
    <fill>
      <patternFill patternType="solid">
        <fgColor rgb="FF4EA72E"/>
        <bgColor rgb="FF4EA72E"/>
      </patternFill>
    </fill>
    <fill>
      <patternFill patternType="solid">
        <fgColor rgb="FFFFFFFF"/>
        <bgColor rgb="FFFFFFFF"/>
      </patternFill>
    </fill>
  </fills>
  <borders count="8">
    <border/>
    <border>
      <left/>
      <right/>
      <top/>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shrinkToFit="0" vertical="center" wrapText="1"/>
    </xf>
    <xf borderId="0" fillId="0" fontId="1" numFmtId="49" xfId="0" applyFont="1" applyNumberFormat="1"/>
    <xf borderId="0" fillId="0" fontId="2" numFmtId="0" xfId="0" applyAlignment="1" applyFont="1">
      <alignment horizontal="center" vertical="top"/>
    </xf>
    <xf borderId="1" fillId="2" fontId="1" numFmtId="0" xfId="0" applyAlignment="1" applyBorder="1" applyFill="1" applyFont="1">
      <alignment horizontal="center" shrinkToFit="0" vertical="center" wrapText="1"/>
    </xf>
    <xf borderId="0" fillId="0" fontId="3" numFmtId="0" xfId="0" applyAlignment="1" applyFont="1">
      <alignment horizontal="center" vertical="top"/>
    </xf>
    <xf borderId="0" fillId="0" fontId="1" numFmtId="2" xfId="0" applyAlignment="1" applyFont="1" applyNumberFormat="1">
      <alignment horizontal="center" shrinkToFit="0" vertical="center" wrapText="1"/>
    </xf>
    <xf borderId="2" fillId="0" fontId="4" numFmtId="0" xfId="0" applyAlignment="1" applyBorder="1" applyFont="1">
      <alignment horizontal="center"/>
    </xf>
    <xf borderId="2" fillId="0" fontId="4" numFmtId="0" xfId="0" applyAlignment="1" applyBorder="1" applyFont="1">
      <alignment horizontal="left"/>
    </xf>
    <xf borderId="1" fillId="3" fontId="1" numFmtId="0" xfId="0" applyAlignment="1" applyBorder="1" applyFill="1" applyFont="1">
      <alignment horizontal="center" shrinkToFit="0" vertical="center" wrapText="1"/>
    </xf>
    <xf borderId="2" fillId="0" fontId="5" numFmtId="0" xfId="0" applyAlignment="1" applyBorder="1" applyFont="1">
      <alignment horizontal="center"/>
    </xf>
    <xf borderId="1" fillId="4" fontId="1" numFmtId="0" xfId="0" applyAlignment="1" applyBorder="1" applyFill="1" applyFont="1">
      <alignment horizontal="center" shrinkToFit="0" vertical="center" wrapText="1"/>
    </xf>
    <xf borderId="0" fillId="0" fontId="6" numFmtId="164" xfId="0" applyAlignment="1" applyFont="1" applyNumberFormat="1">
      <alignment horizontal="center" shrinkToFit="0" vertical="center" wrapText="1"/>
    </xf>
    <xf borderId="3" fillId="0" fontId="4" numFmtId="0" xfId="0" applyAlignment="1" applyBorder="1" applyFont="1">
      <alignment horizontal="left" vertical="top"/>
    </xf>
    <xf borderId="0" fillId="0" fontId="7" numFmtId="164" xfId="0" applyAlignment="1" applyFont="1" applyNumberFormat="1">
      <alignment horizontal="center" shrinkToFit="0" vertical="center" wrapText="1"/>
    </xf>
    <xf borderId="4" fillId="0" fontId="8" numFmtId="0" xfId="0" applyBorder="1" applyFont="1"/>
    <xf borderId="0" fillId="0" fontId="9" numFmtId="0" xfId="0" applyAlignment="1" applyFont="1">
      <alignment horizontal="left" vertical="top"/>
    </xf>
    <xf borderId="2" fillId="0" fontId="9" numFmtId="0" xfId="0" applyAlignment="1" applyBorder="1" applyFont="1">
      <alignment horizontal="left"/>
    </xf>
    <xf borderId="1" fillId="5" fontId="1" numFmtId="10" xfId="0" applyAlignment="1" applyBorder="1" applyFill="1" applyFont="1" applyNumberFormat="1">
      <alignment horizontal="center" shrinkToFit="0" vertical="center" wrapText="1"/>
    </xf>
    <xf borderId="2" fillId="0" fontId="4" numFmtId="0" xfId="0" applyAlignment="1" applyBorder="1" applyFont="1">
      <alignment horizontal="left" vertical="top"/>
    </xf>
    <xf borderId="2" fillId="0" fontId="4" numFmtId="0" xfId="0" applyAlignment="1" applyBorder="1" applyFont="1">
      <alignment horizontal="right" vertical="top"/>
    </xf>
    <xf borderId="2" fillId="0" fontId="10" numFmtId="0" xfId="0" applyAlignment="1" applyBorder="1" applyFont="1">
      <alignment horizontal="center" vertical="top"/>
    </xf>
    <xf borderId="2" fillId="6" fontId="11" numFmtId="0" xfId="0" applyAlignment="1" applyBorder="1" applyFill="1" applyFont="1">
      <alignment horizontal="left" vertical="top"/>
    </xf>
    <xf borderId="2" fillId="0" fontId="10" numFmtId="4" xfId="0" applyAlignment="1" applyBorder="1" applyFont="1" applyNumberFormat="1">
      <alignment horizontal="right" vertical="top"/>
    </xf>
    <xf borderId="0" fillId="0" fontId="6" numFmtId="0" xfId="0" applyAlignment="1" applyFont="1">
      <alignment horizontal="center" shrinkToFit="0" vertical="center" wrapText="1"/>
    </xf>
    <xf borderId="2" fillId="0" fontId="11" numFmtId="0" xfId="0" applyAlignment="1" applyBorder="1" applyFont="1">
      <alignment horizontal="right" vertical="top"/>
    </xf>
    <xf borderId="0" fillId="0" fontId="12" numFmtId="0" xfId="0" applyAlignment="1" applyFont="1">
      <alignment horizontal="left" shrinkToFit="0" vertical="center" wrapText="1"/>
    </xf>
    <xf borderId="0" fillId="0" fontId="13" numFmtId="0" xfId="0" applyAlignment="1" applyFont="1">
      <alignment horizontal="left" shrinkToFit="0" vertical="top" wrapText="1"/>
    </xf>
    <xf borderId="0" fillId="0" fontId="14" numFmtId="0" xfId="0" applyAlignment="1" applyFont="1">
      <alignment horizontal="center" shrinkToFit="0" vertical="center" wrapText="1"/>
    </xf>
    <xf borderId="1" fillId="2" fontId="14" numFmtId="0" xfId="0" applyAlignment="1" applyBorder="1" applyFont="1">
      <alignment horizontal="center" shrinkToFit="0" vertical="center" wrapText="1"/>
    </xf>
    <xf borderId="0" fillId="0" fontId="14" numFmtId="2" xfId="0" applyAlignment="1" applyFont="1" applyNumberFormat="1">
      <alignment horizontal="center" shrinkToFit="0" vertical="center" wrapText="1"/>
    </xf>
    <xf borderId="0" fillId="0" fontId="15" numFmtId="164" xfId="0" applyAlignment="1" applyFont="1" applyNumberFormat="1">
      <alignment horizontal="center" shrinkToFit="0" vertical="center" wrapText="1"/>
    </xf>
    <xf borderId="1" fillId="3" fontId="14" numFmtId="0" xfId="0" applyAlignment="1" applyBorder="1" applyFont="1">
      <alignment horizontal="center" shrinkToFit="0" vertical="center" wrapText="1"/>
    </xf>
    <xf borderId="1" fillId="4" fontId="14" numFmtId="0" xfId="0" applyAlignment="1" applyBorder="1" applyFont="1">
      <alignment horizontal="center" shrinkToFit="0" vertical="center" wrapText="1"/>
    </xf>
    <xf quotePrefix="1" borderId="0" fillId="0" fontId="14" numFmtId="164" xfId="0" applyAlignment="1" applyFont="1" applyNumberFormat="1">
      <alignment horizontal="center" shrinkToFit="0" vertical="center" wrapText="1"/>
    </xf>
    <xf borderId="0" fillId="0" fontId="14" numFmtId="164" xfId="0" applyAlignment="1" applyFont="1" applyNumberFormat="1">
      <alignment horizontal="center" shrinkToFit="0" vertical="center" wrapText="1"/>
    </xf>
    <xf borderId="2" fillId="0" fontId="11" numFmtId="0" xfId="0" applyAlignment="1" applyBorder="1" applyFont="1">
      <alignment horizontal="left" vertical="top"/>
    </xf>
    <xf borderId="1" fillId="5" fontId="14" numFmtId="10" xfId="0" applyAlignment="1" applyBorder="1" applyFont="1" applyNumberFormat="1">
      <alignment horizontal="center" shrinkToFit="0" vertical="center" wrapText="1"/>
    </xf>
    <xf quotePrefix="1" borderId="0" fillId="0" fontId="14" numFmtId="0" xfId="0" applyAlignment="1" applyFont="1">
      <alignment horizontal="center" shrinkToFit="0" vertical="center" wrapText="1"/>
    </xf>
    <xf borderId="0" fillId="0" fontId="11" numFmtId="0" xfId="0" applyFont="1"/>
    <xf borderId="1" fillId="7" fontId="1" numFmtId="0" xfId="0" applyBorder="1" applyFill="1" applyFont="1"/>
    <xf borderId="1" fillId="3" fontId="1" numFmtId="0" xfId="0" applyBorder="1" applyFont="1"/>
    <xf borderId="2" fillId="0" fontId="10" numFmtId="0" xfId="0" applyAlignment="1" applyBorder="1" applyFont="1">
      <alignment horizontal="right" vertical="top"/>
    </xf>
    <xf borderId="1" fillId="4" fontId="1" numFmtId="0" xfId="0" applyBorder="1" applyFont="1"/>
    <xf borderId="0" fillId="0" fontId="16" numFmtId="0" xfId="0" applyFont="1"/>
    <xf borderId="1" fillId="5" fontId="1" numFmtId="0" xfId="0" applyBorder="1" applyFont="1"/>
    <xf borderId="0" fillId="0" fontId="1" numFmtId="2" xfId="0" applyFont="1" applyNumberFormat="1"/>
    <xf borderId="0" fillId="0" fontId="6" numFmtId="0" xfId="0" applyFont="1"/>
    <xf borderId="0" fillId="0" fontId="11" numFmtId="0" xfId="0" applyAlignment="1" applyFont="1">
      <alignment horizontal="right"/>
    </xf>
    <xf borderId="0" fillId="0" fontId="11" numFmtId="2" xfId="0" applyAlignment="1" applyFont="1" applyNumberFormat="1">
      <alignment horizontal="right"/>
    </xf>
    <xf borderId="0" fillId="0" fontId="17" numFmtId="0" xfId="0" applyFont="1"/>
    <xf borderId="1" fillId="2" fontId="1" numFmtId="0" xfId="0" applyBorder="1" applyFont="1"/>
    <xf borderId="5" fillId="0" fontId="4" numFmtId="0" xfId="0" applyAlignment="1" applyBorder="1" applyFont="1">
      <alignment horizontal="center" vertical="top"/>
    </xf>
    <xf borderId="5" fillId="0" fontId="8" numFmtId="0" xfId="0" applyBorder="1" applyFont="1"/>
    <xf borderId="0" fillId="0" fontId="18" numFmtId="0" xfId="0" applyFont="1"/>
    <xf borderId="6" fillId="0" fontId="19" numFmtId="0" xfId="0" applyAlignment="1" applyBorder="1" applyFont="1">
      <alignment horizontal="left" vertical="top"/>
    </xf>
    <xf borderId="3" fillId="0" fontId="20" numFmtId="0" xfId="0" applyAlignment="1" applyBorder="1" applyFont="1">
      <alignment horizontal="left" vertical="top"/>
    </xf>
    <xf borderId="7" fillId="0" fontId="8" numFmtId="0" xfId="0" applyBorder="1" applyFont="1"/>
    <xf borderId="2" fillId="0" fontId="21" numFmtId="0" xfId="0" applyAlignment="1" applyBorder="1" applyFont="1">
      <alignment horizontal="right" vertical="top"/>
    </xf>
    <xf borderId="2" fillId="0" fontId="21" numFmtId="4" xfId="0" applyAlignment="1" applyBorder="1" applyFont="1" applyNumberFormat="1">
      <alignment horizontal="right" vertical="top"/>
    </xf>
    <xf borderId="0" fillId="6" fontId="18" numFmtId="0" xfId="0" applyFont="1"/>
    <xf borderId="2" fillId="0" fontId="4" numFmtId="0" xfId="0" applyAlignment="1" applyBorder="1" applyFont="1">
      <alignment horizontal="center" vertical="top"/>
    </xf>
    <xf borderId="2" fillId="0" fontId="5" numFmtId="4" xfId="0" applyAlignment="1" applyBorder="1" applyFont="1" applyNumberFormat="1">
      <alignment horizontal="right" vertical="top"/>
    </xf>
    <xf borderId="1" fillId="8" fontId="22" numFmtId="0" xfId="0" applyBorder="1" applyFill="1" applyFont="1"/>
    <xf borderId="1" fillId="8" fontId="23" numFmtId="0" xfId="0" applyBorder="1" applyFont="1"/>
    <xf borderId="0" fillId="0" fontId="1" numFmtId="0" xfId="0" applyAlignment="1" applyFont="1">
      <alignment horizontal="left" vertical="center"/>
    </xf>
    <xf borderId="0" fillId="0" fontId="1" numFmtId="0" xfId="0" applyAlignment="1" applyFont="1">
      <alignment horizontal="left" shrinkToFit="0" vertical="center" wrapText="1"/>
    </xf>
    <xf borderId="0" fillId="0" fontId="1" numFmtId="0" xfId="0" applyAlignment="1" applyFont="1">
      <alignment horizontal="left"/>
    </xf>
    <xf borderId="0" fillId="0" fontId="24" numFmtId="2" xfId="0" applyAlignment="1" applyFont="1" applyNumberFormat="1">
      <alignment horizontal="right" shrinkToFit="1" vertical="top" wrapText="0"/>
    </xf>
    <xf borderId="0" fillId="0" fontId="24" numFmtId="4" xfId="0" applyAlignment="1" applyFont="1" applyNumberFormat="1">
      <alignment horizontal="right" shrinkToFit="1" vertical="top" wrapText="0"/>
    </xf>
    <xf borderId="0" fillId="0" fontId="25" numFmtId="0" xfId="0" applyFont="1"/>
    <xf borderId="3" fillId="0" fontId="26" numFmtId="0" xfId="0" applyAlignment="1" applyBorder="1" applyFont="1">
      <alignment horizontal="center"/>
    </xf>
    <xf borderId="3" fillId="0" fontId="8" numFmtId="0" xfId="0" applyBorder="1" applyFont="1"/>
    <xf borderId="0" fillId="0" fontId="25" numFmtId="0" xfId="0" applyAlignment="1" applyFont="1">
      <alignment horizontal="right"/>
    </xf>
    <xf borderId="5" fillId="0" fontId="25" numFmtId="0" xfId="0" applyBorder="1" applyFont="1"/>
    <xf borderId="5" fillId="0" fontId="25" numFmtId="0" xfId="0" applyAlignment="1" applyBorder="1" applyFont="1">
      <alignment horizontal="right"/>
    </xf>
    <xf borderId="0" fillId="0" fontId="25" numFmtId="11" xfId="0" applyAlignment="1" applyFont="1" applyNumberFormat="1">
      <alignment horizontal="right"/>
    </xf>
    <xf borderId="5" fillId="0" fontId="25" numFmtId="11" xfId="0" applyAlignment="1" applyBorder="1" applyFont="1" applyNumberFormat="1">
      <alignment horizontal="right"/>
    </xf>
    <xf borderId="0" fillId="0" fontId="4" numFmtId="0" xfId="0" applyAlignment="1" applyFont="1">
      <alignment horizontal="left" vertical="top"/>
    </xf>
    <xf borderId="0" fillId="0" fontId="27" numFmtId="0" xfId="0" applyAlignment="1" applyFont="1">
      <alignment horizontal="left"/>
    </xf>
    <xf borderId="0" fillId="0" fontId="10" numFmtId="0" xfId="0" applyAlignment="1" applyFont="1">
      <alignment readingOrder="0" shrinkToFit="0" vertical="bottom" wrapText="0"/>
    </xf>
    <xf borderId="0" fillId="0" fontId="10" numFmtId="0" xfId="0" applyAlignment="1" applyFont="1">
      <alignment horizontal="right" readingOrder="0" shrinkToFit="0" vertical="bottom" wrapText="0"/>
    </xf>
    <xf borderId="0" fillId="0" fontId="10" numFmtId="0" xfId="0" applyAlignment="1" applyFont="1">
      <alignment shrinkToFit="0" vertical="bottom" wrapText="0"/>
    </xf>
    <xf borderId="0" fillId="0" fontId="28" numFmtId="0" xfId="0" applyAlignment="1" applyFont="1">
      <alignment readingOrder="0"/>
    </xf>
    <xf borderId="0" fillId="0" fontId="18" numFmtId="0" xfId="0" applyAlignment="1" applyFont="1">
      <alignment readingOrder="0"/>
    </xf>
    <xf borderId="0" fillId="0" fontId="11" numFmtId="0" xfId="0" applyAlignment="1" applyFont="1">
      <alignment horizontal="righ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GDP Growth Rate and FDI Inflows in India (1978-2025)</a:t>
            </a:r>
          </a:p>
        </c:rich>
      </c:tx>
      <c:overlay val="0"/>
    </c:title>
    <c:plotArea>
      <c:layout/>
      <c:lineChart>
        <c:varyColors val="0"/>
        <c:ser>
          <c:idx val="0"/>
          <c:order val="0"/>
          <c:tx>
            <c:v>FDI inflow (current US$)</c:v>
          </c:tx>
          <c:spPr>
            <a:ln cmpd="sng" w="28575">
              <a:solidFill>
                <a:schemeClr val="accent1"/>
              </a:solidFill>
            </a:ln>
          </c:spPr>
          <c:marker>
            <c:symbol val="none"/>
          </c:marker>
          <c:trendline>
            <c:name>Linear (FDI inflow (current US$))</c:name>
            <c:spPr>
              <a:ln w="19050">
                <a:solidFill>
                  <a:srgbClr val="000000">
                    <a:alpha val="0"/>
                  </a:srgbClr>
                </a:solidFill>
              </a:ln>
            </c:spPr>
            <c:trendlineType val="linear"/>
            <c:dispRSqr val="0"/>
            <c:dispEq val="0"/>
          </c:trendline>
          <c:cat>
            <c:strRef>
              <c:f>Sheet2!$A$5:$A$52</c:f>
            </c:strRef>
          </c:cat>
          <c:val>
            <c:numRef>
              <c:f>Sheet2!$C$5:$C$52</c:f>
              <c:numCache/>
            </c:numRef>
          </c:val>
          <c:smooth val="0"/>
        </c:ser>
        <c:axId val="1061027070"/>
        <c:axId val="456376269"/>
      </c:lineChart>
      <c:catAx>
        <c:axId val="10610270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456376269"/>
      </c:catAx>
      <c:valAx>
        <c:axId val="45637626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061027070"/>
      </c:valAx>
      <c:lineChart>
        <c:varyColors val="0"/>
        <c:ser>
          <c:idx val="1"/>
          <c:order val="1"/>
          <c:tx>
            <c:v>GDP growth (annual %)</c:v>
          </c:tx>
          <c:spPr>
            <a:ln cmpd="sng" w="28575">
              <a:solidFill>
                <a:schemeClr val="accent2"/>
              </a:solidFill>
            </a:ln>
          </c:spPr>
          <c:marker>
            <c:symbol val="none"/>
          </c:marker>
          <c:cat>
            <c:strRef>
              <c:f>Sheet2!$A$5:$A$52</c:f>
            </c:strRef>
          </c:cat>
          <c:val>
            <c:numRef>
              <c:f>Sheet2!$B$6:$B$52</c:f>
              <c:numCache/>
            </c:numRef>
          </c:val>
          <c:smooth val="0"/>
        </c:ser>
        <c:axId val="598473442"/>
        <c:axId val="1700591476"/>
      </c:lineChart>
      <c:catAx>
        <c:axId val="598473442"/>
        <c:scaling>
          <c:orientation val="minMax"/>
        </c:scaling>
        <c:delete val="1"/>
        <c:axPos val="b"/>
        <c:numFmt formatCode="General" sourceLinked="1"/>
        <c:majorTickMark val="none"/>
        <c:minorTickMark val="none"/>
        <c:spPr>
          <a:ln>
            <a:noFill/>
          </a:ln>
        </c:spPr>
        <c:txPr>
          <a:bodyPr/>
          <a:lstStyle/>
          <a:p>
            <a:pPr lvl="0">
              <a:defRPr b="0" i="0" sz="900">
                <a:solidFill>
                  <a:srgbClr val="000000"/>
                </a:solidFill>
                <a:latin typeface="+mn-lt"/>
              </a:defRPr>
            </a:pPr>
          </a:p>
        </c:txPr>
        <c:crossAx val="1700591476"/>
      </c:catAx>
      <c:valAx>
        <c:axId val="1700591476"/>
        <c:scaling>
          <c:orientation val="minMax"/>
        </c:scaling>
        <c:delete val="0"/>
        <c:axPos val="r"/>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900">
                <a:solidFill>
                  <a:srgbClr val="000000"/>
                </a:solidFill>
                <a:latin typeface="+mn-lt"/>
              </a:defRPr>
            </a:pPr>
          </a:p>
        </c:txPr>
        <c:crossAx val="598473442"/>
        <c:crosses val="max"/>
      </c:valAx>
    </c:plotArea>
    <c:legend>
      <c:legendPos val="r"/>
      <c:layout>
        <c:manualLayout>
          <c:xMode val="edge"/>
          <c:yMode val="edge"/>
          <c:x val="0.6823984125478291"/>
          <c:y val="0.2568249828644031"/>
        </c:manualLayout>
      </c:layout>
      <c:overlay val="0"/>
      <c:txPr>
        <a:bodyPr/>
        <a:lstStyle/>
        <a:p>
          <a:pPr lvl="0">
            <a:defRPr b="0" i="0" sz="90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Top 3 Sources of FDI Equity Inflows into India (2000–2025)</a:t>
            </a:r>
          </a:p>
        </c:rich>
      </c:tx>
      <c:overlay val="0"/>
    </c:title>
    <c:plotArea>
      <c:layout/>
      <c:barChart>
        <c:barDir val="bar"/>
        <c:grouping val="stacked"/>
        <c:ser>
          <c:idx val="0"/>
          <c:order val="0"/>
          <c:tx>
            <c:v>Singapore</c:v>
          </c:tx>
          <c:spPr>
            <a:solidFill>
              <a:schemeClr val="accent1"/>
            </a:solidFill>
            <a:ln cmpd="sng">
              <a:noFill/>
            </a:ln>
          </c:spPr>
          <c:cat>
            <c:strRef>
              <c:f>'India Top 3 FDI Inflows'!$A$4:$A$29</c:f>
            </c:strRef>
          </c:cat>
          <c:val>
            <c:numRef>
              <c:f>'India Top 3 FDI Inflows'!$C$4:$C$29</c:f>
              <c:numCache/>
            </c:numRef>
          </c:val>
        </c:ser>
        <c:ser>
          <c:idx val="1"/>
          <c:order val="1"/>
          <c:tx>
            <c:v>Mauritius</c:v>
          </c:tx>
          <c:spPr>
            <a:solidFill>
              <a:schemeClr val="accent2"/>
            </a:solidFill>
            <a:ln cmpd="sng">
              <a:noFill/>
            </a:ln>
          </c:spPr>
          <c:cat>
            <c:strRef>
              <c:f>'India Top 3 FDI Inflows'!$A$4:$A$29</c:f>
            </c:strRef>
          </c:cat>
          <c:val>
            <c:numRef>
              <c:f>'India Top 3 FDI Inflows'!$E$4:$E$29</c:f>
              <c:numCache/>
            </c:numRef>
          </c:val>
        </c:ser>
        <c:ser>
          <c:idx val="2"/>
          <c:order val="2"/>
          <c:tx>
            <c:v>USA</c:v>
          </c:tx>
          <c:spPr>
            <a:solidFill>
              <a:schemeClr val="accent3"/>
            </a:solidFill>
            <a:ln cmpd="sng">
              <a:noFill/>
            </a:ln>
          </c:spPr>
          <c:cat>
            <c:strRef>
              <c:f>'India Top 3 FDI Inflows'!$A$4:$A$29</c:f>
            </c:strRef>
          </c:cat>
          <c:val>
            <c:numRef>
              <c:f>'India Top 3 FDI Inflows'!$G$4:$G$29</c:f>
              <c:numCache/>
            </c:numRef>
          </c:val>
        </c:ser>
        <c:overlap val="100"/>
        <c:axId val="1351678419"/>
        <c:axId val="1451865127"/>
      </c:barChart>
      <c:catAx>
        <c:axId val="1351678419"/>
        <c:scaling>
          <c:orientation val="maxMin"/>
        </c:scaling>
        <c:delete val="0"/>
        <c:axPos val="l"/>
        <c:title>
          <c:tx>
            <c:rich>
              <a:bodyPr/>
              <a:lstStyle/>
              <a:p>
                <a:pPr lvl="0">
                  <a:defRPr b="1" i="0" sz="1000">
                    <a:solidFill>
                      <a:srgbClr val="000000"/>
                    </a:solidFill>
                    <a:latin typeface="+mn-lt"/>
                  </a:defRPr>
                </a:pPr>
                <a:r>
                  <a:rPr b="1" i="0" sz="1000">
                    <a:solidFill>
                      <a:srgbClr val="000000"/>
                    </a:solidFill>
                    <a:latin typeface="+mn-lt"/>
                  </a:rPr>
                  <a:t>Years</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1451865127"/>
      </c:catAx>
      <c:valAx>
        <c:axId val="1451865127"/>
        <c:scaling>
          <c:orientation val="minMax"/>
        </c:scaling>
        <c:delete val="0"/>
        <c:axPos val="b"/>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USD in Million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351678419"/>
        <c:crosses val="max"/>
      </c:valAx>
    </c:plotArea>
    <c:legend>
      <c:legendPos val="b"/>
      <c:overlay val="0"/>
      <c:txPr>
        <a:bodyPr/>
        <a:lstStyle/>
        <a:p>
          <a:pPr lvl="0">
            <a:defRPr b="0" i="0" sz="90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Chart 1: Structural Transformation of Employment By Sector in (India)</a:t>
            </a:r>
          </a:p>
        </c:rich>
      </c:tx>
      <c:overlay val="0"/>
    </c:title>
    <c:plotArea>
      <c:layout/>
      <c:barChart>
        <c:barDir val="col"/>
        <c:grouping val="percentStacked"/>
        <c:ser>
          <c:idx val="0"/>
          <c:order val="0"/>
          <c:tx>
            <c:v>Employment in Agriculture</c:v>
          </c:tx>
          <c:spPr>
            <a:solidFill>
              <a:srgbClr val="E97132"/>
            </a:solidFill>
            <a:ln cmpd="sng">
              <a:noFill/>
            </a:ln>
          </c:spPr>
          <c:cat>
            <c:strRef>
              <c:f>'host country (india)'!$B$18:$B$52</c:f>
            </c:strRef>
          </c:cat>
          <c:val>
            <c:numRef>
              <c:f>'host country (india)'!$X$18:$X$52</c:f>
              <c:numCache/>
            </c:numRef>
          </c:val>
        </c:ser>
        <c:ser>
          <c:idx val="1"/>
          <c:order val="1"/>
          <c:tx>
            <c:v>Employment in Industry</c:v>
          </c:tx>
          <c:spPr>
            <a:solidFill>
              <a:srgbClr val="196B24"/>
            </a:solidFill>
            <a:ln cmpd="sng">
              <a:noFill/>
            </a:ln>
          </c:spPr>
          <c:cat>
            <c:strRef>
              <c:f>'host country (india)'!$B$18:$B$52</c:f>
            </c:strRef>
          </c:cat>
          <c:val>
            <c:numRef>
              <c:f>'host country (india)'!$Y$18:$Y$52</c:f>
              <c:numCache/>
            </c:numRef>
          </c:val>
        </c:ser>
        <c:ser>
          <c:idx val="2"/>
          <c:order val="2"/>
          <c:tx>
            <c:v>Employment in Services</c:v>
          </c:tx>
          <c:spPr>
            <a:solidFill>
              <a:srgbClr val="0F9ED5"/>
            </a:solidFill>
            <a:ln cmpd="sng">
              <a:noFill/>
            </a:ln>
          </c:spPr>
          <c:cat>
            <c:strRef>
              <c:f>'host country (india)'!$B$18:$B$52</c:f>
            </c:strRef>
          </c:cat>
          <c:val>
            <c:numRef>
              <c:f>'host country (india)'!$Z$18:$Z$52</c:f>
              <c:numCache/>
            </c:numRef>
          </c:val>
        </c:ser>
        <c:overlap val="100"/>
        <c:axId val="1701411104"/>
        <c:axId val="971377073"/>
      </c:barChart>
      <c:catAx>
        <c:axId val="1701411104"/>
        <c:scaling>
          <c:orientation val="minMax"/>
        </c:scaling>
        <c:delete val="0"/>
        <c:axPos val="b"/>
        <c:title>
          <c:tx>
            <c:rich>
              <a:bodyPr/>
              <a:lstStyle/>
              <a:p>
                <a:pPr lvl="0">
                  <a:defRPr b="0" i="0" sz="1000">
                    <a:solidFill>
                      <a:srgbClr val="000000"/>
                    </a:solidFill>
                    <a:latin typeface="+mn-lt"/>
                  </a:defRPr>
                </a:pPr>
                <a:r>
                  <a:rPr b="0" i="0" sz="1000">
                    <a:solidFill>
                      <a:srgbClr val="000000"/>
                    </a:solidFill>
                    <a:latin typeface="+mn-lt"/>
                  </a:rPr>
                  <a:t>Years (1991 - 2025)</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971377073"/>
      </c:catAx>
      <c:valAx>
        <c:axId val="971377073"/>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Employment Rate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701411104"/>
      </c:valAx>
    </c:plotArea>
    <c:legend>
      <c:legendPos val="b"/>
      <c:layout>
        <c:manualLayout>
          <c:xMode val="edge"/>
          <c:yMode val="edge"/>
          <c:x val="0.1354313557946447"/>
          <c:y val="0.9099005243887134"/>
        </c:manualLayout>
      </c:layout>
      <c:overlay val="0"/>
      <c:txPr>
        <a:bodyPr/>
        <a:lstStyle/>
        <a:p>
          <a:pPr lvl="0">
            <a:defRPr b="0" i="0" sz="120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Labour Productivity vs Manufacturing Growth (1991–2025)</a:t>
            </a:r>
          </a:p>
        </c:rich>
      </c:tx>
      <c:overlay val="0"/>
    </c:title>
    <c:plotArea>
      <c:layout>
        <c:manualLayout>
          <c:xMode val="edge"/>
          <c:yMode val="edge"/>
          <c:x val="0.12896570855472334"/>
          <c:y val="0.12972139753022677"/>
          <c:w val="0.8040969065858637"/>
          <c:h val="0.5393634094918464"/>
        </c:manualLayout>
      </c:layout>
      <c:scatterChart>
        <c:scatterStyle val="lineMarker"/>
        <c:varyColors val="0"/>
        <c:ser>
          <c:idx val="0"/>
          <c:order val="0"/>
          <c:tx>
            <c:v>Labour Productivity vs Manufacturing Growth (1991–2025)</c:v>
          </c:tx>
          <c:spPr>
            <a:ln>
              <a:noFill/>
            </a:ln>
          </c:spPr>
          <c:marker>
            <c:symbol val="circle"/>
            <c:size val="7"/>
            <c:spPr>
              <a:solidFill>
                <a:schemeClr val="accent1"/>
              </a:solidFill>
              <a:ln cmpd="sng">
                <a:solidFill>
                  <a:schemeClr val="accent1"/>
                </a:solidFill>
              </a:ln>
            </c:spPr>
          </c:marker>
          <c:trendline>
            <c:name>Linear (Labour Productivity vs Manufacturing Growth (1991–2025))</c:name>
            <c:spPr>
              <a:ln w="19050">
                <a:solidFill>
                  <a:srgbClr val="000000">
                    <a:alpha val="0"/>
                  </a:srgbClr>
                </a:solidFill>
              </a:ln>
            </c:spPr>
            <c:trendlineType val="linear"/>
            <c:dispRSqr val="0"/>
            <c:dispEq val="0"/>
          </c:trendline>
          <c:xVal>
            <c:numRef>
              <c:f>'host country (india)'!$P$18:$P$52</c:f>
            </c:numRef>
          </c:xVal>
          <c:yVal>
            <c:numRef>
              <c:f>'host country (india)'!$V$18:$V$52</c:f>
              <c:numCache/>
            </c:numRef>
          </c:yVal>
        </c:ser>
        <c:dLbls>
          <c:showLegendKey val="0"/>
          <c:showVal val="0"/>
          <c:showCatName val="0"/>
          <c:showSerName val="0"/>
          <c:showPercent val="0"/>
          <c:showBubbleSize val="0"/>
        </c:dLbls>
        <c:axId val="409625042"/>
        <c:axId val="998847052"/>
      </c:scatterChart>
      <c:valAx>
        <c:axId val="409625042"/>
        <c:scaling>
          <c:orientation val="minMax"/>
        </c:scaling>
        <c:delete val="0"/>
        <c:axPos val="b"/>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Labour Productivity (constant 2015 US$ per employed person)</a:t>
                </a:r>
              </a:p>
            </c:rich>
          </c:tx>
          <c:layout>
            <c:manualLayout>
              <c:xMode val="edge"/>
              <c:yMode val="edge"/>
              <c:x val="0.259946797925287"/>
              <c:y val="0.7019698853432793"/>
            </c:manualLayout>
          </c:layout>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998847052"/>
      </c:valAx>
      <c:valAx>
        <c:axId val="998847052"/>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Manufacturing Growth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409625042"/>
      </c:valAx>
    </c:plotArea>
    <c:legend>
      <c:legendPos val="r"/>
      <c:legendEntry>
        <c:idx val="0"/>
        <c:txPr>
          <a:bodyPr/>
          <a:lstStyle/>
          <a:p>
            <a:pPr lvl="0">
              <a:defRPr b="0" i="0" sz="1200">
                <a:latin typeface="+mn-lt"/>
              </a:defRPr>
            </a:pPr>
          </a:p>
        </c:txPr>
      </c:legendEntry>
      <c:layout>
        <c:manualLayout>
          <c:xMode val="edge"/>
          <c:yMode val="edge"/>
          <c:x val="0.2667097710347182"/>
          <c:y val="0.7663766619336517"/>
        </c:manualLayout>
      </c:layout>
      <c:overlay val="0"/>
      <c:txPr>
        <a:bodyPr/>
        <a:lstStyle/>
        <a:p>
          <a:pPr lvl="0">
            <a:defRPr b="0" i="0" sz="90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Relationship Between Capital per Worker Growth and Manufacturing Growth in India (1992–2025)</a:t>
            </a:r>
          </a:p>
        </c:rich>
      </c:tx>
      <c:overlay val="0"/>
    </c:title>
    <c:plotArea>
      <c:layout>
        <c:manualLayout>
          <c:xMode val="edge"/>
          <c:yMode val="edge"/>
          <c:x val="0.05183175033921303"/>
          <c:y val="0.17925553642809208"/>
          <c:w val="0.6010703224365759"/>
          <c:h val="0.6834528966564405"/>
        </c:manualLayout>
      </c:layout>
      <c:scatterChart>
        <c:scatterStyle val="lineMarker"/>
        <c:varyColors val="0"/>
        <c:ser>
          <c:idx val="0"/>
          <c:order val="0"/>
          <c:tx>
            <c:v>Relationship Between Capital per Worker Growth and Manufacturing Growth in India (1992–2025)</c:v>
          </c:tx>
          <c:spPr>
            <a:ln>
              <a:noFill/>
            </a:ln>
          </c:spPr>
          <c:marker>
            <c:symbol val="circle"/>
            <c:size val="7"/>
            <c:spPr>
              <a:solidFill>
                <a:schemeClr val="accent1"/>
              </a:solidFill>
              <a:ln cmpd="sng">
                <a:solidFill>
                  <a:schemeClr val="accent1"/>
                </a:solidFill>
              </a:ln>
            </c:spPr>
          </c:marker>
          <c:trendline>
            <c:name>Linear (Relationship Between Capital per Worker Growth and Manufacturing Growth in India (1992–2025))</c:name>
            <c:spPr>
              <a:ln w="19050">
                <a:solidFill>
                  <a:srgbClr val="000000">
                    <a:alpha val="0"/>
                  </a:srgbClr>
                </a:solidFill>
              </a:ln>
            </c:spPr>
            <c:trendlineType val="linear"/>
            <c:dispRSqr val="0"/>
            <c:dispEq val="0"/>
          </c:trendline>
          <c:xVal>
            <c:numRef>
              <c:f>'host country (india)'!$S$19:$S$52</c:f>
            </c:numRef>
          </c:xVal>
          <c:yVal>
            <c:numRef>
              <c:f>'host country (india)'!$V$19:$V$52</c:f>
              <c:numCache/>
            </c:numRef>
          </c:yVal>
        </c:ser>
        <c:dLbls>
          <c:showLegendKey val="0"/>
          <c:showVal val="0"/>
          <c:showCatName val="0"/>
          <c:showSerName val="0"/>
          <c:showPercent val="0"/>
          <c:showBubbleSize val="0"/>
        </c:dLbls>
        <c:axId val="987811693"/>
        <c:axId val="1753916362"/>
      </c:scatterChart>
      <c:valAx>
        <c:axId val="987811693"/>
        <c:scaling>
          <c:orientation val="minMax"/>
        </c:scaling>
        <c:delete val="0"/>
        <c:axPos val="b"/>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Capital per Worker Growth (%)</a:t>
                </a:r>
              </a:p>
            </c:rich>
          </c:tx>
          <c:layout>
            <c:manualLayout>
              <c:xMode val="edge"/>
              <c:yMode val="edge"/>
              <c:x val="0.23687162409261112"/>
              <c:y val="0.8842993681783062"/>
            </c:manualLayout>
          </c:layout>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753916362"/>
      </c:valAx>
      <c:valAx>
        <c:axId val="1753916362"/>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Manufacturing Growth (%)</a:t>
                </a:r>
              </a:p>
            </c:rich>
          </c:tx>
          <c:layout>
            <c:manualLayout>
              <c:xMode val="edge"/>
              <c:yMode val="edge"/>
              <c:x val="0.010243277848911651"/>
              <c:y val="0.2882635247989579"/>
            </c:manualLayout>
          </c:layout>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987811693"/>
      </c:valAx>
    </c:plotArea>
    <c:legend>
      <c:legendPos val="r"/>
      <c:overlay val="0"/>
      <c:txPr>
        <a:bodyPr/>
        <a:lstStyle/>
        <a:p>
          <a:pPr lvl="0">
            <a:defRPr b="0" i="0" sz="120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Relationship between FDI as % of GDP and Labour Productivity Growth (%) in India(1992-2025)</a:t>
            </a:r>
          </a:p>
        </c:rich>
      </c:tx>
      <c:overlay val="0"/>
    </c:title>
    <c:plotArea>
      <c:layout>
        <c:manualLayout>
          <c:xMode val="edge"/>
          <c:yMode val="edge"/>
          <c:x val="0.07704148772971962"/>
          <c:y val="0.20916666666666667"/>
          <c:w val="0.5904671822740024"/>
          <c:h val="0.7352777777777777"/>
        </c:manualLayout>
      </c:layout>
      <c:scatterChart>
        <c:scatterStyle val="lineMarker"/>
        <c:ser>
          <c:idx val="0"/>
          <c:order val="0"/>
          <c:tx>
            <c:v>Relationship between FDI as % of GDP and Labour Productivity Growth (%) in India</c:v>
          </c:tx>
          <c:spPr>
            <a:ln>
              <a:noFill/>
            </a:ln>
          </c:spPr>
          <c:marker>
            <c:symbol val="circle"/>
            <c:size val="7"/>
            <c:spPr>
              <a:solidFill>
                <a:schemeClr val="accent1"/>
              </a:solidFill>
              <a:ln cmpd="sng">
                <a:solidFill>
                  <a:schemeClr val="accent1"/>
                </a:solidFill>
              </a:ln>
            </c:spPr>
          </c:marker>
          <c:trendline>
            <c:name>Linear (Relationship between FDI as % of GDP and Labour Productivity Growth (%) in India)</c:name>
            <c:spPr>
              <a:ln w="19050">
                <a:solidFill>
                  <a:srgbClr val="000000">
                    <a:alpha val="0"/>
                  </a:srgbClr>
                </a:solidFill>
              </a:ln>
            </c:spPr>
            <c:trendlineType val="linear"/>
            <c:dispRSqr val="0"/>
            <c:dispEq val="0"/>
          </c:trendline>
          <c:yVal>
            <c:numRef>
              <c:f>'host country (india)'!$Q$19:$Q$46</c:f>
              <c:numCache/>
            </c:numRef>
          </c:yVal>
        </c:ser>
        <c:ser>
          <c:idx val="1"/>
          <c:order val="1"/>
          <c:spPr>
            <a:ln>
              <a:noFill/>
            </a:ln>
          </c:spPr>
          <c:marker>
            <c:symbol val="circle"/>
            <c:size val="7"/>
            <c:spPr>
              <a:solidFill>
                <a:schemeClr val="accent2"/>
              </a:solidFill>
              <a:ln cmpd="sng">
                <a:solidFill>
                  <a:schemeClr val="accent2"/>
                </a:solidFill>
              </a:ln>
            </c:spPr>
          </c:marker>
          <c:yVal>
            <c:numRef>
              <c:f>'host country (india)'!$Q$48:$Q$52</c:f>
              <c:numCache/>
            </c:numRef>
          </c:yVal>
        </c:ser>
        <c:dLbls>
          <c:showLegendKey val="0"/>
          <c:showVal val="0"/>
          <c:showCatName val="0"/>
          <c:showSerName val="0"/>
          <c:showPercent val="0"/>
          <c:showBubbleSize val="0"/>
        </c:dLbls>
        <c:axId val="953283293"/>
        <c:axId val="1746460597"/>
      </c:scatterChart>
      <c:valAx>
        <c:axId val="95328329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746460597"/>
      </c:valAx>
      <c:valAx>
        <c:axId val="174646059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953283293"/>
      </c:valAx>
    </c:plotArea>
    <c:legend>
      <c:legendPos val="r"/>
      <c:layout>
        <c:manualLayout>
          <c:xMode val="edge"/>
          <c:yMode val="edge"/>
          <c:x val="0.667898694111105"/>
          <c:y val="0.3034467045785943"/>
        </c:manualLayout>
      </c:layout>
      <c:overlay val="0"/>
      <c:txPr>
        <a:bodyPr/>
        <a:lstStyle/>
        <a:p>
          <a:pPr lvl="0">
            <a:defRPr b="0" i="0" sz="90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GDP Growth Rate and FDI Inflows in India (1978-2025)</a:t>
            </a:r>
          </a:p>
        </c:rich>
      </c:tx>
      <c:overlay val="0"/>
    </c:title>
    <c:plotArea>
      <c:layout/>
      <c:lineChart>
        <c:varyColors val="0"/>
        <c:ser>
          <c:idx val="0"/>
          <c:order val="0"/>
          <c:tx>
            <c:v>FDI inflow (current US$)</c:v>
          </c:tx>
          <c:spPr>
            <a:ln cmpd="sng" w="28575">
              <a:solidFill>
                <a:schemeClr val="accent1"/>
              </a:solidFill>
            </a:ln>
          </c:spPr>
          <c:marker>
            <c:symbol val="none"/>
          </c:marker>
          <c:trendline>
            <c:name>Linear (FDI inflow (current US$))</c:name>
            <c:spPr>
              <a:ln w="19050">
                <a:solidFill>
                  <a:srgbClr val="000000">
                    <a:alpha val="0"/>
                  </a:srgbClr>
                </a:solidFill>
              </a:ln>
            </c:spPr>
            <c:trendlineType val="linear"/>
            <c:dispRSqr val="0"/>
            <c:dispEq val="0"/>
          </c:trendline>
          <c:cat>
            <c:strRef>
              <c:f>Sheet2!$A$5:$A$52</c:f>
            </c:strRef>
          </c:cat>
          <c:val>
            <c:numRef>
              <c:f>Sheet2!$C$5:$C$52</c:f>
              <c:numCache/>
            </c:numRef>
          </c:val>
          <c:smooth val="0"/>
        </c:ser>
        <c:axId val="1878340325"/>
        <c:axId val="91619781"/>
      </c:lineChart>
      <c:catAx>
        <c:axId val="1878340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91619781"/>
      </c:catAx>
      <c:valAx>
        <c:axId val="9161978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878340325"/>
      </c:valAx>
      <c:lineChart>
        <c:varyColors val="0"/>
        <c:ser>
          <c:idx val="1"/>
          <c:order val="1"/>
          <c:tx>
            <c:v>GDP growth (annual %)</c:v>
          </c:tx>
          <c:spPr>
            <a:ln cmpd="sng" w="28575">
              <a:solidFill>
                <a:schemeClr val="accent2"/>
              </a:solidFill>
            </a:ln>
          </c:spPr>
          <c:marker>
            <c:symbol val="none"/>
          </c:marker>
          <c:cat>
            <c:strRef>
              <c:f>Sheet2!$A$5:$A$52</c:f>
            </c:strRef>
          </c:cat>
          <c:val>
            <c:numRef>
              <c:f>Sheet2!$B$6:$B$52</c:f>
              <c:numCache/>
            </c:numRef>
          </c:val>
          <c:smooth val="0"/>
        </c:ser>
        <c:axId val="1501538302"/>
        <c:axId val="668847919"/>
      </c:lineChart>
      <c:catAx>
        <c:axId val="1501538302"/>
        <c:scaling>
          <c:orientation val="minMax"/>
        </c:scaling>
        <c:delete val="1"/>
        <c:axPos val="b"/>
        <c:numFmt formatCode="General" sourceLinked="1"/>
        <c:majorTickMark val="none"/>
        <c:minorTickMark val="none"/>
        <c:spPr>
          <a:ln>
            <a:noFill/>
          </a:ln>
        </c:spPr>
        <c:txPr>
          <a:bodyPr/>
          <a:lstStyle/>
          <a:p>
            <a:pPr lvl="0">
              <a:defRPr b="0" i="0" sz="900">
                <a:solidFill>
                  <a:srgbClr val="000000"/>
                </a:solidFill>
                <a:latin typeface="+mn-lt"/>
              </a:defRPr>
            </a:pPr>
          </a:p>
        </c:txPr>
        <c:crossAx val="668847919"/>
      </c:catAx>
      <c:valAx>
        <c:axId val="668847919"/>
        <c:scaling>
          <c:orientation val="minMax"/>
        </c:scaling>
        <c:delete val="0"/>
        <c:axPos val="r"/>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900">
                <a:solidFill>
                  <a:srgbClr val="000000"/>
                </a:solidFill>
                <a:latin typeface="+mn-lt"/>
              </a:defRPr>
            </a:pPr>
          </a:p>
        </c:txPr>
        <c:crossAx val="1501538302"/>
        <c:crosses val="max"/>
      </c:valAx>
    </c:plotArea>
    <c:legend>
      <c:legendPos val="r"/>
      <c:layout>
        <c:manualLayout>
          <c:xMode val="edge"/>
          <c:yMode val="edge"/>
          <c:x val="0.6823984125478291"/>
          <c:y val="0.2568249828644031"/>
        </c:manualLayout>
      </c:layout>
      <c:overlay val="0"/>
      <c:txPr>
        <a:bodyPr/>
        <a:lstStyle/>
        <a:p>
          <a:pPr lvl="0">
            <a:defRPr b="0" i="0" sz="90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Top 3 Sources of FDI Equity Inflows into India (2000–2025)</a:t>
            </a:r>
          </a:p>
        </c:rich>
      </c:tx>
      <c:overlay val="0"/>
    </c:title>
    <c:plotArea>
      <c:layout/>
      <c:barChart>
        <c:barDir val="bar"/>
        <c:grouping val="stacked"/>
        <c:ser>
          <c:idx val="0"/>
          <c:order val="0"/>
          <c:tx>
            <c:v>Singapore</c:v>
          </c:tx>
          <c:spPr>
            <a:solidFill>
              <a:schemeClr val="accent1"/>
            </a:solidFill>
            <a:ln cmpd="sng">
              <a:noFill/>
            </a:ln>
          </c:spPr>
          <c:cat>
            <c:strRef>
              <c:f>'India Top 3 FDI Inflows'!$A$4:$A$29</c:f>
            </c:strRef>
          </c:cat>
          <c:val>
            <c:numRef>
              <c:f>'India Top 3 FDI Inflows'!$C$4:$C$29</c:f>
              <c:numCache/>
            </c:numRef>
          </c:val>
        </c:ser>
        <c:ser>
          <c:idx val="1"/>
          <c:order val="1"/>
          <c:tx>
            <c:v>Mauritius</c:v>
          </c:tx>
          <c:spPr>
            <a:solidFill>
              <a:schemeClr val="accent2"/>
            </a:solidFill>
            <a:ln cmpd="sng">
              <a:noFill/>
            </a:ln>
          </c:spPr>
          <c:cat>
            <c:strRef>
              <c:f>'India Top 3 FDI Inflows'!$A$4:$A$29</c:f>
            </c:strRef>
          </c:cat>
          <c:val>
            <c:numRef>
              <c:f>'India Top 3 FDI Inflows'!$E$4:$E$29</c:f>
              <c:numCache/>
            </c:numRef>
          </c:val>
        </c:ser>
        <c:ser>
          <c:idx val="2"/>
          <c:order val="2"/>
          <c:tx>
            <c:v>USA</c:v>
          </c:tx>
          <c:spPr>
            <a:solidFill>
              <a:schemeClr val="accent3"/>
            </a:solidFill>
            <a:ln cmpd="sng">
              <a:noFill/>
            </a:ln>
          </c:spPr>
          <c:cat>
            <c:strRef>
              <c:f>'India Top 3 FDI Inflows'!$A$4:$A$29</c:f>
            </c:strRef>
          </c:cat>
          <c:val>
            <c:numRef>
              <c:f>'India Top 3 FDI Inflows'!$G$4:$G$29</c:f>
              <c:numCache/>
            </c:numRef>
          </c:val>
        </c:ser>
        <c:overlap val="100"/>
        <c:axId val="1283233399"/>
        <c:axId val="2134042110"/>
      </c:barChart>
      <c:catAx>
        <c:axId val="1283233399"/>
        <c:scaling>
          <c:orientation val="maxMin"/>
        </c:scaling>
        <c:delete val="0"/>
        <c:axPos val="l"/>
        <c:title>
          <c:tx>
            <c:rich>
              <a:bodyPr/>
              <a:lstStyle/>
              <a:p>
                <a:pPr lvl="0">
                  <a:defRPr b="1" i="0" sz="1000">
                    <a:solidFill>
                      <a:srgbClr val="000000"/>
                    </a:solidFill>
                    <a:latin typeface="+mn-lt"/>
                  </a:defRPr>
                </a:pPr>
                <a:r>
                  <a:rPr b="1" i="0" sz="1000">
                    <a:solidFill>
                      <a:srgbClr val="000000"/>
                    </a:solidFill>
                    <a:latin typeface="+mn-lt"/>
                  </a:rPr>
                  <a:t>Years</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2134042110"/>
      </c:catAx>
      <c:valAx>
        <c:axId val="2134042110"/>
        <c:scaling>
          <c:orientation val="minMax"/>
        </c:scaling>
        <c:delete val="0"/>
        <c:axPos val="b"/>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USD in Million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283233399"/>
        <c:crosses val="max"/>
      </c:valAx>
    </c:plotArea>
    <c:legend>
      <c:legendPos val="b"/>
      <c:overlay val="0"/>
      <c:txPr>
        <a:bodyPr/>
        <a:lstStyle/>
        <a:p>
          <a:pPr lvl="0">
            <a:defRPr b="0" i="0" sz="90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India–Singapore Trade and FDI Relationship (2000–2023)</a:t>
            </a:r>
          </a:p>
        </c:rich>
      </c:tx>
      <c:overlay val="0"/>
    </c:title>
    <c:plotArea>
      <c:layout/>
      <c:lineChart>
        <c:ser>
          <c:idx val="0"/>
          <c:order val="0"/>
          <c:tx>
            <c:v>Exports to Singapore
(US$ million)</c:v>
          </c:tx>
          <c:spPr>
            <a:ln cmpd="sng" w="28575">
              <a:solidFill>
                <a:schemeClr val="accent2"/>
              </a:solidFill>
            </a:ln>
          </c:spPr>
          <c:marker>
            <c:symbol val="none"/>
          </c:marker>
          <c:cat>
            <c:strRef>
              <c:f>'India-SG Import, Export &amp; FDI'!$A$2:$A$25</c:f>
            </c:strRef>
          </c:cat>
          <c:val>
            <c:numRef>
              <c:f>'India-SG Import, Export &amp; FDI'!$F$2:$F$25</c:f>
              <c:numCache/>
            </c:numRef>
          </c:val>
          <c:smooth val="0"/>
        </c:ser>
        <c:ser>
          <c:idx val="1"/>
          <c:order val="1"/>
          <c:tx>
            <c:v>Imports from Singapore 
(US$ million)</c:v>
          </c:tx>
          <c:spPr>
            <a:ln cmpd="sng" w="28575">
              <a:solidFill>
                <a:schemeClr val="accent3"/>
              </a:solidFill>
            </a:ln>
          </c:spPr>
          <c:marker>
            <c:symbol val="none"/>
          </c:marker>
          <c:cat>
            <c:strRef>
              <c:f>'India-SG Import, Export &amp; FDI'!$A$2:$A$25</c:f>
            </c:strRef>
          </c:cat>
          <c:val>
            <c:numRef>
              <c:f>'India-SG Import, Export &amp; FDI'!$H$2:$H$25</c:f>
              <c:numCache/>
            </c:numRef>
          </c:val>
          <c:smooth val="0"/>
        </c:ser>
        <c:axId val="1682674851"/>
        <c:axId val="1835895975"/>
      </c:lineChart>
      <c:catAx>
        <c:axId val="1682674851"/>
        <c:scaling>
          <c:orientation val="minMax"/>
        </c:scaling>
        <c:delete val="0"/>
        <c:axPos val="b"/>
        <c:title>
          <c:tx>
            <c:rich>
              <a:bodyPr/>
              <a:lstStyle/>
              <a:p>
                <a:pPr lvl="0">
                  <a:defRPr b="0" i="0" sz="1000">
                    <a:solidFill>
                      <a:srgbClr val="000000"/>
                    </a:solidFill>
                    <a:latin typeface="+mn-lt"/>
                  </a:defRPr>
                </a:pPr>
                <a:r>
                  <a:rPr b="0" i="0" sz="1000">
                    <a:solidFill>
                      <a:srgbClr val="000000"/>
                    </a:solidFill>
                    <a:latin typeface="+mn-lt"/>
                  </a:rPr>
                  <a:t>Year</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1835895975"/>
      </c:catAx>
      <c:valAx>
        <c:axId val="1835895975"/>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Trade (US$ million)</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682674851"/>
      </c:valAx>
      <c:lineChart>
        <c:varyColors val="0"/>
        <c:ser>
          <c:idx val="2"/>
          <c:order val="2"/>
          <c:tx>
            <c:v>FDI Equity Inflow from Singapore (US$ million)</c:v>
          </c:tx>
          <c:spPr>
            <a:ln cmpd="sng" w="28575">
              <a:solidFill>
                <a:schemeClr val="accent4"/>
              </a:solidFill>
            </a:ln>
          </c:spPr>
          <c:marker>
            <c:symbol val="none"/>
          </c:marker>
          <c:cat>
            <c:strRef>
              <c:f>'India-SG Import, Export &amp; FDI'!$A$2:$A$25</c:f>
            </c:strRef>
          </c:cat>
          <c:val>
            <c:numRef>
              <c:f>'India-SG Import, Export &amp; FDI'!$I$3:$I$25</c:f>
              <c:numCache/>
            </c:numRef>
          </c:val>
          <c:smooth val="0"/>
        </c:ser>
        <c:axId val="1701158491"/>
        <c:axId val="494280584"/>
      </c:lineChart>
      <c:catAx>
        <c:axId val="1701158491"/>
        <c:scaling>
          <c:orientation val="minMax"/>
        </c:scaling>
        <c:delete val="1"/>
        <c:axPos val="b"/>
        <c:numFmt formatCode="General" sourceLinked="1"/>
        <c:majorTickMark val="none"/>
        <c:minorTickMark val="none"/>
        <c:spPr>
          <a:ln>
            <a:noFill/>
          </a:ln>
        </c:spPr>
        <c:txPr>
          <a:bodyPr/>
          <a:lstStyle/>
          <a:p>
            <a:pPr lvl="0">
              <a:defRPr b="0" i="0" sz="900">
                <a:solidFill>
                  <a:srgbClr val="000000"/>
                </a:solidFill>
                <a:latin typeface="+mn-lt"/>
              </a:defRPr>
            </a:pPr>
          </a:p>
        </c:txPr>
        <c:crossAx val="494280584"/>
      </c:catAx>
      <c:valAx>
        <c:axId val="494280584"/>
        <c:scaling>
          <c:orientation val="minMax"/>
        </c:scaling>
        <c:delete val="0"/>
        <c:axPos val="r"/>
        <c:title>
          <c:tx>
            <c:rich>
              <a:bodyPr/>
              <a:lstStyle/>
              <a:p>
                <a:pPr lvl="0">
                  <a:defRPr b="0" i="0" sz="1000">
                    <a:solidFill>
                      <a:srgbClr val="000000"/>
                    </a:solidFill>
                    <a:latin typeface="+mn-lt"/>
                  </a:defRPr>
                </a:pPr>
                <a:r>
                  <a:rPr b="0" i="0" sz="1000">
                    <a:solidFill>
                      <a:srgbClr val="000000"/>
                    </a:solidFill>
                    <a:latin typeface="+mn-lt"/>
                  </a:rPr>
                  <a:t>FDI Equity Inflows (US$ million)</a:t>
                </a:r>
              </a:p>
            </c:rich>
          </c:tx>
          <c:overlay val="0"/>
        </c:title>
        <c:numFmt formatCode="General" sourceLinked="1"/>
        <c:majorTickMark val="out"/>
        <c:minorTickMark val="none"/>
        <c:tickLblPos val="nextTo"/>
        <c:spPr>
          <a:ln/>
        </c:spPr>
        <c:txPr>
          <a:bodyPr/>
          <a:lstStyle/>
          <a:p>
            <a:pPr lvl="0">
              <a:defRPr b="0" i="0" sz="900">
                <a:solidFill>
                  <a:srgbClr val="000000"/>
                </a:solidFill>
                <a:latin typeface="+mn-lt"/>
              </a:defRPr>
            </a:pPr>
          </a:p>
        </c:txPr>
        <c:crossAx val="1701158491"/>
        <c:crosses val="max"/>
      </c:valAx>
    </c:plotArea>
    <c:legend>
      <c:legendPos val="b"/>
      <c:overlay val="0"/>
      <c:txPr>
        <a:bodyPr/>
        <a:lstStyle/>
        <a:p>
          <a:pPr lvl="0">
            <a:defRPr b="0" i="0" sz="120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9" Type="http://schemas.openxmlformats.org/officeDocument/2006/relationships/image" Target="../media/image1.png"/><Relationship Id="rId5" Type="http://schemas.openxmlformats.org/officeDocument/2006/relationships/chart" Target="../charts/chart7.xml"/><Relationship Id="rId6" Type="http://schemas.openxmlformats.org/officeDocument/2006/relationships/chart" Target="../charts/chart8.xml"/><Relationship Id="rId7" Type="http://schemas.openxmlformats.org/officeDocument/2006/relationships/chart" Target="../charts/chart9.xml"/><Relationship Id="rId8" Type="http://schemas.openxmlformats.org/officeDocument/2006/relationships/image" Target="../media/Chart10.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342900</xdr:colOff>
      <xdr:row>33</xdr:row>
      <xdr:rowOff>152400</xdr:rowOff>
    </xdr:from>
    <xdr:ext cx="8934450" cy="2962275"/>
    <xdr:graphicFrame>
      <xdr:nvGraphicFramePr>
        <xdr:cNvPr id="1659657235"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742950</xdr:colOff>
      <xdr:row>4</xdr:row>
      <xdr:rowOff>123825</xdr:rowOff>
    </xdr:from>
    <xdr:ext cx="6753225" cy="3457575"/>
    <xdr:graphicFrame>
      <xdr:nvGraphicFramePr>
        <xdr:cNvPr id="1710396448"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638175</xdr:colOff>
      <xdr:row>1</xdr:row>
      <xdr:rowOff>133350</xdr:rowOff>
    </xdr:from>
    <xdr:ext cx="7724775" cy="3762375"/>
    <xdr:graphicFrame>
      <xdr:nvGraphicFramePr>
        <xdr:cNvPr id="1776339137" name="Chart 3"/>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85725</xdr:colOff>
      <xdr:row>1</xdr:row>
      <xdr:rowOff>104775</xdr:rowOff>
    </xdr:from>
    <xdr:ext cx="8020050" cy="4724400"/>
    <xdr:graphicFrame>
      <xdr:nvGraphicFramePr>
        <xdr:cNvPr id="103033172" name="Chart 4"/>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828675</xdr:colOff>
      <xdr:row>27</xdr:row>
      <xdr:rowOff>38100</xdr:rowOff>
    </xdr:from>
    <xdr:ext cx="8963025" cy="3476625"/>
    <xdr:graphicFrame>
      <xdr:nvGraphicFramePr>
        <xdr:cNvPr id="919577224" name="Chart 5"/>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447675</xdr:colOff>
      <xdr:row>69</xdr:row>
      <xdr:rowOff>66675</xdr:rowOff>
    </xdr:from>
    <xdr:ext cx="9467850" cy="2886075"/>
    <xdr:graphicFrame>
      <xdr:nvGraphicFramePr>
        <xdr:cNvPr id="1744424094" name="Chart 6"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11</xdr:col>
      <xdr:colOff>257175</xdr:colOff>
      <xdr:row>47</xdr:row>
      <xdr:rowOff>171450</xdr:rowOff>
    </xdr:from>
    <xdr:ext cx="9096375" cy="3133725"/>
    <xdr:graphicFrame>
      <xdr:nvGraphicFramePr>
        <xdr:cNvPr id="533590985" name="Chart 7"/>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xdr:col>
      <xdr:colOff>190500</xdr:colOff>
      <xdr:row>26</xdr:row>
      <xdr:rowOff>171450</xdr:rowOff>
    </xdr:from>
    <xdr:ext cx="6800850" cy="3476625"/>
    <xdr:graphicFrame>
      <xdr:nvGraphicFramePr>
        <xdr:cNvPr id="544361844" name="Chart 8"/>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0</xdr:col>
      <xdr:colOff>600075</xdr:colOff>
      <xdr:row>47</xdr:row>
      <xdr:rowOff>9525</xdr:rowOff>
    </xdr:from>
    <xdr:ext cx="8534400" cy="4048125"/>
    <xdr:graphicFrame>
      <xdr:nvGraphicFramePr>
        <xdr:cNvPr id="1790763737" name="Chart 9"/>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0</xdr:col>
      <xdr:colOff>0</xdr:colOff>
      <xdr:row>0</xdr:row>
      <xdr:rowOff>142875</xdr:rowOff>
    </xdr:from>
    <xdr:ext cx="7753350" cy="4791075"/>
    <xdr:pic>
      <xdr:nvPicPr>
        <xdr:cNvPr id="509548315" name="Chart10" title="Chart">
          <a:extLst>
            <a:ext uri="GoogleSheetsCustomDataVersion1">
              <go:sheetsCustomData xmlns:go="http://customooxmlschemas.google.com/" pictureOfChart="1"/>
            </a:ext>
          </a:extLst>
        </xdr:cNvPr>
        <xdr:cNvPicPr preferRelativeResize="0"/>
      </xdr:nvPicPr>
      <xdr:blipFill>
        <a:blip cstate="print" r:embed="rId8"/>
        <a:stretch>
          <a:fillRect/>
        </a:stretch>
      </xdr:blipFill>
      <xdr:spPr>
        <a:prstGeom prst="rect">
          <a:avLst/>
        </a:prstGeom>
        <a:noFill/>
      </xdr:spPr>
    </xdr:pic>
    <xdr:clientData fLocksWithSheet="0"/>
  </xdr:oneCellAnchor>
  <xdr:oneCellAnchor>
    <xdr:from>
      <xdr:col>9</xdr:col>
      <xdr:colOff>276225</xdr:colOff>
      <xdr:row>89</xdr:row>
      <xdr:rowOff>0</xdr:rowOff>
    </xdr:from>
    <xdr:ext cx="7753350" cy="4791075"/>
    <xdr:pic>
      <xdr:nvPicPr>
        <xdr:cNvPr id="2085331316" name="Chart11" title="Chart">
          <a:extLst>
            <a:ext uri="GoogleSheetsCustomDataVersion1">
              <go:sheetsCustomData xmlns:go="http://customooxmlschemas.google.com/" pictureOfChart="1"/>
            </a:ext>
          </a:extLst>
        </xdr:cNvPr>
        <xdr:cNvPicPr preferRelativeResize="0"/>
      </xdr:nvPicPr>
      <xdr:blipFill>
        <a:blip cstate="print" r:embed="rId8"/>
        <a:stretch>
          <a:fillRect/>
        </a:stretch>
      </xdr:blipFill>
      <xdr:spPr>
        <a:prstGeom prst="rect">
          <a:avLst/>
        </a:prstGeom>
        <a:noFill/>
      </xdr:spPr>
    </xdr:pic>
    <xdr:clientData fLocksWithSheet="0"/>
  </xdr:oneCellAnchor>
  <xdr:oneCellAnchor>
    <xdr:from>
      <xdr:col>0</xdr:col>
      <xdr:colOff>485775</xdr:colOff>
      <xdr:row>70</xdr:row>
      <xdr:rowOff>152400</xdr:rowOff>
    </xdr:from>
    <xdr:ext cx="7305675" cy="4048125"/>
    <xdr:pic>
      <xdr:nvPicPr>
        <xdr:cNvPr id="0" name="image1.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4" width="8.63"/>
    <col customWidth="1" min="5" max="5" width="16.38"/>
    <col customWidth="1" min="6" max="11" width="8.63"/>
    <col customWidth="1" min="12" max="12" width="33.25"/>
    <col customWidth="1" min="13" max="18" width="8.63"/>
    <col customWidth="1" hidden="1" min="19" max="20" width="0.13"/>
    <col customWidth="1" min="21" max="23" width="8.63"/>
    <col customWidth="1" min="24" max="24" width="20.38"/>
    <col customWidth="1" min="25" max="26" width="8.63"/>
  </cols>
  <sheetData>
    <row r="1">
      <c r="A1" s="1" t="s">
        <v>0</v>
      </c>
      <c r="B1" s="3" t="s">
        <v>1</v>
      </c>
      <c r="C1" s="1" t="s">
        <v>3</v>
      </c>
      <c r="D1" s="3" t="s">
        <v>4</v>
      </c>
      <c r="E1" s="1" t="s">
        <v>5</v>
      </c>
      <c r="F1" s="1" t="s">
        <v>6</v>
      </c>
      <c r="G1" s="1" t="s">
        <v>7</v>
      </c>
      <c r="H1" s="1" t="s">
        <v>9</v>
      </c>
      <c r="I1" s="1" t="s">
        <v>11</v>
      </c>
      <c r="J1" s="1" t="s">
        <v>12</v>
      </c>
      <c r="K1" s="1" t="s">
        <v>15</v>
      </c>
      <c r="L1" s="1" t="s">
        <v>17</v>
      </c>
      <c r="M1" s="1" t="s">
        <v>19</v>
      </c>
      <c r="N1" s="1" t="s">
        <v>21</v>
      </c>
      <c r="O1" s="1" t="s">
        <v>22</v>
      </c>
      <c r="P1" s="1" t="s">
        <v>25</v>
      </c>
      <c r="Q1" s="1" t="s">
        <v>27</v>
      </c>
      <c r="R1" s="1" t="s">
        <v>28</v>
      </c>
      <c r="S1" s="1" t="s">
        <v>29</v>
      </c>
      <c r="T1" s="1" t="s">
        <v>30</v>
      </c>
      <c r="U1" s="1" t="s">
        <v>32</v>
      </c>
      <c r="V1" s="1" t="s">
        <v>34</v>
      </c>
      <c r="W1" s="1" t="s">
        <v>36</v>
      </c>
      <c r="X1" s="1" t="s">
        <v>38</v>
      </c>
      <c r="Y1" s="1" t="s">
        <v>40</v>
      </c>
    </row>
    <row r="2">
      <c r="A2" s="1" t="s">
        <v>41</v>
      </c>
      <c r="B2" s="3" t="s">
        <v>43</v>
      </c>
      <c r="C2" s="1">
        <v>1976.0</v>
      </c>
      <c r="D2" s="3" t="s">
        <v>44</v>
      </c>
      <c r="E2" s="1">
        <v>2.362603732920157E11</v>
      </c>
      <c r="F2" s="1">
        <v>1.6631036366127887</v>
      </c>
      <c r="G2" s="1">
        <v>377.496025416227</v>
      </c>
      <c r="H2" s="1">
        <v>4.1960903331347496E10</v>
      </c>
      <c r="I2" s="1">
        <v>10.931913537916316</v>
      </c>
      <c r="J2" s="1" t="s">
        <v>48</v>
      </c>
      <c r="K2" s="1" t="s">
        <v>48</v>
      </c>
      <c r="L2" s="1">
        <v>16.265888832790733</v>
      </c>
      <c r="M2" s="1">
        <v>8.769991276533688</v>
      </c>
      <c r="N2" s="1">
        <v>2.900653338801237E10</v>
      </c>
      <c r="O2" s="1" t="s">
        <v>48</v>
      </c>
      <c r="P2" s="1" t="s">
        <v>48</v>
      </c>
      <c r="Q2" s="1" t="s">
        <v>48</v>
      </c>
      <c r="R2" s="1">
        <v>12.801203072683698</v>
      </c>
      <c r="S2" s="1">
        <v>1.3632844265538933E10</v>
      </c>
      <c r="T2" s="1">
        <v>9.998335735631592E9</v>
      </c>
      <c r="U2" s="1">
        <v>6.868148772672219E9</v>
      </c>
      <c r="V2" s="1">
        <v>6.280792834302303E9</v>
      </c>
      <c r="W2" s="1" t="s">
        <v>48</v>
      </c>
      <c r="X2" s="1">
        <v>-7706430.54257424</v>
      </c>
      <c r="Y2" s="1">
        <v>1.0271645197968039E11</v>
      </c>
    </row>
    <row r="3">
      <c r="A3" s="1" t="s">
        <v>41</v>
      </c>
      <c r="B3" s="3" t="s">
        <v>43</v>
      </c>
      <c r="C3" s="1">
        <v>1977.0</v>
      </c>
      <c r="D3" s="3" t="s">
        <v>62</v>
      </c>
      <c r="E3" s="1">
        <v>2.5340050718396805E11</v>
      </c>
      <c r="F3" s="1">
        <v>7.254764585835687</v>
      </c>
      <c r="G3" s="1">
        <v>395.4433068196015</v>
      </c>
      <c r="H3" s="1">
        <v>4.763591708987632E10</v>
      </c>
      <c r="I3" s="1">
        <v>13.524527138311697</v>
      </c>
      <c r="J3" s="1" t="s">
        <v>48</v>
      </c>
      <c r="K3" s="1" t="s">
        <v>48</v>
      </c>
      <c r="L3" s="1">
        <v>16.080868929358598</v>
      </c>
      <c r="M3" s="1">
        <v>6.223600491899916</v>
      </c>
      <c r="N3" s="1">
        <v>3.0811784142631824E10</v>
      </c>
      <c r="O3" s="1" t="s">
        <v>48</v>
      </c>
      <c r="P3" s="1" t="s">
        <v>48</v>
      </c>
      <c r="Q3" s="1" t="s">
        <v>48</v>
      </c>
      <c r="R3" s="1">
        <v>12.648101137552864</v>
      </c>
      <c r="S3" s="1">
        <v>1.3146512143995739E10</v>
      </c>
      <c r="T3" s="1">
        <v>1.2737441153224804E10</v>
      </c>
      <c r="U3" s="1">
        <v>7.754701053938618E9</v>
      </c>
      <c r="V3" s="1">
        <v>7.611052224174394E9</v>
      </c>
      <c r="W3" s="1" t="s">
        <v>48</v>
      </c>
      <c r="X3" s="1">
        <v>-3.606E7</v>
      </c>
      <c r="Y3" s="1">
        <v>1.214866414413093E11</v>
      </c>
    </row>
    <row r="4">
      <c r="A4" s="1" t="s">
        <v>41</v>
      </c>
      <c r="B4" s="3" t="s">
        <v>43</v>
      </c>
      <c r="C4" s="1">
        <v>1978.0</v>
      </c>
      <c r="D4" s="3" t="s">
        <v>69</v>
      </c>
      <c r="E4" s="1">
        <v>2.6787609247054575E11</v>
      </c>
      <c r="F4" s="1">
        <v>5.712532089001883</v>
      </c>
      <c r="G4" s="1">
        <v>408.5169444040295</v>
      </c>
      <c r="H4" s="1">
        <v>5.009966117381782E10</v>
      </c>
      <c r="I4" s="1">
        <v>5.172030338563786</v>
      </c>
      <c r="J4" s="1" t="s">
        <v>48</v>
      </c>
      <c r="K4" s="1" t="s">
        <v>48</v>
      </c>
      <c r="L4" s="1">
        <v>17.096440519717575</v>
      </c>
      <c r="M4" s="1">
        <v>12.35214174258823</v>
      </c>
      <c r="N4" s="1">
        <v>3.461769939335003E10</v>
      </c>
      <c r="O4" s="1" t="s">
        <v>48</v>
      </c>
      <c r="P4" s="1" t="s">
        <v>48</v>
      </c>
      <c r="Q4" s="1" t="s">
        <v>48</v>
      </c>
      <c r="R4" s="1">
        <v>12.903011842484915</v>
      </c>
      <c r="S4" s="1">
        <v>1.4172338470383404E10</v>
      </c>
      <c r="T4" s="1">
        <v>1.2743700818286467E10</v>
      </c>
      <c r="U4" s="1">
        <v>8.670401540126532E9</v>
      </c>
      <c r="V4" s="1">
        <v>9.045733047415215E9</v>
      </c>
      <c r="W4" s="1" t="s">
        <v>48</v>
      </c>
      <c r="X4" s="1">
        <v>1.809E7</v>
      </c>
      <c r="Y4" s="1">
        <v>1.3730231982899506E11</v>
      </c>
    </row>
    <row r="5">
      <c r="A5" s="1" t="s">
        <v>41</v>
      </c>
      <c r="B5" s="3" t="s">
        <v>43</v>
      </c>
      <c r="C5" s="1">
        <v>1979.0</v>
      </c>
      <c r="D5" s="3" t="s">
        <v>76</v>
      </c>
      <c r="E5" s="1">
        <v>2.5384425332984518E11</v>
      </c>
      <c r="F5" s="1">
        <v>-5.238182702789501</v>
      </c>
      <c r="G5" s="1">
        <v>378.219592791247</v>
      </c>
      <c r="H5" s="1">
        <v>5.006711007805749E10</v>
      </c>
      <c r="I5" s="1">
        <v>-0.06497268643673237</v>
      </c>
      <c r="J5" s="1" t="s">
        <v>48</v>
      </c>
      <c r="K5" s="1" t="s">
        <v>48</v>
      </c>
      <c r="L5" s="1">
        <v>17.85203448929102</v>
      </c>
      <c r="M5" s="1">
        <v>-3.221181846692062</v>
      </c>
      <c r="N5" s="1">
        <v>3.3502600344749012E10</v>
      </c>
      <c r="O5" s="1" t="s">
        <v>48</v>
      </c>
      <c r="P5" s="1" t="s">
        <v>48</v>
      </c>
      <c r="Q5" s="1" t="s">
        <v>48</v>
      </c>
      <c r="R5" s="1">
        <v>14.918804531376246</v>
      </c>
      <c r="S5" s="1">
        <v>1.575314817254672E10</v>
      </c>
      <c r="T5" s="1">
        <v>1.5205890550240335E10</v>
      </c>
      <c r="U5" s="1">
        <v>1.0326638765756172E10</v>
      </c>
      <c r="V5" s="1">
        <v>1.2498452242391224E10</v>
      </c>
      <c r="W5" s="1" t="s">
        <v>48</v>
      </c>
      <c r="X5" s="1">
        <v>4.857E7</v>
      </c>
      <c r="Y5" s="1">
        <v>1.5299544249770932E11</v>
      </c>
    </row>
    <row r="6">
      <c r="A6" s="1" t="s">
        <v>41</v>
      </c>
      <c r="B6" s="3" t="s">
        <v>43</v>
      </c>
      <c r="C6" s="1">
        <v>1980.0</v>
      </c>
      <c r="D6" s="3" t="s">
        <v>86</v>
      </c>
      <c r="E6" s="1">
        <v>2.7094274919322394E11</v>
      </c>
      <c r="F6" s="1">
        <v>6.735821527998496</v>
      </c>
      <c r="G6" s="1">
        <v>394.182239921013</v>
      </c>
      <c r="H6" s="1">
        <v>5.125991795954205E10</v>
      </c>
      <c r="I6" s="1">
        <v>2.382418077705921</v>
      </c>
      <c r="J6" s="1" t="s">
        <v>48</v>
      </c>
      <c r="K6" s="1" t="s">
        <v>48</v>
      </c>
      <c r="L6" s="1">
        <v>16.75237579755089</v>
      </c>
      <c r="M6" s="1">
        <v>0.19442644199646963</v>
      </c>
      <c r="N6" s="1">
        <v>3.3567738258575607E10</v>
      </c>
      <c r="O6" s="1" t="s">
        <v>48</v>
      </c>
      <c r="P6" s="1" t="s">
        <v>48</v>
      </c>
      <c r="Q6" s="1" t="s">
        <v>48</v>
      </c>
      <c r="R6" s="1">
        <v>15.384576848506088</v>
      </c>
      <c r="S6" s="1">
        <v>1.6578192478790102E10</v>
      </c>
      <c r="T6" s="1">
        <v>1.738857419585768E10</v>
      </c>
      <c r="U6" s="1">
        <v>1.143973840008119E10</v>
      </c>
      <c r="V6" s="1">
        <v>1.7226125073375107E10</v>
      </c>
      <c r="W6" s="1" t="s">
        <v>48</v>
      </c>
      <c r="X6" s="1">
        <v>7.91599999E7</v>
      </c>
      <c r="Y6" s="1">
        <v>1.8632857930206827E11</v>
      </c>
    </row>
    <row r="7">
      <c r="A7" s="1" t="s">
        <v>41</v>
      </c>
      <c r="B7" s="3" t="s">
        <v>43</v>
      </c>
      <c r="C7" s="1">
        <v>1981.0</v>
      </c>
      <c r="D7" s="3" t="s">
        <v>91</v>
      </c>
      <c r="E7" s="1">
        <v>2.872161224137386E11</v>
      </c>
      <c r="F7" s="1">
        <v>6.006203623817669</v>
      </c>
      <c r="G7" s="1">
        <v>408.15354979330726</v>
      </c>
      <c r="H7" s="1">
        <v>5.119524272265116E10</v>
      </c>
      <c r="I7" s="1">
        <v>-0.1261711673864454</v>
      </c>
      <c r="J7" s="1" t="s">
        <v>48</v>
      </c>
      <c r="K7" s="1" t="s">
        <v>48</v>
      </c>
      <c r="L7" s="1">
        <v>16.770443752043775</v>
      </c>
      <c r="M7" s="1">
        <v>8.169627179790467</v>
      </c>
      <c r="N7" s="1">
        <v>3.631009732698912E10</v>
      </c>
      <c r="O7" s="1" t="s">
        <v>48</v>
      </c>
      <c r="P7" s="1" t="s">
        <v>48</v>
      </c>
      <c r="Q7" s="1" t="s">
        <v>48</v>
      </c>
      <c r="R7" s="1">
        <v>14.507264761620434</v>
      </c>
      <c r="S7" s="1">
        <v>1.6442759579124552E10</v>
      </c>
      <c r="T7" s="1">
        <v>1.9132547406616024E10</v>
      </c>
      <c r="U7" s="1">
        <v>1.1485699151059452E10</v>
      </c>
      <c r="V7" s="1">
        <v>1.6584605960222254E10</v>
      </c>
      <c r="W7" s="1" t="s">
        <v>48</v>
      </c>
      <c r="X7" s="1">
        <v>9.192E7</v>
      </c>
      <c r="Y7" s="1">
        <v>1.9349136844557254E11</v>
      </c>
    </row>
    <row r="8">
      <c r="A8" s="1" t="s">
        <v>41</v>
      </c>
      <c r="B8" s="3" t="s">
        <v>43</v>
      </c>
      <c r="C8" s="1">
        <v>1982.0</v>
      </c>
      <c r="D8" s="3" t="s">
        <v>94</v>
      </c>
      <c r="E8" s="1">
        <v>2.9719898865200916E11</v>
      </c>
      <c r="F8" s="1">
        <v>3.4757332403123655</v>
      </c>
      <c r="G8" s="1">
        <v>412.59673710422067</v>
      </c>
      <c r="H8" s="1">
        <v>5.408587266377487E10</v>
      </c>
      <c r="I8" s="1">
        <v>5.646286231679028</v>
      </c>
      <c r="J8" s="1" t="s">
        <v>48</v>
      </c>
      <c r="K8" s="1" t="s">
        <v>48</v>
      </c>
      <c r="L8" s="45">
        <v>16.3699959373704</v>
      </c>
      <c r="M8" s="1">
        <v>3.2881527705993108</v>
      </c>
      <c r="N8" s="1">
        <v>3.7504028798253815E10</v>
      </c>
      <c r="O8" s="1" t="s">
        <v>48</v>
      </c>
      <c r="P8" s="1" t="s">
        <v>48</v>
      </c>
      <c r="Q8" s="1" t="s">
        <v>48</v>
      </c>
      <c r="R8" s="1">
        <v>14.12592774954747</v>
      </c>
      <c r="S8" s="1">
        <v>1.743269723864953E10</v>
      </c>
      <c r="T8" s="1">
        <v>1.9793418141987064E10</v>
      </c>
      <c r="U8" s="1">
        <v>1.2009417676703733E10</v>
      </c>
      <c r="V8" s="1">
        <v>1.6343526468962202E10</v>
      </c>
      <c r="W8" s="1" t="s">
        <v>48</v>
      </c>
      <c r="X8" s="1">
        <v>7.20799999E7</v>
      </c>
      <c r="Y8" s="1">
        <v>2.007156248309017E11</v>
      </c>
    </row>
    <row r="9">
      <c r="A9" s="1" t="s">
        <v>41</v>
      </c>
      <c r="B9" s="3" t="s">
        <v>43</v>
      </c>
      <c r="C9" s="1">
        <v>1983.0</v>
      </c>
      <c r="D9" s="3" t="s">
        <v>98</v>
      </c>
      <c r="E9" s="1">
        <v>3.1886150463843994E11</v>
      </c>
      <c r="F9" s="1">
        <v>7.288892901245859</v>
      </c>
      <c r="G9" s="1">
        <v>432.4292353847592</v>
      </c>
      <c r="H9" s="1">
        <v>5.805109988915215E10</v>
      </c>
      <c r="I9" s="1">
        <v>7.3313548068774566</v>
      </c>
      <c r="J9" s="1" t="s">
        <v>48</v>
      </c>
      <c r="K9" s="1" t="s">
        <v>48</v>
      </c>
      <c r="L9" s="1">
        <v>16.664454692509604</v>
      </c>
      <c r="M9" s="1">
        <v>10.231988697374987</v>
      </c>
      <c r="N9" s="1">
        <v>4.13414367859514E10</v>
      </c>
      <c r="O9" s="1" t="s">
        <v>48</v>
      </c>
      <c r="P9" s="1" t="s">
        <v>48</v>
      </c>
      <c r="Q9" s="1" t="s">
        <v>48</v>
      </c>
      <c r="R9" s="1">
        <v>13.690593886880247</v>
      </c>
      <c r="S9" s="1">
        <v>1.7273202305996033E10</v>
      </c>
      <c r="T9" s="1">
        <v>2.414483823929644E10</v>
      </c>
      <c r="U9" s="1">
        <v>1.2741335281076435E10</v>
      </c>
      <c r="V9" s="1">
        <v>1.714004879313692E10</v>
      </c>
      <c r="W9" s="1" t="s">
        <v>48</v>
      </c>
      <c r="X9" s="1">
        <v>5639999.9</v>
      </c>
      <c r="Y9" s="1">
        <v>2.182621464131575E11</v>
      </c>
    </row>
    <row r="10">
      <c r="A10" s="1" t="s">
        <v>41</v>
      </c>
      <c r="B10" s="3" t="s">
        <v>43</v>
      </c>
      <c r="C10" s="1">
        <v>1984.0</v>
      </c>
      <c r="D10" s="3" t="s">
        <v>101</v>
      </c>
      <c r="E10" s="1">
        <v>3.3104436685428754E11</v>
      </c>
      <c r="F10" s="1">
        <v>3.820737855973505</v>
      </c>
      <c r="G10" s="1">
        <v>438.5417055129151</v>
      </c>
      <c r="H10" s="1">
        <v>5.901858587850167E10</v>
      </c>
      <c r="I10" s="1">
        <v>1.6666109534477727</v>
      </c>
      <c r="J10" s="1" t="s">
        <v>48</v>
      </c>
      <c r="K10" s="1" t="s">
        <v>48</v>
      </c>
      <c r="L10" s="1">
        <v>16.707803600320943</v>
      </c>
      <c r="M10" s="1">
        <v>4.207971012792939</v>
      </c>
      <c r="N10" s="1">
        <v>4.308107246217635E10</v>
      </c>
      <c r="O10" s="1" t="s">
        <v>48</v>
      </c>
      <c r="P10" s="1" t="s">
        <v>48</v>
      </c>
      <c r="Q10" s="1" t="s">
        <v>48</v>
      </c>
      <c r="R10" s="1">
        <v>14.009375944128916</v>
      </c>
      <c r="S10" s="1">
        <v>1.8533775038590584E10</v>
      </c>
      <c r="T10" s="1">
        <v>2.0684867974925335E10</v>
      </c>
      <c r="U10" s="1">
        <v>1.3330716432206964E10</v>
      </c>
      <c r="V10" s="1">
        <v>1.6391245674941341E10</v>
      </c>
      <c r="W10" s="1" t="s">
        <v>48</v>
      </c>
      <c r="X10" s="1">
        <v>1.92399999E7</v>
      </c>
      <c r="Y10" s="1">
        <v>2.121576451776516E11</v>
      </c>
    </row>
    <row r="11">
      <c r="A11" s="1" t="s">
        <v>41</v>
      </c>
      <c r="B11" s="3" t="s">
        <v>43</v>
      </c>
      <c r="C11" s="1">
        <v>1985.0</v>
      </c>
      <c r="D11" s="3" t="s">
        <v>104</v>
      </c>
      <c r="E11" s="1">
        <v>3.484384284507202E11</v>
      </c>
      <c r="F11" s="1">
        <v>5.254299223308891</v>
      </c>
      <c r="G11" s="1">
        <v>450.96670385586697</v>
      </c>
      <c r="H11" s="1">
        <v>6.173692508492981E10</v>
      </c>
      <c r="I11" s="1">
        <v>4.605903658932519</v>
      </c>
      <c r="J11" s="1" t="s">
        <v>48</v>
      </c>
      <c r="K11" s="45" t="s">
        <v>48</v>
      </c>
      <c r="L11" s="1">
        <v>16.41801286266626</v>
      </c>
      <c r="M11" s="1">
        <v>3.1874897641194053</v>
      </c>
      <c r="N11" s="1">
        <v>4.445427723718108E10</v>
      </c>
      <c r="O11" s="1" t="s">
        <v>48</v>
      </c>
      <c r="P11" s="1" t="s">
        <v>48</v>
      </c>
      <c r="Q11" s="1" t="s">
        <v>48</v>
      </c>
      <c r="R11" s="1">
        <v>12.900036194148711</v>
      </c>
      <c r="S11" s="1">
        <v>1.7363383662975315E10</v>
      </c>
      <c r="T11" s="1">
        <v>2.3554047236255283E10</v>
      </c>
      <c r="U11" s="1">
        <v>1.2217447521809546E10</v>
      </c>
      <c r="V11" s="1">
        <v>1.7776627208176365E10</v>
      </c>
      <c r="W11" s="1" t="s">
        <v>48</v>
      </c>
      <c r="X11" s="1">
        <v>1.0609E8</v>
      </c>
      <c r="Y11" s="1">
        <v>2.3251155484037195E11</v>
      </c>
    </row>
    <row r="12">
      <c r="A12" s="1" t="s">
        <v>41</v>
      </c>
      <c r="B12" s="3" t="s">
        <v>43</v>
      </c>
      <c r="C12" s="1">
        <v>1986.0</v>
      </c>
      <c r="D12" s="3" t="s">
        <v>106</v>
      </c>
      <c r="E12" s="1">
        <v>3.650818135803139E11</v>
      </c>
      <c r="F12" s="1">
        <v>4.776564170489465</v>
      </c>
      <c r="G12" s="1">
        <v>461.72561147640334</v>
      </c>
      <c r="H12" s="1">
        <v>6.762033395029684E10</v>
      </c>
      <c r="I12" s="1">
        <v>9.529805472613646</v>
      </c>
      <c r="J12" s="1" t="s">
        <v>48</v>
      </c>
      <c r="K12" s="1" t="s">
        <v>48</v>
      </c>
      <c r="L12" s="1">
        <v>16.221583809613467</v>
      </c>
      <c r="M12" s="1">
        <v>5.494239512069242</v>
      </c>
      <c r="N12" s="1">
        <v>4.689670170195109E10</v>
      </c>
      <c r="O12" s="1" t="s">
        <v>48</v>
      </c>
      <c r="P12" s="1" t="s">
        <v>48</v>
      </c>
      <c r="Q12" s="1" t="s">
        <v>48</v>
      </c>
      <c r="R12" s="1">
        <v>12.219271899372565</v>
      </c>
      <c r="S12" s="1">
        <v>1.830662882139076E10</v>
      </c>
      <c r="T12" s="1">
        <v>2.7578013348839436E10</v>
      </c>
      <c r="U12" s="1">
        <v>1.2937864153599499E10</v>
      </c>
      <c r="V12" s="1">
        <v>1.7486411449575726E10</v>
      </c>
      <c r="W12" s="1" t="s">
        <v>48</v>
      </c>
      <c r="X12" s="1">
        <v>1.1773E8</v>
      </c>
      <c r="Y12" s="1">
        <v>2.489859940405897E11</v>
      </c>
    </row>
    <row r="13">
      <c r="A13" s="1" t="s">
        <v>41</v>
      </c>
      <c r="B13" s="3" t="s">
        <v>43</v>
      </c>
      <c r="C13" s="1">
        <v>1987.0</v>
      </c>
      <c r="D13" s="3" t="s">
        <v>108</v>
      </c>
      <c r="E13" s="1">
        <v>3.795586058434862E11</v>
      </c>
      <c r="F13" s="1">
        <v>3.9653556339057587</v>
      </c>
      <c r="G13" s="1">
        <v>469.20995629639367</v>
      </c>
      <c r="H13" s="1">
        <v>7.508984987802798E10</v>
      </c>
      <c r="I13" s="1">
        <v>11.046257081814304</v>
      </c>
      <c r="J13" s="1" t="s">
        <v>48</v>
      </c>
      <c r="K13" s="1" t="s">
        <v>48</v>
      </c>
      <c r="L13" s="1">
        <v>16.209549353889148</v>
      </c>
      <c r="M13" s="1">
        <v>5.600021718441255</v>
      </c>
      <c r="N13" s="1">
        <v>4.952292718249296E10</v>
      </c>
      <c r="O13" s="1" t="s">
        <v>48</v>
      </c>
      <c r="P13" s="1" t="s">
        <v>48</v>
      </c>
      <c r="Q13" s="1" t="s">
        <v>48</v>
      </c>
      <c r="R13" s="1">
        <v>12.584814035675782</v>
      </c>
      <c r="S13" s="1">
        <v>2.0636564457614414E10</v>
      </c>
      <c r="T13" s="1">
        <v>2.7117951570827267E10</v>
      </c>
      <c r="U13" s="1">
        <v>1.5638662913983883E10</v>
      </c>
      <c r="V13" s="1">
        <v>1.9477194741103443E10</v>
      </c>
      <c r="W13" s="1" t="s">
        <v>48</v>
      </c>
      <c r="X13" s="1">
        <v>2.123199999E8</v>
      </c>
      <c r="Y13" s="1">
        <v>2.7903358409222345E11</v>
      </c>
    </row>
    <row r="14">
      <c r="A14" s="1" t="s">
        <v>41</v>
      </c>
      <c r="B14" s="3" t="s">
        <v>43</v>
      </c>
      <c r="C14" s="1">
        <v>1988.0</v>
      </c>
      <c r="D14" s="3" t="s">
        <v>110</v>
      </c>
      <c r="E14" s="1">
        <v>4.161016844676998E11</v>
      </c>
      <c r="F14" s="1">
        <v>9.627782919848343</v>
      </c>
      <c r="G14" s="1">
        <v>502.9373421870654</v>
      </c>
      <c r="H14" s="1">
        <v>7.768972412783318E10</v>
      </c>
      <c r="I14" s="1">
        <v>3.46235110874278</v>
      </c>
      <c r="J14" s="1" t="s">
        <v>48</v>
      </c>
      <c r="K14" s="1" t="s">
        <v>48</v>
      </c>
      <c r="L14" s="1">
        <v>16.101534849260798</v>
      </c>
      <c r="M14" s="1">
        <v>8.496312397608136</v>
      </c>
      <c r="N14" s="1">
        <v>5.373054978435755E10</v>
      </c>
      <c r="O14" s="1" t="s">
        <v>48</v>
      </c>
      <c r="P14" s="1" t="s">
        <v>48</v>
      </c>
      <c r="Q14" s="1" t="s">
        <v>48</v>
      </c>
      <c r="R14" s="1">
        <v>13.4904501163017</v>
      </c>
      <c r="S14" s="1">
        <v>2.2178747993968845E10</v>
      </c>
      <c r="T14" s="1">
        <v>2.961130441756183E10</v>
      </c>
      <c r="U14" s="1">
        <v>1.7899838408937637E10</v>
      </c>
      <c r="V14" s="1">
        <v>2.211144319338146E10</v>
      </c>
      <c r="W14" s="1" t="s">
        <v>48</v>
      </c>
      <c r="X14" s="1">
        <v>9.125E7</v>
      </c>
      <c r="Y14" s="1">
        <v>2.96589670895932E11</v>
      </c>
    </row>
    <row r="15">
      <c r="A15" s="1" t="s">
        <v>41</v>
      </c>
      <c r="B15" s="3" t="s">
        <v>43</v>
      </c>
      <c r="C15" s="1">
        <v>1989.0</v>
      </c>
      <c r="D15" s="3" t="s">
        <v>112</v>
      </c>
      <c r="E15" s="1">
        <v>4.40848680237688E11</v>
      </c>
      <c r="F15" s="1">
        <v>5.947343328265035</v>
      </c>
      <c r="G15" s="1">
        <v>521.0733838391232</v>
      </c>
      <c r="H15" s="1">
        <v>8.44710215096953E10</v>
      </c>
      <c r="I15" s="1">
        <v>8.728692832920814</v>
      </c>
      <c r="J15" s="1" t="s">
        <v>48</v>
      </c>
      <c r="K15" s="1" t="s">
        <v>48</v>
      </c>
      <c r="L15" s="1">
        <v>16.902845896566927</v>
      </c>
      <c r="M15" s="1">
        <v>8.839417252732787</v>
      </c>
      <c r="N15" s="1">
        <v>5.848001727198422E10</v>
      </c>
      <c r="O15" s="1" t="s">
        <v>48</v>
      </c>
      <c r="P15" s="1" t="s">
        <v>48</v>
      </c>
      <c r="Q15" s="1" t="s">
        <v>48</v>
      </c>
      <c r="R15" s="1">
        <v>15.168132090669529</v>
      </c>
      <c r="S15" s="1">
        <v>2.483556980303224E10</v>
      </c>
      <c r="T15" s="1">
        <v>3.022851380728942E10</v>
      </c>
      <c r="U15" s="1">
        <v>2.077069611209466E10</v>
      </c>
      <c r="V15" s="1">
        <v>2.413335352248116E10</v>
      </c>
      <c r="W15" s="1" t="s">
        <v>48</v>
      </c>
      <c r="X15" s="1">
        <v>2.520999999E8</v>
      </c>
      <c r="Y15" s="1">
        <v>2.960420529446598E11</v>
      </c>
    </row>
    <row r="16">
      <c r="A16" s="1" t="s">
        <v>41</v>
      </c>
      <c r="B16" s="3" t="s">
        <v>43</v>
      </c>
      <c r="C16" s="1">
        <v>1990.0</v>
      </c>
      <c r="D16" s="3" t="s">
        <v>114</v>
      </c>
      <c r="E16" s="1">
        <v>4.6524284165051196E11</v>
      </c>
      <c r="F16" s="1">
        <v>5.53345456306495</v>
      </c>
      <c r="G16" s="1">
        <v>537.8702695361034</v>
      </c>
      <c r="H16" s="1">
        <v>9.839157185076276E10</v>
      </c>
      <c r="I16" s="1">
        <v>16.47967562398864</v>
      </c>
      <c r="J16" s="1">
        <v>3.07898649E8</v>
      </c>
      <c r="K16" s="1" t="s">
        <v>48</v>
      </c>
      <c r="L16" s="1">
        <v>16.59759644222204</v>
      </c>
      <c r="M16" s="1">
        <v>4.773545514026708</v>
      </c>
      <c r="N16" s="1">
        <v>6.1271587513073074E10</v>
      </c>
      <c r="O16" s="1" t="s">
        <v>48</v>
      </c>
      <c r="P16" s="1" t="s">
        <v>48</v>
      </c>
      <c r="Q16" s="1" t="s">
        <v>48</v>
      </c>
      <c r="R16" s="1">
        <v>15.506261510196545</v>
      </c>
      <c r="S16" s="1">
        <v>2.759341533942503E10</v>
      </c>
      <c r="T16" s="1">
        <v>3.124595200368182E10</v>
      </c>
      <c r="U16" s="1">
        <v>2.2639774911552498E10</v>
      </c>
      <c r="V16" s="1">
        <v>2.7132072318021008E10</v>
      </c>
      <c r="W16" s="1">
        <v>56.36</v>
      </c>
      <c r="X16" s="1">
        <v>2.3669E8</v>
      </c>
      <c r="Y16" s="1">
        <v>3.209790264200351E11</v>
      </c>
    </row>
    <row r="17">
      <c r="A17" s="1" t="s">
        <v>41</v>
      </c>
      <c r="B17" s="3" t="s">
        <v>43</v>
      </c>
      <c r="C17" s="1">
        <v>1991.0</v>
      </c>
      <c r="D17" s="3" t="s">
        <v>116</v>
      </c>
      <c r="E17" s="1">
        <v>4.701596742406792E11</v>
      </c>
      <c r="F17" s="1">
        <v>1.0568314329617863</v>
      </c>
      <c r="G17" s="1">
        <v>531.898397833351</v>
      </c>
      <c r="H17" s="1">
        <v>9.081184685084091E10</v>
      </c>
      <c r="I17" s="1">
        <v>-7.703632391825735</v>
      </c>
      <c r="J17" s="1">
        <v>3.1587562E8</v>
      </c>
      <c r="K17" s="1">
        <v>7.641</v>
      </c>
      <c r="L17" s="1">
        <v>15.676260160512731</v>
      </c>
      <c r="M17" s="1">
        <v>-2.398463800264537</v>
      </c>
      <c r="N17" s="1">
        <v>5.980201066672461E10</v>
      </c>
      <c r="O17" s="1">
        <v>63.1283195373591</v>
      </c>
      <c r="P17" s="1">
        <v>14.5849373001575</v>
      </c>
      <c r="Q17" s="1">
        <v>22.2867363071309</v>
      </c>
      <c r="R17" s="1">
        <v>16.987726551135058</v>
      </c>
      <c r="S17" s="1">
        <v>3.0259570136897488E10</v>
      </c>
      <c r="T17" s="1">
        <v>3.1250701539597733E10</v>
      </c>
      <c r="U17" s="1">
        <v>2.2943398073299454E10</v>
      </c>
      <c r="V17" s="1">
        <v>2.2941358805152008E10</v>
      </c>
      <c r="W17" s="1" t="s">
        <v>48</v>
      </c>
      <c r="X17" s="1">
        <v>7.3537638388533E7</v>
      </c>
      <c r="Y17" s="1">
        <v>2.7010534187922638E11</v>
      </c>
    </row>
    <row r="18">
      <c r="A18" s="1" t="s">
        <v>41</v>
      </c>
      <c r="B18" s="3" t="s">
        <v>43</v>
      </c>
      <c r="C18" s="1">
        <v>1992.0</v>
      </c>
      <c r="D18" s="3" t="s">
        <v>118</v>
      </c>
      <c r="E18" s="1">
        <v>4.9593568951674695E11</v>
      </c>
      <c r="F18" s="1">
        <v>5.482396021670027</v>
      </c>
      <c r="G18" s="1">
        <v>549.2350699648954</v>
      </c>
      <c r="H18" s="1">
        <v>1.0043790694216129E11</v>
      </c>
      <c r="I18" s="1">
        <v>10.60000476273899</v>
      </c>
      <c r="J18" s="1">
        <v>3.24021661E8</v>
      </c>
      <c r="K18" s="1">
        <v>7.649</v>
      </c>
      <c r="L18" s="1">
        <v>15.800799817080746</v>
      </c>
      <c r="M18" s="1">
        <v>3.0901834659496927</v>
      </c>
      <c r="N18" s="1">
        <v>6.1650002512653206E10</v>
      </c>
      <c r="O18" s="1">
        <v>62.8983336367001</v>
      </c>
      <c r="P18" s="1">
        <v>14.6628055390629</v>
      </c>
      <c r="Q18" s="1">
        <v>22.4388544747388</v>
      </c>
      <c r="R18" s="1">
        <v>18.433099041828044</v>
      </c>
      <c r="S18" s="1">
        <v>3.1740244814295574E10</v>
      </c>
      <c r="T18" s="1">
        <v>3.785337454760034E10</v>
      </c>
      <c r="U18" s="1">
        <v>2.548602904669749E10</v>
      </c>
      <c r="V18" s="1">
        <v>2.7639649994189995E10</v>
      </c>
      <c r="W18" s="1">
        <v>27.01</v>
      </c>
      <c r="X18" s="1">
        <v>2.76512438973893E8</v>
      </c>
      <c r="Y18" s="1">
        <v>2.882080702780129E11</v>
      </c>
    </row>
    <row r="19">
      <c r="A19" s="1" t="s">
        <v>41</v>
      </c>
      <c r="B19" s="3" t="s">
        <v>43</v>
      </c>
      <c r="C19" s="1">
        <v>1993.0</v>
      </c>
      <c r="D19" s="3" t="s">
        <v>120</v>
      </c>
      <c r="E19" s="1">
        <v>5.194964843187182E11</v>
      </c>
      <c r="F19" s="1">
        <v>4.750776219579905</v>
      </c>
      <c r="G19" s="1">
        <v>563.3728723367472</v>
      </c>
      <c r="H19" s="1">
        <v>9.960812791648451E10</v>
      </c>
      <c r="I19" s="1">
        <v>-0.8261612083917811</v>
      </c>
      <c r="J19" s="1">
        <v>3.3233873E8</v>
      </c>
      <c r="K19" s="1">
        <v>7.662</v>
      </c>
      <c r="L19" s="1">
        <v>15.915712107843891</v>
      </c>
      <c r="M19" s="1">
        <v>8.591341073616917</v>
      </c>
      <c r="N19" s="1">
        <v>6.6946564500408646E10</v>
      </c>
      <c r="O19" s="1">
        <v>62.6630638065269</v>
      </c>
      <c r="P19" s="1">
        <v>14.7602607112643</v>
      </c>
      <c r="Q19" s="1">
        <v>22.5766758080731</v>
      </c>
      <c r="R19" s="1">
        <v>19.651539786468376</v>
      </c>
      <c r="S19" s="1">
        <v>3.611392160905295E10</v>
      </c>
      <c r="T19" s="1">
        <v>4.514668445823885E10</v>
      </c>
      <c r="U19" s="1">
        <v>2.746654146291352E10</v>
      </c>
      <c r="V19" s="1">
        <v>2.7419354118763275E10</v>
      </c>
      <c r="W19" s="1" t="s">
        <v>48</v>
      </c>
      <c r="X19" s="1">
        <v>5.50370024929383E8</v>
      </c>
      <c r="Y19" s="1">
        <v>2.7929564898252924E11</v>
      </c>
    </row>
    <row r="20">
      <c r="A20" s="1" t="s">
        <v>41</v>
      </c>
      <c r="B20" s="3" t="s">
        <v>43</v>
      </c>
      <c r="C20" s="1">
        <v>1994.0</v>
      </c>
      <c r="D20" s="3" t="s">
        <v>123</v>
      </c>
      <c r="E20" s="1">
        <v>5.540893607426937E11</v>
      </c>
      <c r="F20" s="1">
        <v>6.658924067473066</v>
      </c>
      <c r="G20" s="1">
        <v>588.7278921806322</v>
      </c>
      <c r="H20" s="1">
        <v>1.0534455677880779E11</v>
      </c>
      <c r="I20" s="1">
        <v>5.758996762927751</v>
      </c>
      <c r="J20" s="1">
        <v>3.40802039E8</v>
      </c>
      <c r="K20" s="1">
        <v>7.593</v>
      </c>
      <c r="L20" s="1">
        <v>16.76413813131199</v>
      </c>
      <c r="M20" s="1">
        <v>10.821183243712213</v>
      </c>
      <c r="N20" s="1">
        <v>7.419097492036786E10</v>
      </c>
      <c r="O20" s="1">
        <v>62.3712403783223</v>
      </c>
      <c r="P20" s="1">
        <v>14.8513502686444</v>
      </c>
      <c r="Q20" s="1">
        <v>22.7774093530333</v>
      </c>
      <c r="R20" s="1">
        <v>20.07814437692546</v>
      </c>
      <c r="S20" s="1">
        <v>4.082450059319832E10</v>
      </c>
      <c r="T20" s="1">
        <v>5.535055447952862E10</v>
      </c>
      <c r="U20" s="1">
        <v>3.236121443143209E10</v>
      </c>
      <c r="V20" s="1">
        <v>3.3349501147708862E10</v>
      </c>
      <c r="W20" s="1" t="s">
        <v>48</v>
      </c>
      <c r="X20" s="1">
        <v>9.73271468722873E8</v>
      </c>
      <c r="Y20" s="1">
        <v>3.27274843459429E11</v>
      </c>
    </row>
    <row r="21">
      <c r="A21" s="1" t="s">
        <v>41</v>
      </c>
      <c r="B21" s="3" t="s">
        <v>43</v>
      </c>
      <c r="C21" s="1">
        <v>1995.0</v>
      </c>
      <c r="D21" s="3" t="s">
        <v>125</v>
      </c>
      <c r="E21" s="1">
        <v>5.960588141599641E11</v>
      </c>
      <c r="F21" s="1">
        <v>7.574491840271946</v>
      </c>
      <c r="G21" s="1">
        <v>620.6999543363655</v>
      </c>
      <c r="H21" s="1">
        <v>1.1811244607914948E11</v>
      </c>
      <c r="I21" s="1">
        <v>12.120122473105525</v>
      </c>
      <c r="J21" s="1">
        <v>3.51330547E8</v>
      </c>
      <c r="K21" s="1">
        <v>7.57</v>
      </c>
      <c r="L21" s="1">
        <v>17.86585059685543</v>
      </c>
      <c r="M21" s="1">
        <v>15.461462926030748</v>
      </c>
      <c r="N21" s="1">
        <v>8.56619850021413E10</v>
      </c>
      <c r="O21" s="1">
        <v>61.9744284767541</v>
      </c>
      <c r="P21" s="1">
        <v>15.0004830062333</v>
      </c>
      <c r="Q21" s="1">
        <v>23.0250885170126</v>
      </c>
      <c r="R21" s="1">
        <v>22.8674487062499</v>
      </c>
      <c r="S21" s="1">
        <v>5.364179064010059E10</v>
      </c>
      <c r="T21" s="1">
        <v>7.091838408239972E10</v>
      </c>
      <c r="U21" s="1">
        <v>3.906885511785177E10</v>
      </c>
      <c r="V21" s="1">
        <v>4.3318425767770706E10</v>
      </c>
      <c r="W21" s="1" t="s">
        <v>48</v>
      </c>
      <c r="X21" s="1">
        <v>2.14362811028391E9</v>
      </c>
      <c r="Y21" s="1">
        <v>3.6028190964348914E11</v>
      </c>
    </row>
    <row r="22">
      <c r="A22" s="1" t="s">
        <v>41</v>
      </c>
      <c r="B22" s="3" t="s">
        <v>43</v>
      </c>
      <c r="C22" s="1">
        <v>1996.0</v>
      </c>
      <c r="D22" s="3" t="s">
        <v>128</v>
      </c>
      <c r="E22" s="1">
        <v>6.410584069514303E11</v>
      </c>
      <c r="F22" s="1">
        <v>7.5495222488882945</v>
      </c>
      <c r="G22" s="1">
        <v>654.3559284340519</v>
      </c>
      <c r="H22" s="1">
        <v>1.2366733970796796E11</v>
      </c>
      <c r="I22" s="1">
        <v>4.7030552775920285</v>
      </c>
      <c r="J22" s="1">
        <v>3.62330724E8</v>
      </c>
      <c r="K22" s="1">
        <v>7.537</v>
      </c>
      <c r="L22" s="1">
        <v>17.596340800641393</v>
      </c>
      <c r="M22" s="1">
        <v>9.501276778891395</v>
      </c>
      <c r="N22" s="1">
        <v>9.380096729148717E10</v>
      </c>
      <c r="O22" s="1">
        <v>61.5133808555238</v>
      </c>
      <c r="P22" s="1">
        <v>15.2712590554772</v>
      </c>
      <c r="Q22" s="1">
        <v>23.2153600889989</v>
      </c>
      <c r="R22" s="1">
        <v>21.92948787138665</v>
      </c>
      <c r="S22" s="1">
        <v>5.701571467349801E10</v>
      </c>
      <c r="T22" s="1">
        <v>6.918798421933054E10</v>
      </c>
      <c r="U22" s="1">
        <v>4.080300461817541E10</v>
      </c>
      <c r="V22" s="1">
        <v>4.5357266003202126E10</v>
      </c>
      <c r="W22" s="1">
        <v>23.72</v>
      </c>
      <c r="X22" s="1">
        <v>2.42605702191092E9</v>
      </c>
      <c r="Y22" s="1">
        <v>3.928968662045158E11</v>
      </c>
    </row>
    <row r="23">
      <c r="A23" s="1" t="s">
        <v>41</v>
      </c>
      <c r="B23" s="3" t="s">
        <v>43</v>
      </c>
      <c r="C23" s="1">
        <v>1997.0</v>
      </c>
      <c r="D23" s="3" t="s">
        <v>129</v>
      </c>
      <c r="E23" s="1">
        <v>6.670201239705758E11</v>
      </c>
      <c r="F23" s="1">
        <v>4.049820849024826</v>
      </c>
      <c r="G23" s="1">
        <v>667.5984230933993</v>
      </c>
      <c r="H23" s="1">
        <v>1.3491911861939548E11</v>
      </c>
      <c r="I23" s="1">
        <v>9.098423996180259</v>
      </c>
      <c r="J23" s="1">
        <v>3.73673862E8</v>
      </c>
      <c r="K23" s="1">
        <v>7.574</v>
      </c>
      <c r="L23" s="1">
        <v>16.518578530433338</v>
      </c>
      <c r="M23" s="1">
        <v>0.05118690904259893</v>
      </c>
      <c r="N23" s="1">
        <v>9.384898110729575E10</v>
      </c>
      <c r="O23" s="1">
        <v>61.1586254457877</v>
      </c>
      <c r="P23" s="1">
        <v>15.4726082964194</v>
      </c>
      <c r="Q23" s="1">
        <v>23.3687662577929</v>
      </c>
      <c r="R23" s="1">
        <v>22.619386867047854</v>
      </c>
      <c r="S23" s="1">
        <v>5.56882883520579E10</v>
      </c>
      <c r="T23" s="1">
        <v>7.832127146090218E10</v>
      </c>
      <c r="U23" s="1">
        <v>4.44592256425392E10</v>
      </c>
      <c r="V23" s="1">
        <v>4.960746742108907E10</v>
      </c>
      <c r="W23" s="1">
        <v>20.13</v>
      </c>
      <c r="X23" s="1">
        <v>3.57733004234585E9</v>
      </c>
      <c r="Y23" s="1">
        <v>4.1586756359282904E11</v>
      </c>
    </row>
    <row r="24">
      <c r="A24" s="1" t="s">
        <v>41</v>
      </c>
      <c r="B24" s="3" t="s">
        <v>43</v>
      </c>
      <c r="C24" s="1">
        <v>1998.0</v>
      </c>
      <c r="D24" s="3" t="s">
        <v>131</v>
      </c>
      <c r="E24" s="1">
        <v>7.082714220453556E11</v>
      </c>
      <c r="F24" s="1">
        <v>6.184415820803551</v>
      </c>
      <c r="G24" s="1">
        <v>695.2937093370822</v>
      </c>
      <c r="H24" s="1">
        <v>1.492460407574896E11</v>
      </c>
      <c r="I24" s="1">
        <v>10.618896924838438</v>
      </c>
      <c r="J24" s="1">
        <v>3.85347723E8</v>
      </c>
      <c r="K24" s="1">
        <v>7.596</v>
      </c>
      <c r="L24" s="1">
        <v>15.71931601649385</v>
      </c>
      <c r="M24" s="1">
        <v>3.1318435932712987</v>
      </c>
      <c r="N24" s="1">
        <v>9.678818440945499E10</v>
      </c>
      <c r="O24" s="1">
        <v>60.647957461241</v>
      </c>
      <c r="P24" s="1">
        <v>15.7949095027609</v>
      </c>
      <c r="Q24" s="1">
        <v>23.5571330359981</v>
      </c>
      <c r="R24" s="1">
        <v>23.69947007906474</v>
      </c>
      <c r="S24" s="1">
        <v>6.342022953236763E10</v>
      </c>
      <c r="T24" s="1">
        <v>9.464780363380003E10</v>
      </c>
      <c r="U24" s="1">
        <v>4.642646502504766E10</v>
      </c>
      <c r="V24" s="1">
        <v>5.343156432842245E10</v>
      </c>
      <c r="W24" s="1" t="s">
        <v>48</v>
      </c>
      <c r="X24" s="1">
        <v>2.6346516577714E9</v>
      </c>
      <c r="Y24" s="1">
        <v>4.213513172249413E11</v>
      </c>
    </row>
    <row r="25">
      <c r="A25" s="1" t="s">
        <v>41</v>
      </c>
      <c r="B25" s="3" t="s">
        <v>43</v>
      </c>
      <c r="C25" s="1">
        <v>1999.0</v>
      </c>
      <c r="D25" s="3" t="s">
        <v>133</v>
      </c>
      <c r="E25" s="1">
        <v>7.709233807489061E11</v>
      </c>
      <c r="F25" s="1">
        <v>8.84575556114116</v>
      </c>
      <c r="G25" s="1">
        <v>742.5392083981195</v>
      </c>
      <c r="H25" s="1">
        <v>1.7423161223511862E11</v>
      </c>
      <c r="I25" s="1">
        <v>16.741195512334002</v>
      </c>
      <c r="J25" s="1">
        <v>3.97354085E8</v>
      </c>
      <c r="K25" s="1">
        <v>7.583</v>
      </c>
      <c r="L25" s="1">
        <v>15.180536713273817</v>
      </c>
      <c r="M25" s="1">
        <v>5.393774515756917</v>
      </c>
      <c r="N25" s="1">
        <v>1.0200872083439597E11</v>
      </c>
      <c r="O25" s="1">
        <v>59.8780266801724</v>
      </c>
      <c r="P25" s="1">
        <v>16.309428466053</v>
      </c>
      <c r="Q25" s="1">
        <v>23.8125410413714</v>
      </c>
      <c r="R25" s="1">
        <v>24.815598044292916</v>
      </c>
      <c r="S25" s="1">
        <v>7.483553439094049E10</v>
      </c>
      <c r="T25" s="1">
        <v>1.012660579883494E11</v>
      </c>
      <c r="U25" s="1">
        <v>5.254448340269358E10</v>
      </c>
      <c r="V25" s="1">
        <v>6.131470475703452E10</v>
      </c>
      <c r="W25" s="1">
        <v>28.51</v>
      </c>
      <c r="X25" s="1">
        <v>2.16859105437924E9</v>
      </c>
      <c r="Y25" s="1">
        <v>4.588210526157898E11</v>
      </c>
    </row>
    <row r="26">
      <c r="A26" s="1" t="s">
        <v>41</v>
      </c>
      <c r="B26" s="3" t="s">
        <v>43</v>
      </c>
      <c r="C26" s="1">
        <v>2000.0</v>
      </c>
      <c r="D26" s="3" t="s">
        <v>135</v>
      </c>
      <c r="E26" s="1">
        <v>8.005344796296804E11</v>
      </c>
      <c r="F26" s="1">
        <v>3.8409911568655417</v>
      </c>
      <c r="G26" s="1">
        <v>756.7041095331869</v>
      </c>
      <c r="H26" s="1">
        <v>1.7110592874279523E11</v>
      </c>
      <c r="I26" s="1">
        <v>-1.7939818453297676</v>
      </c>
      <c r="J26" s="1">
        <v>4.09617771E8</v>
      </c>
      <c r="K26" s="1">
        <v>7.589</v>
      </c>
      <c r="L26" s="1">
        <v>15.927023018432255</v>
      </c>
      <c r="M26" s="1">
        <v>7.299097849011133</v>
      </c>
      <c r="N26" s="1">
        <v>1.0945443718262312E11</v>
      </c>
      <c r="O26" s="1">
        <v>59.607310099104</v>
      </c>
      <c r="P26" s="1">
        <v>16.341359744203</v>
      </c>
      <c r="Q26" s="1">
        <v>24.0513301566929</v>
      </c>
      <c r="R26" s="1">
        <v>26.900922910447356</v>
      </c>
      <c r="S26" s="1">
        <v>8.842081137847476E10</v>
      </c>
      <c r="T26" s="1">
        <v>1.0591388292246399E11</v>
      </c>
      <c r="U26" s="1">
        <v>6.08784728212004E10</v>
      </c>
      <c r="V26" s="1">
        <v>6.5124245375053055E10</v>
      </c>
      <c r="W26" s="1">
        <v>23.36</v>
      </c>
      <c r="X26" s="1">
        <v>3.58421730718755E9</v>
      </c>
      <c r="Y26" s="1">
        <v>4.683955216544579E11</v>
      </c>
    </row>
    <row r="27">
      <c r="A27" s="1" t="s">
        <v>41</v>
      </c>
      <c r="B27" s="3" t="s">
        <v>43</v>
      </c>
      <c r="C27" s="1">
        <v>2001.0</v>
      </c>
      <c r="D27" s="3" t="s">
        <v>137</v>
      </c>
      <c r="E27" s="1">
        <v>8.391519928584883E11</v>
      </c>
      <c r="F27" s="1">
        <v>4.823966263973034</v>
      </c>
      <c r="G27" s="1">
        <v>778.5073775224986</v>
      </c>
      <c r="H27" s="1">
        <v>2.0907472024912314E11</v>
      </c>
      <c r="I27" s="1">
        <v>22.190225543500745</v>
      </c>
      <c r="J27" s="1">
        <v>4.18764922E8</v>
      </c>
      <c r="K27" s="1">
        <v>7.611</v>
      </c>
      <c r="L27" s="1">
        <v>15.307021283153091</v>
      </c>
      <c r="M27" s="1">
        <v>2.2703251937848563</v>
      </c>
      <c r="N27" s="1">
        <v>1.1193940884569563E11</v>
      </c>
      <c r="O27" s="1">
        <v>58.8908092207151</v>
      </c>
      <c r="P27" s="1">
        <v>16.7528345033409</v>
      </c>
      <c r="Q27" s="1">
        <v>24.356356017476</v>
      </c>
      <c r="R27" s="1">
        <v>25.993254753436517</v>
      </c>
      <c r="S27" s="1">
        <v>9.223132792318614E10</v>
      </c>
      <c r="T27" s="1">
        <v>1.0903225091096906E11</v>
      </c>
      <c r="U27" s="1">
        <v>6.096341557664468E10</v>
      </c>
      <c r="V27" s="1">
        <v>6.521827648213225E10</v>
      </c>
      <c r="W27" s="1">
        <v>26.51</v>
      </c>
      <c r="X27" s="1">
        <v>5.12809356162688E9</v>
      </c>
      <c r="Y27" s="1">
        <v>4.8544013920417053E11</v>
      </c>
    </row>
    <row r="28">
      <c r="A28" s="1" t="s">
        <v>41</v>
      </c>
      <c r="B28" s="3" t="s">
        <v>43</v>
      </c>
      <c r="C28" s="1">
        <v>2002.0</v>
      </c>
      <c r="D28" s="3" t="s">
        <v>139</v>
      </c>
      <c r="E28" s="1">
        <v>8.710731275741864E11</v>
      </c>
      <c r="F28" s="1">
        <v>3.803975321200383</v>
      </c>
      <c r="G28" s="1">
        <v>793.6159129010017</v>
      </c>
      <c r="H28" s="1">
        <v>2.075749136843497E11</v>
      </c>
      <c r="I28" s="1">
        <v>-0.7173543329324303</v>
      </c>
      <c r="J28" s="1">
        <v>4.27829074E8</v>
      </c>
      <c r="K28" s="1">
        <v>7.681</v>
      </c>
      <c r="L28" s="1">
        <v>15.55870172629556</v>
      </c>
      <c r="M28" s="1">
        <v>6.866763607650242</v>
      </c>
      <c r="N28" s="1">
        <v>1.1962602343493068E11</v>
      </c>
      <c r="O28" s="1">
        <v>58.2078564520654</v>
      </c>
      <c r="P28" s="1">
        <v>17.0567268841005</v>
      </c>
      <c r="Q28" s="1">
        <v>24.7354169170179</v>
      </c>
      <c r="R28" s="1">
        <v>29.5086629350614</v>
      </c>
      <c r="S28" s="1">
        <v>1.1167830601156667E11</v>
      </c>
      <c r="T28" s="1">
        <v>1.2211265311605037E11</v>
      </c>
      <c r="U28" s="1">
        <v>7.345289595163309E10</v>
      </c>
      <c r="V28" s="1">
        <v>7.849875928573134E10</v>
      </c>
      <c r="W28" s="1">
        <v>23.08</v>
      </c>
      <c r="X28" s="1">
        <v>5.20896710627894E9</v>
      </c>
      <c r="Y28" s="1">
        <v>5.149391403187556E11</v>
      </c>
    </row>
    <row r="29">
      <c r="A29" s="1" t="s">
        <v>41</v>
      </c>
      <c r="B29" s="3" t="s">
        <v>43</v>
      </c>
      <c r="C29" s="1">
        <v>2003.0</v>
      </c>
      <c r="D29" s="3" t="s">
        <v>142</v>
      </c>
      <c r="E29" s="1">
        <v>9.395427983316547E11</v>
      </c>
      <c r="F29" s="1">
        <v>7.860381475450453</v>
      </c>
      <c r="G29" s="1">
        <v>841.2788945624084</v>
      </c>
      <c r="H29" s="1">
        <v>2.1819445491432138E11</v>
      </c>
      <c r="I29" s="1">
        <v>5.116004165185558</v>
      </c>
      <c r="J29" s="1">
        <v>4.36753652E8</v>
      </c>
      <c r="K29" s="1">
        <v>7.633</v>
      </c>
      <c r="L29" s="1">
        <v>15.58738664864604</v>
      </c>
      <c r="M29" s="1">
        <v>6.336610322550911</v>
      </c>
      <c r="N29" s="1">
        <v>1.2720625838436566E11</v>
      </c>
      <c r="O29" s="1">
        <v>57.1646505429386</v>
      </c>
      <c r="P29" s="1">
        <v>17.6938066486046</v>
      </c>
      <c r="Q29" s="1">
        <v>25.1415353719471</v>
      </c>
      <c r="R29" s="1">
        <v>30.592436132907984</v>
      </c>
      <c r="S29" s="1">
        <v>1.2237956689716957E11</v>
      </c>
      <c r="T29" s="1">
        <v>1.3906667246007495E11</v>
      </c>
      <c r="U29" s="1">
        <v>9.083857524376205E10</v>
      </c>
      <c r="V29" s="1">
        <v>9.50718693785573E10</v>
      </c>
      <c r="W29" s="1">
        <v>21.45</v>
      </c>
      <c r="X29" s="1">
        <v>3.68198467143428E9</v>
      </c>
      <c r="Y29" s="1">
        <v>6.077006872373179E11</v>
      </c>
    </row>
    <row r="30">
      <c r="A30" s="1" t="s">
        <v>41</v>
      </c>
      <c r="B30" s="3" t="s">
        <v>43</v>
      </c>
      <c r="C30" s="1">
        <v>2004.0</v>
      </c>
      <c r="D30" s="3" t="s">
        <v>144</v>
      </c>
      <c r="E30" s="1">
        <v>1.0139821786962278E12</v>
      </c>
      <c r="F30" s="1">
        <v>7.922936613079784</v>
      </c>
      <c r="G30" s="1">
        <v>892.5966145807181</v>
      </c>
      <c r="H30" s="1">
        <v>2.431863863198393E11</v>
      </c>
      <c r="I30" s="1">
        <v>11.453971832295878</v>
      </c>
      <c r="J30" s="1">
        <v>4.45825854E8</v>
      </c>
      <c r="K30" s="1">
        <v>7.598</v>
      </c>
      <c r="L30" s="1">
        <v>15.827245740502713</v>
      </c>
      <c r="M30" s="1">
        <v>7.383253310659725</v>
      </c>
      <c r="N30" s="1">
        <v>1.365982186678957E11</v>
      </c>
      <c r="O30" s="1">
        <v>55.9994573237763</v>
      </c>
      <c r="P30" s="1">
        <v>18.4184794843161</v>
      </c>
      <c r="Q30" s="1">
        <v>25.5820631919076</v>
      </c>
      <c r="R30" s="1">
        <v>37.50381405944698</v>
      </c>
      <c r="S30" s="1">
        <v>1.556379419817607E11</v>
      </c>
      <c r="T30" s="1">
        <v>1.699328468566208E11</v>
      </c>
      <c r="U30" s="1">
        <v>1.266484720207521E11</v>
      </c>
      <c r="V30" s="1">
        <v>1.3931084879743585E11</v>
      </c>
      <c r="W30" s="1">
        <v>22.96</v>
      </c>
      <c r="X30" s="1">
        <v>5.42925098985717E9</v>
      </c>
      <c r="Y30" s="1">
        <v>7.091527288307745E11</v>
      </c>
    </row>
    <row r="31">
      <c r="A31" s="1" t="s">
        <v>41</v>
      </c>
      <c r="B31" s="3" t="s">
        <v>43</v>
      </c>
      <c r="C31" s="1">
        <v>2005.0</v>
      </c>
      <c r="D31" s="3" t="s">
        <v>146</v>
      </c>
      <c r="E31" s="1">
        <v>1.094324353137751E12</v>
      </c>
      <c r="F31" s="1">
        <v>7.923430621317891</v>
      </c>
      <c r="G31" s="1">
        <v>947.7325656442715</v>
      </c>
      <c r="H31" s="1">
        <v>2.831692240391331E11</v>
      </c>
      <c r="I31" s="1">
        <v>16.441231898034076</v>
      </c>
      <c r="J31" s="1">
        <v>4.54832471E8</v>
      </c>
      <c r="K31" s="1">
        <v>7.551</v>
      </c>
      <c r="L31" s="1">
        <v>15.973017044613139</v>
      </c>
      <c r="M31" s="1">
        <v>9.349088691146918</v>
      </c>
      <c r="N31" s="1">
        <v>1.4936890728168408E11</v>
      </c>
      <c r="O31" s="1">
        <v>55.0204533123109</v>
      </c>
      <c r="P31" s="1">
        <v>19.0012317655898</v>
      </c>
      <c r="Q31" s="1">
        <v>25.9783149220993</v>
      </c>
      <c r="R31" s="1">
        <v>42.00166961486911</v>
      </c>
      <c r="S31" s="1">
        <v>1.9623621498518198E11</v>
      </c>
      <c r="T31" s="1">
        <v>2.2476957310896857E11</v>
      </c>
      <c r="U31" s="1">
        <v>1.6083826068077817E11</v>
      </c>
      <c r="V31" s="1">
        <v>1.8373661724332825E11</v>
      </c>
      <c r="W31" s="1">
        <v>13.9</v>
      </c>
      <c r="X31" s="1">
        <v>7.26940722561438E9</v>
      </c>
      <c r="Y31" s="1">
        <v>8.203837635114454E11</v>
      </c>
    </row>
    <row r="32">
      <c r="A32" s="1" t="s">
        <v>41</v>
      </c>
      <c r="B32" s="3" t="s">
        <v>43</v>
      </c>
      <c r="C32" s="1">
        <v>2006.0</v>
      </c>
      <c r="D32" s="3" t="s">
        <v>149</v>
      </c>
      <c r="E32" s="1">
        <v>1.1825349127259507E12</v>
      </c>
      <c r="F32" s="1">
        <v>8.060732573050572</v>
      </c>
      <c r="G32" s="1">
        <v>1008.2327534481848</v>
      </c>
      <c r="H32" s="1">
        <v>3.224564371674222E11</v>
      </c>
      <c r="I32" s="1">
        <v>13.87411123564037</v>
      </c>
      <c r="J32" s="1">
        <v>4.5761146E8</v>
      </c>
      <c r="K32" s="1">
        <v>7.553</v>
      </c>
      <c r="L32" s="1">
        <v>17.303653331192518</v>
      </c>
      <c r="M32" s="1">
        <v>17.78779231797725</v>
      </c>
      <c r="N32" s="1">
        <v>1.7593833829658203E11</v>
      </c>
      <c r="O32" s="1">
        <v>54.2730178999296</v>
      </c>
      <c r="P32" s="1">
        <v>19.5238914291204</v>
      </c>
      <c r="Q32" s="1">
        <v>26.20309067095</v>
      </c>
      <c r="R32" s="1">
        <v>45.724480499265226</v>
      </c>
      <c r="S32" s="1">
        <v>2.3625624698608176E11</v>
      </c>
      <c r="T32" s="1">
        <v>2.731054701101124E11</v>
      </c>
      <c r="U32" s="1">
        <v>1.9997392236378305E11</v>
      </c>
      <c r="V32" s="1">
        <v>2.2995502712737158E11</v>
      </c>
      <c r="W32" s="1">
        <v>8.99</v>
      </c>
      <c r="X32" s="1">
        <v>2.00291192671396E10</v>
      </c>
      <c r="Y32" s="1">
        <v>9.402598887877214E11</v>
      </c>
    </row>
    <row r="33">
      <c r="A33" s="1" t="s">
        <v>41</v>
      </c>
      <c r="B33" s="3" t="s">
        <v>43</v>
      </c>
      <c r="C33" s="1">
        <v>2007.0</v>
      </c>
      <c r="D33" s="3" t="s">
        <v>151</v>
      </c>
      <c r="E33" s="1">
        <v>1.273126725470218E12</v>
      </c>
      <c r="F33" s="1">
        <v>7.660815065107656</v>
      </c>
      <c r="G33" s="1">
        <v>1069.246968122337</v>
      </c>
      <c r="H33" s="1">
        <v>3.751100219051532E11</v>
      </c>
      <c r="I33" s="1">
        <v>16.32889862589184</v>
      </c>
      <c r="J33" s="1">
        <v>4.60225575E8</v>
      </c>
      <c r="K33" s="1">
        <v>7.562</v>
      </c>
      <c r="L33" s="1">
        <v>16.864567775406833</v>
      </c>
      <c r="M33" s="1">
        <v>6.98058873129321</v>
      </c>
      <c r="N33" s="1">
        <v>1.8821987011373776E11</v>
      </c>
      <c r="O33" s="1">
        <v>53.3688684377217</v>
      </c>
      <c r="P33" s="1">
        <v>20.3219145451672</v>
      </c>
      <c r="Q33" s="1">
        <v>26.309209260168</v>
      </c>
      <c r="R33" s="1">
        <v>45.686268679347975</v>
      </c>
      <c r="S33" s="1">
        <v>2.5011631197458334E11</v>
      </c>
      <c r="T33" s="1">
        <v>3.002837991344896E11</v>
      </c>
      <c r="U33" s="1">
        <v>2.5307752601316815E11</v>
      </c>
      <c r="V33" s="1">
        <v>3.0280395255249994E11</v>
      </c>
      <c r="W33" s="1">
        <v>11.99</v>
      </c>
      <c r="X33" s="1">
        <v>2.52277408866819E10</v>
      </c>
      <c r="Y33" s="1">
        <v>1.2167364388349553E12</v>
      </c>
    </row>
    <row r="34">
      <c r="A34" s="1" t="s">
        <v>41</v>
      </c>
      <c r="B34" s="3" t="s">
        <v>43</v>
      </c>
      <c r="C34" s="1">
        <v>2008.0</v>
      </c>
      <c r="D34" s="3" t="s">
        <v>153</v>
      </c>
      <c r="E34" s="1">
        <v>1.3124243034002935E12</v>
      </c>
      <c r="F34" s="1">
        <v>3.0866980595008187</v>
      </c>
      <c r="G34" s="1">
        <v>1086.506052510045</v>
      </c>
      <c r="H34" s="1">
        <v>3.871110671484847E11</v>
      </c>
      <c r="I34" s="1">
        <v>3.199340071581986</v>
      </c>
      <c r="J34" s="1">
        <v>4.62536166E8</v>
      </c>
      <c r="K34" s="1">
        <v>7.629</v>
      </c>
      <c r="L34" s="1">
        <v>17.09867414895781</v>
      </c>
      <c r="M34" s="1">
        <v>4.663615482395016</v>
      </c>
      <c r="N34" s="1">
        <v>1.9699772111730585E11</v>
      </c>
      <c r="O34" s="1">
        <v>52.8791883959001</v>
      </c>
      <c r="P34" s="1">
        <v>20.751447752882</v>
      </c>
      <c r="Q34" s="1">
        <v>26.3693638512179</v>
      </c>
      <c r="R34" s="1">
        <v>53.368220439222625</v>
      </c>
      <c r="S34" s="1">
        <v>2.8707883854355023E11</v>
      </c>
      <c r="T34" s="1">
        <v>3.676933855084451E11</v>
      </c>
      <c r="U34" s="1">
        <v>2.8890204482069763E11</v>
      </c>
      <c r="V34" s="1">
        <v>3.509269557991058E11</v>
      </c>
      <c r="W34" s="1">
        <v>5.98</v>
      </c>
      <c r="X34" s="1">
        <v>4.34062770758108E10</v>
      </c>
      <c r="Y34" s="1">
        <v>1.198895139005919E12</v>
      </c>
    </row>
    <row r="35">
      <c r="A35" s="1" t="s">
        <v>41</v>
      </c>
      <c r="B35" s="3" t="s">
        <v>43</v>
      </c>
      <c r="C35" s="1">
        <v>2009.0</v>
      </c>
      <c r="D35" s="3" t="s">
        <v>155</v>
      </c>
      <c r="E35" s="1">
        <v>1.4156056431513428E12</v>
      </c>
      <c r="F35" s="1">
        <v>7.861888833033802</v>
      </c>
      <c r="G35" s="1">
        <v>1155.10163273817</v>
      </c>
      <c r="H35" s="1">
        <v>4.168291182603156E11</v>
      </c>
      <c r="I35" s="1">
        <v>7.6768797468742775</v>
      </c>
      <c r="J35" s="1">
        <v>4.64953334E8</v>
      </c>
      <c r="K35" s="1">
        <v>7.636</v>
      </c>
      <c r="L35" s="1">
        <v>17.143577667284617</v>
      </c>
      <c r="M35" s="1">
        <v>10.967629778823465</v>
      </c>
      <c r="N35" s="1">
        <v>2.1860370184217108E11</v>
      </c>
      <c r="O35" s="1">
        <v>51.9444266180638</v>
      </c>
      <c r="P35" s="1">
        <v>21.5635579497653</v>
      </c>
      <c r="Q35" s="1">
        <v>26.4920231164018</v>
      </c>
      <c r="R35" s="1">
        <v>46.272869642883734</v>
      </c>
      <c r="S35" s="1">
        <v>2.732008005450488E11</v>
      </c>
      <c r="T35" s="1">
        <v>3.60612286798895E11</v>
      </c>
      <c r="U35" s="1">
        <v>2.737521248892107E11</v>
      </c>
      <c r="V35" s="1">
        <v>3.471779679683161E11</v>
      </c>
      <c r="W35" s="1">
        <v>6.84</v>
      </c>
      <c r="X35" s="1">
        <v>3.55813729296641E10</v>
      </c>
      <c r="Y35" s="1">
        <v>1.3418880169948982E12</v>
      </c>
    </row>
    <row r="36">
      <c r="A36" s="1" t="s">
        <v>41</v>
      </c>
      <c r="B36" s="3" t="s">
        <v>43</v>
      </c>
      <c r="C36" s="1">
        <v>2010.0</v>
      </c>
      <c r="D36" s="3" t="s">
        <v>157</v>
      </c>
      <c r="E36" s="1">
        <v>1.5358979317195537E12</v>
      </c>
      <c r="F36" s="1">
        <v>8.497584701656251</v>
      </c>
      <c r="G36" s="1">
        <v>1235.1593913293866</v>
      </c>
      <c r="H36" s="1">
        <v>4.628726707344661E11</v>
      </c>
      <c r="I36" s="1">
        <v>11.046145880191531</v>
      </c>
      <c r="J36" s="1">
        <v>4.67561989E8</v>
      </c>
      <c r="K36" s="1">
        <v>7.631</v>
      </c>
      <c r="L36" s="1">
        <v>17.029934249862396</v>
      </c>
      <c r="M36" s="1">
        <v>7.695106464358645</v>
      </c>
      <c r="N36" s="1">
        <v>2.354254894339553E11</v>
      </c>
      <c r="O36" s="1">
        <v>51.056070239905</v>
      </c>
      <c r="P36" s="1">
        <v>22.3778888372942</v>
      </c>
      <c r="Q36" s="1">
        <v>26.5660351341417</v>
      </c>
      <c r="R36" s="1">
        <v>49.25520649741613</v>
      </c>
      <c r="S36" s="1">
        <v>3.264152225468512E11</v>
      </c>
      <c r="T36" s="1">
        <v>4.176319101967377E11</v>
      </c>
      <c r="U36" s="1">
        <v>3.753535140262667E11</v>
      </c>
      <c r="V36" s="1">
        <v>4.499743701988019E11</v>
      </c>
      <c r="W36" s="1">
        <v>6.1</v>
      </c>
      <c r="X36" s="1">
        <v>2.73968850337838E10</v>
      </c>
      <c r="Y36" s="1">
        <v>1.675615519484959E12</v>
      </c>
    </row>
    <row r="37">
      <c r="A37" s="1" t="s">
        <v>41</v>
      </c>
      <c r="B37" s="3" t="s">
        <v>43</v>
      </c>
      <c r="C37" s="1">
        <v>2011.0</v>
      </c>
      <c r="D37" s="3" t="s">
        <v>159</v>
      </c>
      <c r="E37" s="1">
        <v>1.6163991988339668E12</v>
      </c>
      <c r="F37" s="1">
        <v>5.2413162002429345</v>
      </c>
      <c r="G37" s="1">
        <v>1281.610543549368</v>
      </c>
      <c r="H37" s="1">
        <v>5.188476321989339E11</v>
      </c>
      <c r="I37" s="1">
        <v>12.09295017907391</v>
      </c>
      <c r="J37" s="1">
        <v>4.71891929E8</v>
      </c>
      <c r="K37" s="1">
        <v>7.609</v>
      </c>
      <c r="L37" s="1">
        <v>16.139337444628858</v>
      </c>
      <c r="M37" s="1">
        <v>3.1250562390001875</v>
      </c>
      <c r="N37" s="1">
        <v>2.4278266837970786E11</v>
      </c>
      <c r="O37" s="1">
        <v>49.0753059155876</v>
      </c>
      <c r="P37" s="1">
        <v>23.5473821255696</v>
      </c>
      <c r="Q37" s="1">
        <v>27.3773195279181</v>
      </c>
      <c r="R37" s="1">
        <v>55.62388001352977</v>
      </c>
      <c r="S37" s="1">
        <v>3.7698667243683746E11</v>
      </c>
      <c r="T37" s="1">
        <v>5.0287781593263135E11</v>
      </c>
      <c r="U37" s="1">
        <v>4.473844176250927E11</v>
      </c>
      <c r="V37" s="1">
        <v>5.666677448199084E11</v>
      </c>
      <c r="W37" s="1">
        <v>7.33</v>
      </c>
      <c r="X37" s="1">
        <v>3.64986545978589E10</v>
      </c>
      <c r="Y37" s="1">
        <v>1.8230518298945461E12</v>
      </c>
    </row>
    <row r="38">
      <c r="A38" s="1" t="s">
        <v>41</v>
      </c>
      <c r="B38" s="3" t="s">
        <v>43</v>
      </c>
      <c r="C38" s="1">
        <v>2012.0</v>
      </c>
      <c r="D38" s="3" t="s">
        <v>161</v>
      </c>
      <c r="E38" s="1">
        <v>1.7045962035040764E12</v>
      </c>
      <c r="F38" s="1">
        <v>5.4563875516477225</v>
      </c>
      <c r="G38" s="1">
        <v>1333.0962655764886</v>
      </c>
      <c r="H38" s="1">
        <v>5.444739147577465E11</v>
      </c>
      <c r="I38" s="1">
        <v>4.939076709323231</v>
      </c>
      <c r="J38" s="1">
        <v>4.76101422E8</v>
      </c>
      <c r="K38" s="1">
        <v>7.645</v>
      </c>
      <c r="L38" s="1">
        <v>15.816923007106634</v>
      </c>
      <c r="M38" s="1">
        <v>5.453083306863533</v>
      </c>
      <c r="N38" s="1">
        <v>2.5602180954107962E11</v>
      </c>
      <c r="O38" s="1">
        <v>47.0881544623322</v>
      </c>
      <c r="P38" s="1">
        <v>24.6920379635984</v>
      </c>
      <c r="Q38" s="1">
        <v>28.2198150791246</v>
      </c>
      <c r="R38" s="1">
        <v>55.793721728751144</v>
      </c>
      <c r="S38" s="1">
        <v>4.0264245820065753E11</v>
      </c>
      <c r="T38" s="1">
        <v>5.3316009534188763E11</v>
      </c>
      <c r="U38" s="1">
        <v>4.4840047736125354E11</v>
      </c>
      <c r="V38" s="1">
        <v>5.713065540423856E11</v>
      </c>
      <c r="W38" s="1">
        <v>6.32</v>
      </c>
      <c r="X38" s="1">
        <v>2.39956850142141E10</v>
      </c>
      <c r="Y38" s="1">
        <v>1.8276375904104143E12</v>
      </c>
    </row>
    <row r="39">
      <c r="A39" s="1" t="s">
        <v>41</v>
      </c>
      <c r="B39" s="3" t="s">
        <v>43</v>
      </c>
      <c r="C39" s="1">
        <v>2013.0</v>
      </c>
      <c r="D39" s="3" t="s">
        <v>163</v>
      </c>
      <c r="E39" s="1">
        <v>1.8134535307658406E12</v>
      </c>
      <c r="F39" s="1">
        <v>6.386106400917129</v>
      </c>
      <c r="G39" s="1">
        <v>1399.4537980280961</v>
      </c>
      <c r="H39" s="1">
        <v>5.529775286271702E11</v>
      </c>
      <c r="I39" s="1">
        <v>1.5618037226277721</v>
      </c>
      <c r="J39" s="1">
        <v>4.8446683E8</v>
      </c>
      <c r="K39" s="1">
        <v>7.678</v>
      </c>
      <c r="L39" s="1">
        <v>15.253022692585985</v>
      </c>
      <c r="M39" s="1">
        <v>4.965847439565962</v>
      </c>
      <c r="N39" s="1">
        <v>2.6873546201490576E11</v>
      </c>
      <c r="O39" s="1">
        <v>46.2418839816327</v>
      </c>
      <c r="P39" s="1">
        <v>24.7546738405335</v>
      </c>
      <c r="Q39" s="1">
        <v>29.0034439664578</v>
      </c>
      <c r="R39" s="1">
        <v>53.844131946677734</v>
      </c>
      <c r="S39" s="1">
        <v>4.340179257814659E11</v>
      </c>
      <c r="T39" s="1">
        <v>4.8972993521933954E11</v>
      </c>
      <c r="U39" s="1">
        <v>4.7218027134014923E11</v>
      </c>
      <c r="V39" s="1">
        <v>5.275553071059563E11</v>
      </c>
      <c r="W39" s="1">
        <v>6.34</v>
      </c>
      <c r="X39" s="1">
        <v>2.81530312703202E10</v>
      </c>
      <c r="Y39" s="1">
        <v>1.8567215076215764E12</v>
      </c>
    </row>
    <row r="40">
      <c r="A40" s="1" t="s">
        <v>41</v>
      </c>
      <c r="B40" s="3" t="s">
        <v>43</v>
      </c>
      <c r="C40" s="1">
        <v>2014.0</v>
      </c>
      <c r="D40" s="3" t="s">
        <v>166</v>
      </c>
      <c r="E40" s="1">
        <v>1.9478345649095762E12</v>
      </c>
      <c r="F40" s="1">
        <v>7.410227605169766</v>
      </c>
      <c r="G40" s="1">
        <v>1484.3164068296119</v>
      </c>
      <c r="H40" s="1">
        <v>5.673729019894071E11</v>
      </c>
      <c r="I40" s="1">
        <v>2.6032474408092128</v>
      </c>
      <c r="J40" s="1">
        <v>4.92680645E8</v>
      </c>
      <c r="K40" s="1">
        <v>7.656</v>
      </c>
      <c r="L40" s="1">
        <v>15.065570110758902</v>
      </c>
      <c r="M40" s="1">
        <v>7.895669766297743</v>
      </c>
      <c r="N40" s="1">
        <v>2.8995392664053723E11</v>
      </c>
      <c r="O40" s="1">
        <v>45.2547111152237</v>
      </c>
      <c r="P40" s="1">
        <v>24.8960152022282</v>
      </c>
      <c r="Q40" s="1">
        <v>29.8492736825481</v>
      </c>
      <c r="R40" s="1">
        <v>48.922185747066905</v>
      </c>
      <c r="S40" s="1">
        <v>4.4173298821241595E11</v>
      </c>
      <c r="T40" s="1">
        <v>4.939966130764156E11</v>
      </c>
      <c r="U40" s="1">
        <v>4.683458154209329E11</v>
      </c>
      <c r="V40" s="1">
        <v>5.292394283286653E11</v>
      </c>
      <c r="W40" s="1" t="s">
        <v>48</v>
      </c>
      <c r="X40" s="1">
        <v>3.45766436941382E10</v>
      </c>
      <c r="Y40" s="1">
        <v>2.0391264791545168E12</v>
      </c>
    </row>
    <row r="41">
      <c r="A41" s="1" t="s">
        <v>41</v>
      </c>
      <c r="B41" s="3" t="s">
        <v>43</v>
      </c>
      <c r="C41" s="1">
        <v>2015.0</v>
      </c>
      <c r="D41" s="3" t="s">
        <v>168</v>
      </c>
      <c r="E41" s="1">
        <v>2.1035883600449392E12</v>
      </c>
      <c r="F41" s="1">
        <v>7.996253785679869</v>
      </c>
      <c r="G41" s="1">
        <v>1583.998159079848</v>
      </c>
      <c r="H41" s="1">
        <v>6.044270753669364E11</v>
      </c>
      <c r="I41" s="1">
        <v>6.530832411559388</v>
      </c>
      <c r="J41" s="1">
        <v>5.00640619E8</v>
      </c>
      <c r="K41" s="1">
        <v>7.629</v>
      </c>
      <c r="L41" s="1">
        <v>15.583854586371334</v>
      </c>
      <c r="M41" s="1">
        <v>13.059393581395867</v>
      </c>
      <c r="N41" s="1">
        <v>3.278201511252368E11</v>
      </c>
      <c r="O41" s="1">
        <v>44.2796936892031</v>
      </c>
      <c r="P41" s="1">
        <v>24.9480704919335</v>
      </c>
      <c r="Q41" s="1">
        <v>30.7722358188634</v>
      </c>
      <c r="R41" s="1">
        <v>41.92291386586472</v>
      </c>
      <c r="S41" s="1">
        <v>4.167879408478122E11</v>
      </c>
      <c r="T41" s="1">
        <v>4.650975954261839E11</v>
      </c>
      <c r="U41" s="1">
        <v>4.167879408478122E11</v>
      </c>
      <c r="V41" s="1">
        <v>4.650975954261839E11</v>
      </c>
      <c r="W41" s="1">
        <v>7.32</v>
      </c>
      <c r="X41" s="1">
        <v>4.40094921295319E10</v>
      </c>
      <c r="Y41" s="1">
        <v>2.1035883600449392E12</v>
      </c>
    </row>
    <row r="42">
      <c r="A42" s="1" t="s">
        <v>41</v>
      </c>
      <c r="B42" s="3" t="s">
        <v>43</v>
      </c>
      <c r="C42" s="1">
        <v>2016.0</v>
      </c>
      <c r="D42" s="3" t="s">
        <v>170</v>
      </c>
      <c r="E42" s="1">
        <v>2.2772670415498516E12</v>
      </c>
      <c r="F42" s="1">
        <v>8.256305501766619</v>
      </c>
      <c r="G42" s="1">
        <v>1694.465349737867</v>
      </c>
      <c r="H42" s="1">
        <v>6.555522380644639E11</v>
      </c>
      <c r="I42" s="1">
        <v>8.458450122620718</v>
      </c>
      <c r="J42" s="1">
        <v>5.08681288E8</v>
      </c>
      <c r="K42" s="1">
        <v>7.611</v>
      </c>
      <c r="L42" s="1">
        <v>15.162237133252901</v>
      </c>
      <c r="M42" s="1">
        <v>7.9268214208403975</v>
      </c>
      <c r="N42" s="1">
        <v>3.5380586908646344E11</v>
      </c>
      <c r="O42" s="1">
        <v>43.2048505926307</v>
      </c>
      <c r="P42" s="1">
        <v>25.1894783758453</v>
      </c>
      <c r="Q42" s="1">
        <v>31.6056633714195</v>
      </c>
      <c r="R42" s="1">
        <v>40.08248571327602</v>
      </c>
      <c r="S42" s="1">
        <v>4.375617255527108E11</v>
      </c>
      <c r="T42" s="1">
        <v>4.8547767860636224E11</v>
      </c>
      <c r="U42" s="1">
        <v>4.3964257807635834E11</v>
      </c>
      <c r="V42" s="1">
        <v>4.801690557682821E11</v>
      </c>
      <c r="W42" s="1">
        <v>6.35</v>
      </c>
      <c r="X42" s="1">
        <v>4.4458571545798E10</v>
      </c>
      <c r="Y42" s="1">
        <v>2.294796885663163E12</v>
      </c>
    </row>
    <row r="43">
      <c r="A43" s="1" t="s">
        <v>41</v>
      </c>
      <c r="B43" s="3" t="s">
        <v>43</v>
      </c>
      <c r="C43" s="1">
        <v>2017.0</v>
      </c>
      <c r="D43" s="3" t="s">
        <v>173</v>
      </c>
      <c r="E43" s="1">
        <v>2.4320160684982334E12</v>
      </c>
      <c r="F43" s="1">
        <v>6.795383419024219</v>
      </c>
      <c r="G43" s="1">
        <v>1788.697703184812</v>
      </c>
      <c r="H43" s="1">
        <v>7.06699366177944E11</v>
      </c>
      <c r="I43" s="1">
        <v>7.80214377186681</v>
      </c>
      <c r="J43" s="1">
        <v>5.16713963E8</v>
      </c>
      <c r="K43" s="1">
        <v>7.626</v>
      </c>
      <c r="L43" s="1">
        <v>15.018238750171792</v>
      </c>
      <c r="M43" s="1">
        <v>7.527063602912193</v>
      </c>
      <c r="N43" s="1">
        <v>3.804370618834378E11</v>
      </c>
      <c r="O43" s="1">
        <v>42.2671064682124</v>
      </c>
      <c r="P43" s="1">
        <v>25.2657227336051</v>
      </c>
      <c r="Q43" s="1">
        <v>32.4671651415297</v>
      </c>
      <c r="R43" s="1">
        <v>40.74249695452253</v>
      </c>
      <c r="S43" s="1">
        <v>4.5753513960776917E11</v>
      </c>
      <c r="T43" s="1">
        <v>5.700478095114996E11</v>
      </c>
      <c r="U43" s="1">
        <v>4.98258808231521E11</v>
      </c>
      <c r="V43" s="1">
        <v>5.820180125215677E11</v>
      </c>
      <c r="W43" s="1">
        <v>5.78</v>
      </c>
      <c r="X43" s="1">
        <v>3.99660913587384E10</v>
      </c>
      <c r="Y43" s="1">
        <v>2.651474262755452E12</v>
      </c>
    </row>
    <row r="44">
      <c r="A44" s="1" t="s">
        <v>41</v>
      </c>
      <c r="B44" s="3" t="s">
        <v>43</v>
      </c>
      <c r="C44" s="1">
        <v>2018.0</v>
      </c>
      <c r="D44" s="3" t="s">
        <v>175</v>
      </c>
      <c r="E44" s="1">
        <v>2.5889747702444785E12</v>
      </c>
      <c r="F44" s="1">
        <v>6.453851344952952</v>
      </c>
      <c r="G44" s="1">
        <v>1883.3577270505514</v>
      </c>
      <c r="H44" s="1">
        <v>7.858713808217848E11</v>
      </c>
      <c r="I44" s="1">
        <v>11.203068579504787</v>
      </c>
      <c r="J44" s="1">
        <v>5.24292869E8</v>
      </c>
      <c r="K44" s="1">
        <v>7.652</v>
      </c>
      <c r="L44" s="1">
        <v>14.881530667301684</v>
      </c>
      <c r="M44" s="1">
        <v>5.411556885037157</v>
      </c>
      <c r="N44" s="1">
        <v>4.0102462989902405E11</v>
      </c>
      <c r="O44" s="1">
        <v>41.2949989249141</v>
      </c>
      <c r="P44" s="1">
        <v>25.3658737784355</v>
      </c>
      <c r="Q44" s="1">
        <v>33.3391272966505</v>
      </c>
      <c r="R44" s="1">
        <v>43.61696933238889</v>
      </c>
      <c r="S44" s="1">
        <v>5.1212764108662427E11</v>
      </c>
      <c r="T44" s="1">
        <v>6.203413990862346E11</v>
      </c>
      <c r="U44" s="1">
        <v>5.386351861354382E11</v>
      </c>
      <c r="V44" s="1">
        <v>6.403008067385419E11</v>
      </c>
      <c r="W44" s="1">
        <v>4.88</v>
      </c>
      <c r="X44" s="1">
        <v>4.21174507372644E10</v>
      </c>
      <c r="Y44" s="1">
        <v>2.7029296416487407E12</v>
      </c>
    </row>
    <row r="45">
      <c r="A45" s="1" t="s">
        <v>41</v>
      </c>
      <c r="B45" s="3" t="s">
        <v>43</v>
      </c>
      <c r="C45" s="1">
        <v>2019.0</v>
      </c>
      <c r="D45" s="3" t="s">
        <v>178</v>
      </c>
      <c r="E45" s="1">
        <v>2.6892052958852617E12</v>
      </c>
      <c r="F45" s="1">
        <v>3.8714369407052374</v>
      </c>
      <c r="G45" s="1">
        <v>1936.030677410632</v>
      </c>
      <c r="H45" s="1">
        <v>7.948836090435411E11</v>
      </c>
      <c r="I45" s="1">
        <v>1.1467815779641057</v>
      </c>
      <c r="J45" s="1">
        <v>5.31373378E8</v>
      </c>
      <c r="K45" s="1">
        <v>6.51</v>
      </c>
      <c r="L45" s="1">
        <v>13.455807563339416</v>
      </c>
      <c r="M45" s="1">
        <v>-2.974962942083849</v>
      </c>
      <c r="N45" s="1">
        <v>3.890942957708992E11</v>
      </c>
      <c r="O45" s="1">
        <v>40.6518149993227</v>
      </c>
      <c r="P45" s="1">
        <v>25.251113046721</v>
      </c>
      <c r="Q45" s="1">
        <v>34.0970739669082</v>
      </c>
      <c r="R45" s="1">
        <v>39.90540353064419</v>
      </c>
      <c r="S45" s="1">
        <v>4.947922322723747E11</v>
      </c>
      <c r="T45" s="1">
        <v>6.151370059535962E11</v>
      </c>
      <c r="U45" s="1">
        <v>5.292450631672154E11</v>
      </c>
      <c r="V45" s="1">
        <v>6.023150560525262E11</v>
      </c>
      <c r="W45" s="1">
        <v>6.59</v>
      </c>
      <c r="X45" s="1">
        <v>5.06106473535911E10</v>
      </c>
      <c r="Y45" s="1">
        <v>2.835606256558195E12</v>
      </c>
    </row>
    <row r="46">
      <c r="A46" s="1" t="s">
        <v>41</v>
      </c>
      <c r="B46" s="3" t="s">
        <v>43</v>
      </c>
      <c r="C46" s="1">
        <v>2020.0</v>
      </c>
      <c r="D46" s="3" t="s">
        <v>180</v>
      </c>
      <c r="E46" s="1">
        <v>2.533830417086361E12</v>
      </c>
      <c r="F46" s="1">
        <v>-5.77772470687303</v>
      </c>
      <c r="G46" s="1">
        <v>1806.5011058386517</v>
      </c>
      <c r="H46" s="1">
        <v>7.38477753555943E11</v>
      </c>
      <c r="I46" s="1">
        <v>-7.096115059595903</v>
      </c>
      <c r="J46" s="1">
        <v>5.32528354E8</v>
      </c>
      <c r="K46" s="1">
        <v>7.859</v>
      </c>
      <c r="L46" s="1">
        <v>14.120485357692278</v>
      </c>
      <c r="M46" s="1">
        <v>3.0736109935103286</v>
      </c>
      <c r="N46" s="1">
        <v>4.0105354082083514E11</v>
      </c>
      <c r="O46" s="1">
        <v>44.6754951957099</v>
      </c>
      <c r="P46" s="1">
        <v>23.7036475318516</v>
      </c>
      <c r="Q46" s="1">
        <v>31.6208572724385</v>
      </c>
      <c r="R46" s="1">
        <v>37.75810532927675</v>
      </c>
      <c r="S46" s="1">
        <v>4.603733056113498E11</v>
      </c>
      <c r="T46" s="1">
        <v>5.374904152967119E11</v>
      </c>
      <c r="U46" s="1">
        <v>4.997285290726291E11</v>
      </c>
      <c r="V46" s="1">
        <v>5.102447473721738E11</v>
      </c>
      <c r="W46" s="1">
        <v>6.19</v>
      </c>
      <c r="X46" s="1">
        <v>6.43623649943754E10</v>
      </c>
      <c r="Y46" s="1">
        <v>2.6748515785872686E12</v>
      </c>
    </row>
    <row r="47">
      <c r="A47" s="1" t="s">
        <v>41</v>
      </c>
      <c r="B47" s="3" t="s">
        <v>43</v>
      </c>
      <c r="C47" s="1">
        <v>2021.0</v>
      </c>
      <c r="D47" s="3" t="s">
        <v>183</v>
      </c>
      <c r="E47" s="1">
        <v>2.7793482589382803E12</v>
      </c>
      <c r="F47" s="1">
        <v>9.68959249191741</v>
      </c>
      <c r="G47" s="1">
        <v>1965.3094343747164</v>
      </c>
      <c r="H47" s="1">
        <v>8.678687064721224E11</v>
      </c>
      <c r="I47" s="1">
        <v>17.521306808923057</v>
      </c>
      <c r="J47" s="1">
        <v>5.50352877E8</v>
      </c>
      <c r="K47" s="1">
        <v>6.38</v>
      </c>
      <c r="L47" s="1">
        <v>14.377028853128614</v>
      </c>
      <c r="M47" s="1">
        <v>9.955219671749589</v>
      </c>
      <c r="N47" s="1">
        <v>4.409793018108792E11</v>
      </c>
      <c r="O47" s="1">
        <v>44.0791868866382</v>
      </c>
      <c r="P47" s="1">
        <v>24.4704786231875</v>
      </c>
      <c r="Q47" s="1">
        <v>31.4503271149612</v>
      </c>
      <c r="R47" s="1">
        <v>45.423088784044594</v>
      </c>
      <c r="S47" s="1">
        <v>5.966405561552743E11</v>
      </c>
      <c r="T47" s="1">
        <v>6.562458183436956E11</v>
      </c>
      <c r="U47" s="1">
        <v>6.777692554285521E11</v>
      </c>
      <c r="V47" s="1">
        <v>7.609028918060132E11</v>
      </c>
      <c r="W47" s="1">
        <v>5.87</v>
      </c>
      <c r="X47" s="1">
        <v>4.4727277562881E10</v>
      </c>
      <c r="Y47" s="1">
        <v>3.1672706232604688E12</v>
      </c>
    </row>
    <row r="48">
      <c r="A48" s="1" t="s">
        <v>41</v>
      </c>
      <c r="B48" s="3" t="s">
        <v>43</v>
      </c>
      <c r="C48" s="1">
        <v>2022.0</v>
      </c>
      <c r="D48" s="3" t="s">
        <v>185</v>
      </c>
      <c r="E48" s="1">
        <v>2.9908390119620557E12</v>
      </c>
      <c r="F48" s="1">
        <v>7.609364977693204</v>
      </c>
      <c r="G48" s="1">
        <v>2098.2112447612194</v>
      </c>
      <c r="H48" s="1">
        <v>9.411614530674916E11</v>
      </c>
      <c r="I48" s="1">
        <v>8.445142225867713</v>
      </c>
      <c r="J48" s="1">
        <v>5.69155867E8</v>
      </c>
      <c r="K48" s="1">
        <v>4.822</v>
      </c>
      <c r="L48" s="1">
        <v>13.33272026239736</v>
      </c>
      <c r="M48" s="1">
        <v>-1.744196563454409</v>
      </c>
      <c r="N48" s="1">
        <v>4.332877559831486E11</v>
      </c>
      <c r="O48" s="1">
        <v>42.8609991503088</v>
      </c>
      <c r="P48" s="1">
        <v>26.1203341573875</v>
      </c>
      <c r="Q48" s="1">
        <v>31.0186666923037</v>
      </c>
      <c r="R48" s="1">
        <v>50.69793827580423</v>
      </c>
      <c r="S48" s="1">
        <v>6.582198774918701E11</v>
      </c>
      <c r="T48" s="1">
        <v>7.147868687754751E11</v>
      </c>
      <c r="U48" s="1">
        <v>7.812907915638265E11</v>
      </c>
      <c r="V48" s="1">
        <v>8.663610191187661E11</v>
      </c>
      <c r="W48" s="1">
        <v>4.59</v>
      </c>
      <c r="X48" s="1">
        <v>4.99402584042659E10</v>
      </c>
      <c r="Y48" s="1">
        <v>3.249938492013471E12</v>
      </c>
    </row>
    <row r="49">
      <c r="A49" s="1" t="s">
        <v>41</v>
      </c>
      <c r="B49" s="3" t="s">
        <v>43</v>
      </c>
      <c r="C49" s="1">
        <v>2023.0</v>
      </c>
      <c r="D49" s="3" t="s">
        <v>187</v>
      </c>
      <c r="E49" s="1">
        <v>3.2064852230263037E12</v>
      </c>
      <c r="F49" s="1">
        <v>7.210224629335002</v>
      </c>
      <c r="G49" s="1">
        <v>2229.71491223037</v>
      </c>
      <c r="H49" s="1">
        <v>1.0094232538958359E12</v>
      </c>
      <c r="I49" s="1">
        <v>7.252932066635466</v>
      </c>
      <c r="J49" s="1">
        <v>5.89486854E8</v>
      </c>
      <c r="K49" s="1">
        <v>4.172</v>
      </c>
      <c r="L49" s="1">
        <v>13.312843875072023</v>
      </c>
      <c r="M49" s="1">
        <v>12.707025648704672</v>
      </c>
      <c r="N49" s="1">
        <v>4.883457422686242E11</v>
      </c>
      <c r="O49" s="1">
        <v>43.5135811245793</v>
      </c>
      <c r="P49" s="1">
        <v>25.0292115986201</v>
      </c>
      <c r="Q49" s="1">
        <v>31.4572072768006</v>
      </c>
      <c r="R49" s="1">
        <v>46.32295205823384</v>
      </c>
      <c r="S49" s="1">
        <v>6.628869438368287E11</v>
      </c>
      <c r="T49" s="1">
        <v>7.074068521916595E11</v>
      </c>
      <c r="U49" s="1">
        <v>7.826206101920507E11</v>
      </c>
      <c r="V49" s="1">
        <v>8.391024119873408E11</v>
      </c>
      <c r="W49" s="1" t="s">
        <v>48</v>
      </c>
      <c r="X49" s="1">
        <v>2.80861935303979E10</v>
      </c>
      <c r="Y49" s="1">
        <v>3.500906030644764E12</v>
      </c>
    </row>
    <row r="50">
      <c r="A50" s="1" t="s">
        <v>41</v>
      </c>
      <c r="B50" s="3" t="s">
        <v>43</v>
      </c>
      <c r="C50" s="1">
        <v>2024.0</v>
      </c>
      <c r="D50" s="3" t="s">
        <v>189</v>
      </c>
      <c r="E50" s="1">
        <v>3.434122552914774E12</v>
      </c>
      <c r="F50" s="1">
        <v>7.099278931765184</v>
      </c>
      <c r="G50" s="1">
        <v>2366.832891032305</v>
      </c>
      <c r="H50" s="1">
        <v>1.074125919425715E12</v>
      </c>
      <c r="I50" s="1">
        <v>6.4098647698238835</v>
      </c>
      <c r="J50" s="1">
        <v>6.08500805E8</v>
      </c>
      <c r="K50" s="1">
        <v>4.173</v>
      </c>
      <c r="L50" s="1">
        <v>13.139219949132599</v>
      </c>
      <c r="M50" s="1">
        <v>9.289033655985563</v>
      </c>
      <c r="N50" s="1">
        <v>5.3370834262552924E11</v>
      </c>
      <c r="O50" s="1">
        <v>42.3547738876441</v>
      </c>
      <c r="P50" s="1">
        <v>25.3709259711612</v>
      </c>
      <c r="Q50" s="1">
        <v>32.2743097449178</v>
      </c>
      <c r="R50" s="1">
        <v>45.91669076787482</v>
      </c>
      <c r="S50" s="1">
        <v>7.063671214912843E11</v>
      </c>
      <c r="T50" s="1">
        <v>7.44951456636972E11</v>
      </c>
      <c r="U50" s="1">
        <v>8.29785193474459E11</v>
      </c>
      <c r="V50" s="1">
        <v>8.970558981320004E11</v>
      </c>
      <c r="W50" s="1" t="s">
        <v>48</v>
      </c>
      <c r="X50" s="1">
        <v>2.71398533781402E10</v>
      </c>
      <c r="Y50" s="1">
        <v>3.7608134705008564E12</v>
      </c>
    </row>
    <row r="51">
      <c r="A51" s="1" t="s">
        <v>41</v>
      </c>
      <c r="B51" s="3" t="s">
        <v>43</v>
      </c>
      <c r="C51" s="1">
        <v>2025.0</v>
      </c>
      <c r="D51" s="3" t="s">
        <v>191</v>
      </c>
      <c r="E51" s="1">
        <v>3.6939709920455615E12</v>
      </c>
      <c r="F51" s="1">
        <v>7.566661792842439</v>
      </c>
      <c r="G51" s="1">
        <v>2523.4360185137643</v>
      </c>
      <c r="H51" s="1">
        <v>1.1502040507933862E12</v>
      </c>
      <c r="I51" s="1">
        <v>7.082794483569188</v>
      </c>
      <c r="J51" s="1">
        <v>6.17625336E8</v>
      </c>
      <c r="K51" s="1">
        <v>4.219</v>
      </c>
      <c r="L51" s="1">
        <v>13.471055068464782</v>
      </c>
      <c r="M51" s="1">
        <v>11.531872924542057</v>
      </c>
      <c r="N51" s="1">
        <v>5.952549104847848E11</v>
      </c>
      <c r="O51" s="1">
        <v>41.6251280877573</v>
      </c>
      <c r="P51" s="1">
        <v>25.8173073806381</v>
      </c>
      <c r="Q51" s="1">
        <v>32.5575625031109</v>
      </c>
      <c r="R51" s="1">
        <v>46.268200685990735</v>
      </c>
      <c r="S51" s="1">
        <v>7.519809939947324E11</v>
      </c>
      <c r="T51" s="1">
        <v>7.925996283252151E11</v>
      </c>
      <c r="U51" s="1">
        <v>8.807408466215453E11</v>
      </c>
      <c r="V51" s="1">
        <v>9.496602257761584E11</v>
      </c>
      <c r="W51" s="1" t="s">
        <v>48</v>
      </c>
      <c r="X51" s="1">
        <v>3.90972330862133E10</v>
      </c>
      <c r="Y51" s="1">
        <v>3.9560671157716313E12</v>
      </c>
    </row>
    <row r="52">
      <c r="B52" s="3"/>
      <c r="D52" s="3"/>
    </row>
    <row r="53">
      <c r="B53" s="3"/>
      <c r="D53" s="3"/>
    </row>
    <row r="54">
      <c r="B54" s="3"/>
      <c r="D54" s="3"/>
    </row>
    <row r="55">
      <c r="A55" s="1" t="s">
        <v>193</v>
      </c>
      <c r="B55" s="3"/>
      <c r="D55" s="3"/>
    </row>
    <row r="56">
      <c r="A56" s="1" t="s">
        <v>194</v>
      </c>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9.0"/>
    <col customWidth="1" min="3" max="3" width="1.38"/>
    <col customWidth="1" min="4" max="4" width="18.13"/>
    <col customWidth="1" min="5" max="6" width="9.0"/>
    <col customWidth="1" min="7" max="7" width="16.88"/>
    <col customWidth="1" min="8" max="8" width="1.13"/>
    <col customWidth="1" min="9" max="10" width="9.0"/>
    <col customWidth="1" min="11" max="11" width="1.38"/>
    <col customWidth="1" min="12" max="12" width="11.38"/>
    <col customWidth="1" min="13" max="13" width="11.63"/>
    <col customWidth="1" min="14" max="14" width="14.0"/>
    <col customWidth="1" min="15" max="15" width="16.13"/>
    <col customWidth="1" min="16" max="16" width="11.63"/>
    <col customWidth="1" min="17" max="17" width="12.0"/>
    <col customWidth="1" min="18" max="18" width="9.0"/>
    <col customWidth="1" min="19" max="19" width="13.38"/>
    <col customWidth="1" min="20" max="20" width="1.38"/>
    <col customWidth="1" min="21" max="21" width="9.0"/>
    <col customWidth="1" min="22" max="22" width="12.38"/>
    <col customWidth="1" min="23" max="23" width="13.38"/>
    <col customWidth="1" min="24" max="26" width="9.0"/>
    <col customWidth="1" min="27" max="27" width="1.38"/>
    <col customWidth="1" min="28" max="31" width="9.0"/>
    <col customWidth="1" min="32" max="32" width="2.0"/>
    <col customWidth="1" min="33" max="33" width="20.38"/>
    <col customWidth="1" min="34" max="35" width="9.0"/>
    <col customWidth="1" min="36" max="36" width="11.38"/>
    <col customWidth="1" min="37" max="37" width="53.0"/>
    <col customWidth="1" min="38" max="38" width="39.75"/>
  </cols>
  <sheetData>
    <row r="1" ht="150.75" customHeight="1">
      <c r="A1" s="2" t="s">
        <v>0</v>
      </c>
      <c r="B1" s="2" t="s">
        <v>3</v>
      </c>
      <c r="C1" s="5"/>
      <c r="D1" s="7" t="s">
        <v>10</v>
      </c>
      <c r="E1" s="2" t="s">
        <v>13</v>
      </c>
      <c r="F1" s="2" t="s">
        <v>16</v>
      </c>
      <c r="G1" s="2" t="s">
        <v>18</v>
      </c>
      <c r="H1" s="10"/>
      <c r="I1" s="7" t="s">
        <v>24</v>
      </c>
      <c r="J1" s="2" t="s">
        <v>26</v>
      </c>
      <c r="K1" s="12"/>
      <c r="L1" s="2" t="s">
        <v>31</v>
      </c>
      <c r="M1" s="2" t="s">
        <v>33</v>
      </c>
      <c r="N1" s="13" t="s">
        <v>35</v>
      </c>
      <c r="O1" s="13" t="s">
        <v>39</v>
      </c>
      <c r="P1" s="15" t="s">
        <v>42</v>
      </c>
      <c r="Q1" s="13" t="s">
        <v>45</v>
      </c>
      <c r="R1" s="13" t="s">
        <v>46</v>
      </c>
      <c r="S1" s="13" t="s">
        <v>47</v>
      </c>
      <c r="T1" s="19"/>
      <c r="U1" s="2" t="s">
        <v>50</v>
      </c>
      <c r="V1" s="2" t="s">
        <v>51</v>
      </c>
      <c r="W1" s="2" t="s">
        <v>52</v>
      </c>
      <c r="X1" s="2" t="s">
        <v>53</v>
      </c>
      <c r="Y1" s="2" t="s">
        <v>54</v>
      </c>
      <c r="Z1" s="2" t="s">
        <v>56</v>
      </c>
      <c r="AA1" s="10"/>
      <c r="AB1" s="2" t="s">
        <v>57</v>
      </c>
      <c r="AC1" s="2" t="s">
        <v>58</v>
      </c>
      <c r="AD1" s="2" t="s">
        <v>59</v>
      </c>
      <c r="AE1" s="2" t="s">
        <v>61</v>
      </c>
      <c r="AF1" s="12"/>
      <c r="AG1" s="7" t="s">
        <v>63</v>
      </c>
      <c r="AH1" s="2" t="s">
        <v>64</v>
      </c>
      <c r="AI1" s="25" t="s">
        <v>65</v>
      </c>
      <c r="AJ1" s="2" t="s">
        <v>66</v>
      </c>
      <c r="AK1" s="27" t="s">
        <v>68</v>
      </c>
      <c r="AL1" s="28" t="s">
        <v>71</v>
      </c>
    </row>
    <row r="2" ht="134.25" customHeight="1">
      <c r="A2" s="29"/>
      <c r="B2" s="29"/>
      <c r="C2" s="30"/>
      <c r="D2" s="31" t="s">
        <v>73</v>
      </c>
      <c r="E2" s="31"/>
      <c r="F2" s="31"/>
      <c r="G2" s="32" t="s">
        <v>74</v>
      </c>
      <c r="H2" s="33"/>
      <c r="I2" s="31" t="s">
        <v>77</v>
      </c>
      <c r="J2" s="29"/>
      <c r="K2" s="34"/>
      <c r="L2" s="29"/>
      <c r="M2" s="29" t="s">
        <v>78</v>
      </c>
      <c r="N2" s="35" t="s">
        <v>80</v>
      </c>
      <c r="O2" s="36" t="s">
        <v>81</v>
      </c>
      <c r="P2" s="36" t="s">
        <v>82</v>
      </c>
      <c r="Q2" s="32" t="s">
        <v>74</v>
      </c>
      <c r="R2" s="35" t="s">
        <v>84</v>
      </c>
      <c r="S2" s="36" t="s">
        <v>85</v>
      </c>
      <c r="T2" s="38"/>
      <c r="U2" s="29"/>
      <c r="V2" s="29"/>
      <c r="W2" s="29"/>
      <c r="X2" s="29"/>
      <c r="Y2" s="29"/>
      <c r="Z2" s="29"/>
      <c r="AA2" s="33"/>
      <c r="AB2" s="29" t="s">
        <v>88</v>
      </c>
      <c r="AC2" s="29"/>
      <c r="AD2" s="29"/>
      <c r="AE2" s="29"/>
      <c r="AF2" s="34"/>
      <c r="AG2" s="31"/>
      <c r="AH2" s="36" t="s">
        <v>85</v>
      </c>
      <c r="AI2" s="39" t="s">
        <v>90</v>
      </c>
      <c r="AJ2" s="29"/>
      <c r="AK2" s="28"/>
      <c r="AL2" s="29"/>
    </row>
    <row r="3">
      <c r="A3" s="40" t="s">
        <v>41</v>
      </c>
      <c r="B3" s="40">
        <v>1976.0</v>
      </c>
      <c r="C3" s="41"/>
      <c r="D3" s="1">
        <v>2.362603732920157E11</v>
      </c>
      <c r="E3" s="1">
        <v>1.6631036366127887</v>
      </c>
      <c r="F3" s="1">
        <v>377.496025416227</v>
      </c>
      <c r="G3" s="1"/>
      <c r="H3" s="42"/>
      <c r="I3" s="1">
        <v>4.1960903331347496E10</v>
      </c>
      <c r="J3" s="1">
        <v>10.931913537916316</v>
      </c>
      <c r="K3" s="44"/>
      <c r="L3" s="1" t="s">
        <v>48</v>
      </c>
      <c r="M3" s="1" t="s">
        <v>48</v>
      </c>
      <c r="N3" s="1"/>
      <c r="O3" s="1"/>
      <c r="P3" s="1"/>
      <c r="Q3" s="1"/>
      <c r="R3" s="1"/>
      <c r="S3" s="1"/>
      <c r="T3" s="46"/>
      <c r="U3" s="1">
        <v>16.265888832790733</v>
      </c>
      <c r="V3" s="1">
        <v>8.769991276533688</v>
      </c>
      <c r="W3" s="1">
        <v>2.900653338801237E10</v>
      </c>
      <c r="X3" s="1" t="s">
        <v>48</v>
      </c>
      <c r="Y3" s="1" t="s">
        <v>48</v>
      </c>
      <c r="Z3" s="1" t="s">
        <v>48</v>
      </c>
      <c r="AA3" s="42"/>
      <c r="AB3" s="1">
        <v>12.801203072683698</v>
      </c>
      <c r="AC3" s="1">
        <v>6.868148772672219E9</v>
      </c>
      <c r="AD3" s="1">
        <v>6.280792834302303E9</v>
      </c>
      <c r="AE3" s="1" t="s">
        <v>48</v>
      </c>
      <c r="AF3" s="44"/>
      <c r="AG3" s="47">
        <v>-7706430.54257424</v>
      </c>
      <c r="AH3" s="48"/>
      <c r="AI3" s="1">
        <f t="shared" ref="AI3:AI52" si="1">(AG3/AJ3)*100</f>
        <v>-0.007502625328</v>
      </c>
      <c r="AJ3" s="1">
        <v>1.0271645197968039E11</v>
      </c>
      <c r="AK3" s="1"/>
      <c r="AL3" s="1"/>
    </row>
    <row r="4">
      <c r="A4" s="40" t="s">
        <v>41</v>
      </c>
      <c r="B4" s="40">
        <v>1977.0</v>
      </c>
      <c r="C4" s="41"/>
      <c r="D4" s="1">
        <v>2.5340050718396805E11</v>
      </c>
      <c r="E4" s="1">
        <v>7.254764585835687</v>
      </c>
      <c r="F4" s="1">
        <v>395.4433068196015</v>
      </c>
      <c r="G4" s="48">
        <f t="shared" ref="G4:G52" si="2">((F4-F3)/F3)*100</f>
        <v>4.754296786</v>
      </c>
      <c r="H4" s="42"/>
      <c r="I4" s="1">
        <v>4.763591708987632E10</v>
      </c>
      <c r="J4" s="1">
        <v>13.524527138311697</v>
      </c>
      <c r="K4" s="44"/>
      <c r="L4" s="1" t="s">
        <v>48</v>
      </c>
      <c r="M4" s="1" t="s">
        <v>48</v>
      </c>
      <c r="N4" s="1"/>
      <c r="P4" s="1"/>
      <c r="Q4" s="1"/>
      <c r="R4" s="1"/>
      <c r="S4" s="1"/>
      <c r="T4" s="46"/>
      <c r="U4" s="1">
        <v>16.080868929358598</v>
      </c>
      <c r="V4" s="1">
        <v>6.223600491899916</v>
      </c>
      <c r="W4" s="1">
        <v>3.0811784142631824E10</v>
      </c>
      <c r="X4" s="1" t="s">
        <v>48</v>
      </c>
      <c r="Y4" s="1" t="s">
        <v>48</v>
      </c>
      <c r="Z4" s="1" t="s">
        <v>48</v>
      </c>
      <c r="AA4" s="42"/>
      <c r="AB4" s="1">
        <v>12.648101137552864</v>
      </c>
      <c r="AC4" s="1">
        <v>7.754701053938618E9</v>
      </c>
      <c r="AD4" s="1">
        <v>7.611052224174394E9</v>
      </c>
      <c r="AE4" s="1" t="s">
        <v>48</v>
      </c>
      <c r="AF4" s="44"/>
      <c r="AG4" s="47">
        <v>-3.606E7</v>
      </c>
      <c r="AH4" s="48">
        <f t="shared" ref="AH4:AH52" si="3">((AG4-AG3)/AG3)*100</f>
        <v>367.920911</v>
      </c>
      <c r="AI4" s="1">
        <f t="shared" si="1"/>
        <v>-0.02968227582</v>
      </c>
      <c r="AJ4" s="1">
        <v>1.214866414413093E11</v>
      </c>
      <c r="AK4" s="1"/>
      <c r="AL4" s="1"/>
    </row>
    <row r="5">
      <c r="A5" s="40" t="s">
        <v>41</v>
      </c>
      <c r="B5" s="40">
        <v>1978.0</v>
      </c>
      <c r="C5" s="41"/>
      <c r="D5" s="1">
        <v>2.6787609247054575E11</v>
      </c>
      <c r="E5" s="1">
        <v>5.712532089001883</v>
      </c>
      <c r="F5" s="1">
        <v>408.5169444040295</v>
      </c>
      <c r="G5" s="48">
        <f t="shared" si="2"/>
        <v>3.306071277</v>
      </c>
      <c r="H5" s="42"/>
      <c r="I5" s="1">
        <v>5.009966117381782E10</v>
      </c>
      <c r="J5" s="1">
        <v>5.172030338563786</v>
      </c>
      <c r="K5" s="44"/>
      <c r="L5" s="1" t="s">
        <v>48</v>
      </c>
      <c r="M5" s="1" t="s">
        <v>48</v>
      </c>
      <c r="N5" s="1"/>
      <c r="O5" s="1"/>
      <c r="P5" s="1"/>
      <c r="Q5" s="1"/>
      <c r="R5" s="1"/>
      <c r="S5" s="1"/>
      <c r="T5" s="46"/>
      <c r="U5" s="1">
        <v>17.096440519717575</v>
      </c>
      <c r="V5" s="1">
        <v>12.35214174258823</v>
      </c>
      <c r="W5" s="1">
        <v>3.461769939335003E10</v>
      </c>
      <c r="X5" s="1" t="s">
        <v>48</v>
      </c>
      <c r="Y5" s="1" t="s">
        <v>48</v>
      </c>
      <c r="Z5" s="1" t="s">
        <v>48</v>
      </c>
      <c r="AA5" s="42"/>
      <c r="AB5" s="1">
        <v>12.903011842484915</v>
      </c>
      <c r="AC5" s="1">
        <v>8.670401540126532E9</v>
      </c>
      <c r="AD5" s="1">
        <v>9.045733047415215E9</v>
      </c>
      <c r="AE5" s="1" t="s">
        <v>48</v>
      </c>
      <c r="AF5" s="44"/>
      <c r="AG5" s="47">
        <v>1.809E7</v>
      </c>
      <c r="AH5" s="48">
        <f t="shared" si="3"/>
        <v>-150.1663894</v>
      </c>
      <c r="AI5" s="1">
        <f t="shared" si="1"/>
        <v>0.01317530543</v>
      </c>
      <c r="AJ5" s="1">
        <v>1.3730231982899506E11</v>
      </c>
      <c r="AK5" s="1"/>
      <c r="AL5" s="1"/>
    </row>
    <row r="6">
      <c r="A6" s="40" t="s">
        <v>41</v>
      </c>
      <c r="B6" s="40">
        <v>1979.0</v>
      </c>
      <c r="C6" s="41"/>
      <c r="D6" s="1">
        <v>2.5384425332984518E11</v>
      </c>
      <c r="E6" s="1">
        <v>-5.238182702789501</v>
      </c>
      <c r="F6" s="1">
        <v>378.219592791247</v>
      </c>
      <c r="G6" s="48">
        <f t="shared" si="2"/>
        <v>-7.416424711</v>
      </c>
      <c r="H6" s="42"/>
      <c r="I6" s="1">
        <v>5.006711007805749E10</v>
      </c>
      <c r="J6" s="1">
        <v>-0.06497268643673237</v>
      </c>
      <c r="K6" s="44"/>
      <c r="L6" s="1" t="s">
        <v>48</v>
      </c>
      <c r="M6" s="1" t="s">
        <v>48</v>
      </c>
      <c r="N6" s="1"/>
      <c r="O6" s="1"/>
      <c r="P6" s="1"/>
      <c r="Q6" s="1"/>
      <c r="R6" s="1"/>
      <c r="S6" s="1"/>
      <c r="T6" s="46"/>
      <c r="U6" s="1">
        <v>17.85203448929102</v>
      </c>
      <c r="V6" s="1">
        <v>-3.221181846692062</v>
      </c>
      <c r="W6" s="1">
        <v>3.3502600344749012E10</v>
      </c>
      <c r="X6" s="1" t="s">
        <v>48</v>
      </c>
      <c r="Y6" s="1" t="s">
        <v>48</v>
      </c>
      <c r="Z6" s="1" t="s">
        <v>48</v>
      </c>
      <c r="AA6" s="42"/>
      <c r="AB6" s="1">
        <v>14.918804531376246</v>
      </c>
      <c r="AC6" s="1">
        <v>1.0326638765756172E10</v>
      </c>
      <c r="AD6" s="1">
        <v>1.2498452242391224E10</v>
      </c>
      <c r="AE6" s="1" t="s">
        <v>48</v>
      </c>
      <c r="AF6" s="44"/>
      <c r="AG6" s="47">
        <v>4.857E7</v>
      </c>
      <c r="AH6" s="48">
        <f t="shared" si="3"/>
        <v>168.4908789</v>
      </c>
      <c r="AI6" s="1">
        <f t="shared" si="1"/>
        <v>0.03174604368</v>
      </c>
      <c r="AJ6" s="1">
        <v>1.5299544249770932E11</v>
      </c>
      <c r="AK6" s="1"/>
      <c r="AL6" s="1"/>
    </row>
    <row r="7">
      <c r="A7" s="40" t="s">
        <v>41</v>
      </c>
      <c r="B7" s="40">
        <v>1980.0</v>
      </c>
      <c r="C7" s="41"/>
      <c r="D7" s="1">
        <v>2.7094274919322394E11</v>
      </c>
      <c r="E7" s="1">
        <v>6.735821527998496</v>
      </c>
      <c r="F7" s="1">
        <v>394.182239921013</v>
      </c>
      <c r="G7" s="48">
        <f t="shared" si="2"/>
        <v>4.220470709</v>
      </c>
      <c r="H7" s="42"/>
      <c r="I7" s="1">
        <v>5.125991795954205E10</v>
      </c>
      <c r="J7" s="1">
        <v>2.382418077705921</v>
      </c>
      <c r="K7" s="44"/>
      <c r="L7" s="1" t="s">
        <v>48</v>
      </c>
      <c r="M7" s="1" t="s">
        <v>48</v>
      </c>
      <c r="N7" s="1"/>
      <c r="O7" s="1"/>
      <c r="P7" s="1"/>
      <c r="Q7" s="1"/>
      <c r="R7" s="1"/>
      <c r="S7" s="1"/>
      <c r="T7" s="46"/>
      <c r="U7" s="1">
        <v>16.75237579755089</v>
      </c>
      <c r="V7" s="1">
        <v>0.19442644199646963</v>
      </c>
      <c r="W7" s="1">
        <v>3.3567738258575607E10</v>
      </c>
      <c r="X7" s="1" t="s">
        <v>48</v>
      </c>
      <c r="Y7" s="1" t="s">
        <v>48</v>
      </c>
      <c r="Z7" s="1" t="s">
        <v>48</v>
      </c>
      <c r="AA7" s="42"/>
      <c r="AB7" s="1">
        <v>15.384576848506088</v>
      </c>
      <c r="AC7" s="1">
        <v>1.143973840008119E10</v>
      </c>
      <c r="AD7" s="1">
        <v>1.7226125073375107E10</v>
      </c>
      <c r="AE7" s="1" t="s">
        <v>48</v>
      </c>
      <c r="AF7" s="44"/>
      <c r="AG7" s="47">
        <v>7.91599999E7</v>
      </c>
      <c r="AH7" s="48">
        <f t="shared" si="3"/>
        <v>62.98126395</v>
      </c>
      <c r="AI7" s="1">
        <f t="shared" si="1"/>
        <v>0.04248408923</v>
      </c>
      <c r="AJ7" s="1">
        <v>1.8632857930206827E11</v>
      </c>
      <c r="AK7" s="1"/>
      <c r="AL7" s="1"/>
    </row>
    <row r="8">
      <c r="A8" s="40" t="s">
        <v>41</v>
      </c>
      <c r="B8" s="40">
        <v>1981.0</v>
      </c>
      <c r="C8" s="41"/>
      <c r="D8" s="1">
        <v>2.872161224137386E11</v>
      </c>
      <c r="E8" s="1">
        <v>6.006203623817669</v>
      </c>
      <c r="F8" s="1">
        <v>408.15354979330726</v>
      </c>
      <c r="G8" s="48">
        <f t="shared" si="2"/>
        <v>3.544378325</v>
      </c>
      <c r="H8" s="42"/>
      <c r="I8" s="1">
        <v>5.119524272265116E10</v>
      </c>
      <c r="J8" s="1">
        <v>-0.1261711673864454</v>
      </c>
      <c r="K8" s="44"/>
      <c r="L8" s="1" t="s">
        <v>48</v>
      </c>
      <c r="M8" s="1" t="s">
        <v>48</v>
      </c>
      <c r="N8" s="1"/>
      <c r="O8" s="1"/>
      <c r="P8" s="1"/>
      <c r="Q8" s="1"/>
      <c r="R8" s="1"/>
      <c r="S8" s="1"/>
      <c r="T8" s="46"/>
      <c r="U8" s="1">
        <v>16.770443752043775</v>
      </c>
      <c r="V8" s="1">
        <v>8.169627179790467</v>
      </c>
      <c r="W8" s="1">
        <v>3.631009732698912E10</v>
      </c>
      <c r="X8" s="1" t="s">
        <v>48</v>
      </c>
      <c r="Y8" s="1" t="s">
        <v>48</v>
      </c>
      <c r="Z8" s="1" t="s">
        <v>48</v>
      </c>
      <c r="AA8" s="42"/>
      <c r="AB8" s="1">
        <v>14.507264761620434</v>
      </c>
      <c r="AC8" s="1">
        <v>1.1485699151059452E10</v>
      </c>
      <c r="AD8" s="1">
        <v>1.6584605960222254E10</v>
      </c>
      <c r="AE8" s="1" t="s">
        <v>48</v>
      </c>
      <c r="AF8" s="44"/>
      <c r="AG8" s="47">
        <v>9.192E7</v>
      </c>
      <c r="AH8" s="48">
        <f t="shared" si="3"/>
        <v>16.11925229</v>
      </c>
      <c r="AI8" s="1">
        <f t="shared" si="1"/>
        <v>0.04750599509</v>
      </c>
      <c r="AJ8" s="1">
        <v>1.9349136844557254E11</v>
      </c>
      <c r="AK8" s="1"/>
      <c r="AL8" s="1"/>
    </row>
    <row r="9">
      <c r="A9" s="40" t="s">
        <v>41</v>
      </c>
      <c r="B9" s="40">
        <v>1982.0</v>
      </c>
      <c r="C9" s="41"/>
      <c r="D9" s="1">
        <v>2.9719898865200916E11</v>
      </c>
      <c r="E9" s="1">
        <v>3.4757332403123655</v>
      </c>
      <c r="F9" s="1">
        <v>412.59673710422067</v>
      </c>
      <c r="G9" s="48">
        <f t="shared" si="2"/>
        <v>1.088606803</v>
      </c>
      <c r="H9" s="42"/>
      <c r="I9" s="1">
        <v>5.408587266377487E10</v>
      </c>
      <c r="J9" s="1">
        <v>5.646286231679028</v>
      </c>
      <c r="K9" s="44"/>
      <c r="L9" s="1" t="s">
        <v>48</v>
      </c>
      <c r="M9" s="1" t="s">
        <v>48</v>
      </c>
      <c r="N9" s="1"/>
      <c r="O9" s="1"/>
      <c r="P9" s="1"/>
      <c r="Q9" s="1"/>
      <c r="R9" s="1"/>
      <c r="S9" s="1"/>
      <c r="T9" s="46"/>
      <c r="U9" s="1">
        <v>16.369995937370447</v>
      </c>
      <c r="V9" s="1">
        <v>3.2881527705993108</v>
      </c>
      <c r="W9" s="1">
        <v>3.7504028798253815E10</v>
      </c>
      <c r="X9" s="1" t="s">
        <v>48</v>
      </c>
      <c r="Y9" s="1" t="s">
        <v>48</v>
      </c>
      <c r="Z9" s="1" t="s">
        <v>48</v>
      </c>
      <c r="AA9" s="42"/>
      <c r="AB9" s="1">
        <v>14.12592774954747</v>
      </c>
      <c r="AC9" s="1">
        <v>1.2009417676703733E10</v>
      </c>
      <c r="AD9" s="1">
        <v>1.6343526468962202E10</v>
      </c>
      <c r="AE9" s="1" t="s">
        <v>48</v>
      </c>
      <c r="AF9" s="44"/>
      <c r="AG9" s="47">
        <v>7.20799999E7</v>
      </c>
      <c r="AH9" s="48">
        <f t="shared" si="3"/>
        <v>-21.58398618</v>
      </c>
      <c r="AI9" s="1">
        <f t="shared" si="1"/>
        <v>0.03591150413</v>
      </c>
      <c r="AJ9" s="1">
        <v>2.007156248309017E11</v>
      </c>
      <c r="AK9" s="1"/>
      <c r="AL9" s="1"/>
    </row>
    <row r="10">
      <c r="A10" s="40" t="s">
        <v>41</v>
      </c>
      <c r="B10" s="40">
        <v>1983.0</v>
      </c>
      <c r="C10" s="41"/>
      <c r="D10" s="1">
        <v>3.1886150463843994E11</v>
      </c>
      <c r="E10" s="1">
        <v>7.288892901245859</v>
      </c>
      <c r="F10" s="1">
        <v>432.4292353847592</v>
      </c>
      <c r="G10" s="48">
        <f t="shared" si="2"/>
        <v>4.80675112</v>
      </c>
      <c r="H10" s="42"/>
      <c r="I10" s="1">
        <v>5.805109988915215E10</v>
      </c>
      <c r="J10" s="1">
        <v>7.3313548068774566</v>
      </c>
      <c r="K10" s="44"/>
      <c r="L10" s="1" t="s">
        <v>48</v>
      </c>
      <c r="M10" s="1" t="s">
        <v>48</v>
      </c>
      <c r="N10" s="1"/>
      <c r="O10" s="1"/>
      <c r="P10" s="1"/>
      <c r="Q10" s="1"/>
      <c r="R10" s="1"/>
      <c r="S10" s="1"/>
      <c r="T10" s="46"/>
      <c r="U10" s="1">
        <v>16.664454692509604</v>
      </c>
      <c r="V10" s="1">
        <v>10.231988697374987</v>
      </c>
      <c r="W10" s="1">
        <v>4.13414367859514E10</v>
      </c>
      <c r="X10" s="1" t="s">
        <v>48</v>
      </c>
      <c r="Y10" s="1" t="s">
        <v>48</v>
      </c>
      <c r="Z10" s="1" t="s">
        <v>48</v>
      </c>
      <c r="AA10" s="42"/>
      <c r="AB10" s="1">
        <v>13.690593886880247</v>
      </c>
      <c r="AC10" s="1">
        <v>1.2741335281076435E10</v>
      </c>
      <c r="AD10" s="1">
        <v>1.714004879313692E10</v>
      </c>
      <c r="AE10" s="1" t="s">
        <v>48</v>
      </c>
      <c r="AF10" s="44"/>
      <c r="AG10" s="47">
        <v>5639999.9</v>
      </c>
      <c r="AH10" s="48">
        <f t="shared" si="3"/>
        <v>-92.17536084</v>
      </c>
      <c r="AI10" s="1">
        <f t="shared" si="1"/>
        <v>0.002584048582</v>
      </c>
      <c r="AJ10" s="1">
        <v>2.182621464131575E11</v>
      </c>
      <c r="AK10" s="1"/>
      <c r="AL10" s="1"/>
    </row>
    <row r="11">
      <c r="A11" s="40" t="s">
        <v>41</v>
      </c>
      <c r="B11" s="40">
        <v>1984.0</v>
      </c>
      <c r="C11" s="41"/>
      <c r="D11" s="1">
        <v>3.3104436685428754E11</v>
      </c>
      <c r="E11" s="1">
        <v>3.820737855973505</v>
      </c>
      <c r="F11" s="1">
        <v>438.5417055129151</v>
      </c>
      <c r="G11" s="48">
        <f t="shared" si="2"/>
        <v>1.413519168</v>
      </c>
      <c r="H11" s="42"/>
      <c r="I11" s="1">
        <v>5.901858587850167E10</v>
      </c>
      <c r="J11" s="1">
        <v>1.6666109534477727</v>
      </c>
      <c r="K11" s="44"/>
      <c r="L11" s="1" t="s">
        <v>48</v>
      </c>
      <c r="M11" s="1" t="s">
        <v>48</v>
      </c>
      <c r="N11" s="1"/>
      <c r="O11" s="1"/>
      <c r="P11" s="1"/>
      <c r="Q11" s="1"/>
      <c r="R11" s="1"/>
      <c r="S11" s="1"/>
      <c r="T11" s="46"/>
      <c r="U11" s="1">
        <v>16.707803600320943</v>
      </c>
      <c r="V11" s="1">
        <v>4.207971012792939</v>
      </c>
      <c r="W11" s="1">
        <v>4.308107246217635E10</v>
      </c>
      <c r="X11" s="1" t="s">
        <v>48</v>
      </c>
      <c r="Y11" s="1" t="s">
        <v>48</v>
      </c>
      <c r="Z11" s="1" t="s">
        <v>48</v>
      </c>
      <c r="AA11" s="42"/>
      <c r="AB11" s="1">
        <v>14.009375944128916</v>
      </c>
      <c r="AC11" s="1">
        <v>1.3330716432206964E10</v>
      </c>
      <c r="AD11" s="1">
        <v>1.6391245674941341E10</v>
      </c>
      <c r="AE11" s="1" t="s">
        <v>48</v>
      </c>
      <c r="AF11" s="44"/>
      <c r="AG11" s="47">
        <v>1.92399999E7</v>
      </c>
      <c r="AH11" s="48">
        <f t="shared" si="3"/>
        <v>241.134756</v>
      </c>
      <c r="AI11" s="1">
        <f t="shared" si="1"/>
        <v>0.00906872806</v>
      </c>
      <c r="AJ11" s="1">
        <v>2.121576451776516E11</v>
      </c>
      <c r="AK11" s="1"/>
      <c r="AL11" s="1"/>
    </row>
    <row r="12">
      <c r="A12" s="40" t="s">
        <v>41</v>
      </c>
      <c r="B12" s="40">
        <v>1985.0</v>
      </c>
      <c r="C12" s="41"/>
      <c r="D12" s="1">
        <v>3.484384284507202E11</v>
      </c>
      <c r="E12" s="1">
        <v>5.254299223308891</v>
      </c>
      <c r="F12" s="1">
        <v>450.96670385586697</v>
      </c>
      <c r="G12" s="48">
        <f t="shared" si="2"/>
        <v>2.833253528</v>
      </c>
      <c r="H12" s="42"/>
      <c r="I12" s="1">
        <v>6.173692508492981E10</v>
      </c>
      <c r="J12" s="1">
        <v>4.605903658932519</v>
      </c>
      <c r="K12" s="44"/>
      <c r="L12" s="1" t="s">
        <v>48</v>
      </c>
      <c r="M12" s="1" t="s">
        <v>48</v>
      </c>
      <c r="N12" s="1"/>
      <c r="O12" s="1"/>
      <c r="P12" s="1"/>
      <c r="Q12" s="1"/>
      <c r="R12" s="1"/>
      <c r="S12" s="1"/>
      <c r="T12" s="46"/>
      <c r="U12" s="1">
        <v>16.41801286266626</v>
      </c>
      <c r="V12" s="1">
        <v>3.1874897641194053</v>
      </c>
      <c r="W12" s="1">
        <v>4.445427723718108E10</v>
      </c>
      <c r="X12" s="1" t="s">
        <v>48</v>
      </c>
      <c r="Y12" s="1" t="s">
        <v>48</v>
      </c>
      <c r="Z12" s="1" t="s">
        <v>48</v>
      </c>
      <c r="AA12" s="42"/>
      <c r="AB12" s="1">
        <v>12.900036194148711</v>
      </c>
      <c r="AC12" s="1">
        <v>1.2217447521809546E10</v>
      </c>
      <c r="AD12" s="1">
        <v>1.7776627208176365E10</v>
      </c>
      <c r="AE12" s="1" t="s">
        <v>48</v>
      </c>
      <c r="AF12" s="44"/>
      <c r="AG12" s="47">
        <v>1.0609E8</v>
      </c>
      <c r="AH12" s="48">
        <f t="shared" si="3"/>
        <v>451.4033293</v>
      </c>
      <c r="AI12" s="1">
        <f t="shared" si="1"/>
        <v>0.0456278399</v>
      </c>
      <c r="AJ12" s="1">
        <v>2.3251155484037195E11</v>
      </c>
      <c r="AK12" s="1"/>
      <c r="AL12" s="1"/>
    </row>
    <row r="13">
      <c r="A13" s="40" t="s">
        <v>41</v>
      </c>
      <c r="B13" s="40">
        <v>1986.0</v>
      </c>
      <c r="C13" s="41"/>
      <c r="D13" s="1">
        <v>3.650818135803139E11</v>
      </c>
      <c r="E13" s="1">
        <v>4.776564170489465</v>
      </c>
      <c r="F13" s="1">
        <v>461.72561147640334</v>
      </c>
      <c r="G13" s="48">
        <f t="shared" si="2"/>
        <v>2.385743233</v>
      </c>
      <c r="H13" s="42"/>
      <c r="I13" s="1">
        <v>6.762033395029684E10</v>
      </c>
      <c r="J13" s="1">
        <v>9.529805472613646</v>
      </c>
      <c r="K13" s="44"/>
      <c r="L13" s="1" t="s">
        <v>48</v>
      </c>
      <c r="M13" s="1" t="s">
        <v>48</v>
      </c>
      <c r="N13" s="1"/>
      <c r="O13" s="1"/>
      <c r="P13" s="1"/>
      <c r="Q13" s="1"/>
      <c r="R13" s="1"/>
      <c r="S13" s="1"/>
      <c r="T13" s="46"/>
      <c r="U13" s="1">
        <v>16.221583809613467</v>
      </c>
      <c r="V13" s="1">
        <v>5.494239512069242</v>
      </c>
      <c r="W13" s="1">
        <v>4.689670170195109E10</v>
      </c>
      <c r="X13" s="1" t="s">
        <v>48</v>
      </c>
      <c r="Y13" s="1" t="s">
        <v>48</v>
      </c>
      <c r="Z13" s="1" t="s">
        <v>48</v>
      </c>
      <c r="AA13" s="42"/>
      <c r="AB13" s="1">
        <v>12.219271899372565</v>
      </c>
      <c r="AC13" s="1">
        <v>1.2937864153599499E10</v>
      </c>
      <c r="AD13" s="1">
        <v>1.7486411449575726E10</v>
      </c>
      <c r="AE13" s="1" t="s">
        <v>48</v>
      </c>
      <c r="AF13" s="44"/>
      <c r="AG13" s="47">
        <v>1.1773E8</v>
      </c>
      <c r="AH13" s="48">
        <f t="shared" si="3"/>
        <v>10.97181638</v>
      </c>
      <c r="AI13" s="1">
        <f t="shared" si="1"/>
        <v>0.04728378416</v>
      </c>
      <c r="AJ13" s="1">
        <v>2.489859940405897E11</v>
      </c>
      <c r="AK13" s="1"/>
      <c r="AL13" s="1"/>
    </row>
    <row r="14">
      <c r="A14" s="40" t="s">
        <v>41</v>
      </c>
      <c r="B14" s="40">
        <v>1987.0</v>
      </c>
      <c r="C14" s="41"/>
      <c r="D14" s="1">
        <v>3.795586058434862E11</v>
      </c>
      <c r="E14" s="1">
        <v>3.9653556339057587</v>
      </c>
      <c r="F14" s="1">
        <v>469.20995629639367</v>
      </c>
      <c r="G14" s="48">
        <f t="shared" si="2"/>
        <v>1.620950763</v>
      </c>
      <c r="H14" s="42"/>
      <c r="I14" s="1">
        <v>7.508984987802798E10</v>
      </c>
      <c r="J14" s="1">
        <v>11.046257081814304</v>
      </c>
      <c r="K14" s="44"/>
      <c r="L14" s="1" t="s">
        <v>48</v>
      </c>
      <c r="M14" s="1" t="s">
        <v>48</v>
      </c>
      <c r="N14" s="1"/>
      <c r="O14" s="1"/>
      <c r="P14" s="1"/>
      <c r="Q14" s="1"/>
      <c r="R14" s="1"/>
      <c r="S14" s="1"/>
      <c r="T14" s="46"/>
      <c r="U14" s="1">
        <v>16.209549353889148</v>
      </c>
      <c r="V14" s="1">
        <v>5.600021718441255</v>
      </c>
      <c r="W14" s="1">
        <v>4.952292718249296E10</v>
      </c>
      <c r="X14" s="1" t="s">
        <v>48</v>
      </c>
      <c r="Y14" s="1" t="s">
        <v>48</v>
      </c>
      <c r="Z14" s="1" t="s">
        <v>48</v>
      </c>
      <c r="AA14" s="42"/>
      <c r="AB14" s="1">
        <v>12.584814035675782</v>
      </c>
      <c r="AC14" s="1">
        <v>1.5638662913983883E10</v>
      </c>
      <c r="AD14" s="1">
        <v>1.9477194741103443E10</v>
      </c>
      <c r="AE14" s="1" t="s">
        <v>48</v>
      </c>
      <c r="AF14" s="44"/>
      <c r="AG14" s="47">
        <v>2.123199999E8</v>
      </c>
      <c r="AH14" s="48">
        <f t="shared" si="3"/>
        <v>80.34485679</v>
      </c>
      <c r="AI14" s="1">
        <f t="shared" si="1"/>
        <v>0.07609119905</v>
      </c>
      <c r="AJ14" s="1">
        <v>2.7903358409222345E11</v>
      </c>
      <c r="AK14" s="1"/>
      <c r="AL14" s="1"/>
    </row>
    <row r="15">
      <c r="A15" s="40" t="s">
        <v>41</v>
      </c>
      <c r="B15" s="40">
        <v>1988.0</v>
      </c>
      <c r="C15" s="41"/>
      <c r="D15" s="1">
        <v>4.161016844676998E11</v>
      </c>
      <c r="E15" s="1">
        <v>9.627782919848343</v>
      </c>
      <c r="F15" s="1">
        <v>502.9373421870654</v>
      </c>
      <c r="G15" s="48">
        <f t="shared" si="2"/>
        <v>7.188122383</v>
      </c>
      <c r="H15" s="42"/>
      <c r="I15" s="1">
        <v>7.768972412783318E10</v>
      </c>
      <c r="J15" s="1">
        <v>3.46235110874278</v>
      </c>
      <c r="K15" s="44"/>
      <c r="L15" s="1" t="s">
        <v>48</v>
      </c>
      <c r="M15" s="1" t="s">
        <v>48</v>
      </c>
      <c r="N15" s="1"/>
      <c r="O15" s="1"/>
      <c r="P15" s="1"/>
      <c r="Q15" s="1"/>
      <c r="R15" s="1"/>
      <c r="S15" s="1"/>
      <c r="T15" s="46"/>
      <c r="U15" s="1">
        <v>16.101534849260798</v>
      </c>
      <c r="V15" s="1">
        <v>8.496312397608136</v>
      </c>
      <c r="W15" s="1">
        <v>5.373054978435755E10</v>
      </c>
      <c r="X15" s="1" t="s">
        <v>48</v>
      </c>
      <c r="Y15" s="1" t="s">
        <v>48</v>
      </c>
      <c r="Z15" s="1" t="s">
        <v>48</v>
      </c>
      <c r="AA15" s="42"/>
      <c r="AB15" s="1">
        <v>13.4904501163017</v>
      </c>
      <c r="AC15" s="1">
        <v>1.7899838408937637E10</v>
      </c>
      <c r="AD15" s="1">
        <v>2.211144319338146E10</v>
      </c>
      <c r="AE15" s="1" t="s">
        <v>48</v>
      </c>
      <c r="AF15" s="44"/>
      <c r="AG15" s="47">
        <v>9.125E7</v>
      </c>
      <c r="AH15" s="48">
        <f t="shared" si="3"/>
        <v>-57.02241897</v>
      </c>
      <c r="AI15" s="1">
        <f t="shared" si="1"/>
        <v>0.03076641197</v>
      </c>
      <c r="AJ15" s="1">
        <v>2.96589670895932E11</v>
      </c>
      <c r="AK15" s="1"/>
      <c r="AL15" s="1"/>
    </row>
    <row r="16">
      <c r="A16" s="40" t="s">
        <v>41</v>
      </c>
      <c r="B16" s="40">
        <v>1989.0</v>
      </c>
      <c r="C16" s="41"/>
      <c r="D16" s="1">
        <v>4.40848680237688E11</v>
      </c>
      <c r="E16" s="1">
        <v>5.947343328265035</v>
      </c>
      <c r="F16" s="1">
        <v>521.0733838391232</v>
      </c>
      <c r="G16" s="48">
        <f t="shared" si="2"/>
        <v>3.606024077</v>
      </c>
      <c r="H16" s="42"/>
      <c r="I16" s="1">
        <v>8.44710215096953E10</v>
      </c>
      <c r="J16" s="1">
        <v>8.728692832920814</v>
      </c>
      <c r="K16" s="44"/>
      <c r="L16" s="1" t="s">
        <v>48</v>
      </c>
      <c r="M16" s="1" t="s">
        <v>48</v>
      </c>
      <c r="N16" s="1"/>
      <c r="O16" s="1"/>
      <c r="P16" s="1"/>
      <c r="Q16" s="1"/>
      <c r="R16" s="1"/>
      <c r="S16" s="1"/>
      <c r="T16" s="46"/>
      <c r="U16" s="1">
        <v>16.902845896566927</v>
      </c>
      <c r="V16" s="1">
        <v>8.839417252732787</v>
      </c>
      <c r="W16" s="1">
        <v>5.848001727198422E10</v>
      </c>
      <c r="X16" s="1" t="s">
        <v>48</v>
      </c>
      <c r="Y16" s="1" t="s">
        <v>48</v>
      </c>
      <c r="Z16" s="1" t="s">
        <v>48</v>
      </c>
      <c r="AA16" s="42"/>
      <c r="AB16" s="1">
        <v>15.168132090669529</v>
      </c>
      <c r="AC16" s="1">
        <v>2.077069611209466E10</v>
      </c>
      <c r="AD16" s="1">
        <v>2.413335352248116E10</v>
      </c>
      <c r="AE16" s="1" t="s">
        <v>48</v>
      </c>
      <c r="AF16" s="44"/>
      <c r="AG16" s="47">
        <v>2.520999999E8</v>
      </c>
      <c r="AH16" s="48">
        <f t="shared" si="3"/>
        <v>176.2739725</v>
      </c>
      <c r="AI16" s="1">
        <f t="shared" si="1"/>
        <v>0.08515682059</v>
      </c>
      <c r="AJ16" s="1">
        <v>2.960420529446598E11</v>
      </c>
      <c r="AK16" s="1"/>
      <c r="AL16" s="1"/>
    </row>
    <row r="17">
      <c r="A17" s="40" t="s">
        <v>41</v>
      </c>
      <c r="B17" s="40">
        <v>1990.0</v>
      </c>
      <c r="C17" s="41"/>
      <c r="D17" s="1">
        <v>4.6524284165051196E11</v>
      </c>
      <c r="E17" s="1">
        <v>5.53345456306495</v>
      </c>
      <c r="F17" s="1">
        <v>537.8702695361034</v>
      </c>
      <c r="G17" s="48">
        <f t="shared" si="2"/>
        <v>3.223516345</v>
      </c>
      <c r="H17" s="42"/>
      <c r="I17" s="1">
        <v>9.839157185076276E10</v>
      </c>
      <c r="J17" s="1">
        <v>16.47967562398864</v>
      </c>
      <c r="K17" s="44"/>
      <c r="L17" s="1">
        <v>3.07898649E8</v>
      </c>
      <c r="M17" s="1" t="s">
        <v>48</v>
      </c>
      <c r="N17" s="1"/>
      <c r="O17" s="1"/>
      <c r="P17" s="1"/>
      <c r="Q17" s="1"/>
      <c r="R17" s="1"/>
      <c r="S17" s="1"/>
      <c r="T17" s="46"/>
      <c r="U17" s="1">
        <v>16.59759644222204</v>
      </c>
      <c r="V17" s="1">
        <v>4.773545514026708</v>
      </c>
      <c r="W17" s="1">
        <v>6.1271587513073074E10</v>
      </c>
      <c r="X17" s="1" t="s">
        <v>48</v>
      </c>
      <c r="Y17" s="1" t="s">
        <v>48</v>
      </c>
      <c r="Z17" s="1" t="s">
        <v>48</v>
      </c>
      <c r="AA17" s="42"/>
      <c r="AB17" s="1">
        <v>15.506261510196545</v>
      </c>
      <c r="AC17" s="1">
        <v>2.2639774911552498E10</v>
      </c>
      <c r="AD17" s="1">
        <v>2.7132072318021008E10</v>
      </c>
      <c r="AE17" s="1">
        <v>56.36</v>
      </c>
      <c r="AF17" s="44"/>
      <c r="AG17" s="47">
        <v>2.3669E8</v>
      </c>
      <c r="AH17" s="48">
        <f t="shared" si="3"/>
        <v>-6.112653672</v>
      </c>
      <c r="AI17" s="1">
        <f t="shared" si="1"/>
        <v>0.07374002054</v>
      </c>
      <c r="AJ17" s="1">
        <v>3.209790264200351E11</v>
      </c>
      <c r="AK17" s="1"/>
      <c r="AL17" s="1"/>
    </row>
    <row r="18">
      <c r="A18" s="40" t="s">
        <v>41</v>
      </c>
      <c r="B18" s="40">
        <v>1991.0</v>
      </c>
      <c r="C18" s="41"/>
      <c r="D18" s="1">
        <v>4.701596742406792E11</v>
      </c>
      <c r="E18" s="1">
        <v>1.0568314329617863</v>
      </c>
      <c r="F18" s="1">
        <v>531.898397833351</v>
      </c>
      <c r="G18" s="48">
        <f t="shared" si="2"/>
        <v>-1.110281055</v>
      </c>
      <c r="H18" s="42"/>
      <c r="I18" s="1">
        <v>9.081184685084091E10</v>
      </c>
      <c r="J18" s="1">
        <v>-7.703632391825735</v>
      </c>
      <c r="K18" s="44"/>
      <c r="L18" s="1">
        <v>3.1587562E8</v>
      </c>
      <c r="M18" s="1">
        <v>7.641</v>
      </c>
      <c r="N18" s="48">
        <f t="shared" ref="N18:N52" si="4">100-M18</f>
        <v>92.359</v>
      </c>
      <c r="O18" s="48">
        <f t="shared" ref="O18:O52" si="5">N18*(L18/100)</f>
        <v>291739563.9</v>
      </c>
      <c r="P18" s="48">
        <f t="shared" ref="P18:P52" si="6">D18/O18</f>
        <v>1611.57324</v>
      </c>
      <c r="Q18" s="1"/>
      <c r="R18" s="51">
        <f t="shared" ref="R18:R52" si="7">I18/O18</f>
        <v>311.277105</v>
      </c>
      <c r="S18" s="1"/>
      <c r="T18" s="46"/>
      <c r="U18" s="1">
        <v>15.676260160512731</v>
      </c>
      <c r="V18" s="1">
        <v>-2.398463800264537</v>
      </c>
      <c r="W18" s="1">
        <v>5.980201066672461E10</v>
      </c>
      <c r="X18" s="1">
        <v>63.1283195373591</v>
      </c>
      <c r="Y18" s="1">
        <v>14.5849373001575</v>
      </c>
      <c r="Z18" s="1">
        <v>22.2867363071309</v>
      </c>
      <c r="AA18" s="42"/>
      <c r="AB18" s="1">
        <v>16.987726551135058</v>
      </c>
      <c r="AC18" s="1">
        <v>2.2943398073299454E10</v>
      </c>
      <c r="AD18" s="1">
        <v>2.2941358805152008E10</v>
      </c>
      <c r="AE18" s="1" t="s">
        <v>48</v>
      </c>
      <c r="AF18" s="44"/>
      <c r="AG18" s="47">
        <v>7.3537638388533E7</v>
      </c>
      <c r="AH18" s="48">
        <f t="shared" si="3"/>
        <v>-68.93082159</v>
      </c>
      <c r="AI18" s="1">
        <f t="shared" si="1"/>
        <v>0.02722554018</v>
      </c>
      <c r="AJ18" s="1">
        <v>2.7010534187922638E11</v>
      </c>
      <c r="AK18" s="1"/>
      <c r="AL18" s="1"/>
    </row>
    <row r="19">
      <c r="A19" s="40" t="s">
        <v>41</v>
      </c>
      <c r="B19" s="40">
        <v>1992.0</v>
      </c>
      <c r="C19" s="41"/>
      <c r="D19" s="1">
        <v>4.9593568951674695E11</v>
      </c>
      <c r="E19" s="1">
        <v>5.482396021670027</v>
      </c>
      <c r="F19" s="1">
        <v>549.2350699648954</v>
      </c>
      <c r="G19" s="48">
        <f t="shared" si="2"/>
        <v>3.259395441</v>
      </c>
      <c r="H19" s="42"/>
      <c r="I19" s="1">
        <v>1.0043790694216129E11</v>
      </c>
      <c r="J19" s="1">
        <v>10.60000476273899</v>
      </c>
      <c r="K19" s="44"/>
      <c r="L19" s="1">
        <v>3.24021661E8</v>
      </c>
      <c r="M19" s="1">
        <v>7.649</v>
      </c>
      <c r="N19" s="48">
        <f t="shared" si="4"/>
        <v>92.351</v>
      </c>
      <c r="O19" s="48">
        <f t="shared" si="5"/>
        <v>299237244.2</v>
      </c>
      <c r="P19" s="48">
        <f t="shared" si="6"/>
        <v>1657.332766</v>
      </c>
      <c r="Q19" s="48">
        <f t="shared" ref="Q19:Q52" si="8">((P19-P18)/P18)*100</f>
        <v>2.839431968</v>
      </c>
      <c r="R19" s="51">
        <f t="shared" si="7"/>
        <v>335.6464107</v>
      </c>
      <c r="S19" s="48">
        <f t="shared" ref="S19:S52" si="9">((R19-R18)/R18)*100</f>
        <v>7.828814043</v>
      </c>
      <c r="T19" s="46"/>
      <c r="U19" s="1">
        <v>15.800799817080746</v>
      </c>
      <c r="V19" s="1">
        <v>3.0901834659496927</v>
      </c>
      <c r="W19" s="1">
        <v>6.1650002512653206E10</v>
      </c>
      <c r="X19" s="1">
        <v>62.8983336367001</v>
      </c>
      <c r="Y19" s="1">
        <v>14.6628055390629</v>
      </c>
      <c r="Z19" s="1">
        <v>22.4388544747388</v>
      </c>
      <c r="AA19" s="42"/>
      <c r="AB19" s="1">
        <v>18.433099041828044</v>
      </c>
      <c r="AC19" s="1">
        <v>2.548602904669749E10</v>
      </c>
      <c r="AD19" s="1">
        <v>2.7639649994189995E10</v>
      </c>
      <c r="AE19" s="1">
        <v>27.01</v>
      </c>
      <c r="AF19" s="44"/>
      <c r="AG19" s="47">
        <v>2.76512438973893E8</v>
      </c>
      <c r="AH19" s="48">
        <f t="shared" si="3"/>
        <v>276.0148477</v>
      </c>
      <c r="AI19" s="1">
        <f t="shared" si="1"/>
        <v>0.09594194871</v>
      </c>
      <c r="AJ19" s="1">
        <v>2.882080702780129E11</v>
      </c>
      <c r="AK19" s="1"/>
      <c r="AL19" s="1"/>
    </row>
    <row r="20">
      <c r="A20" s="40" t="s">
        <v>41</v>
      </c>
      <c r="B20" s="40">
        <v>1993.0</v>
      </c>
      <c r="C20" s="52"/>
      <c r="D20" s="1">
        <v>5.194964843187182E11</v>
      </c>
      <c r="E20" s="1">
        <v>4.750776219579905</v>
      </c>
      <c r="F20" s="1">
        <v>563.3728723367472</v>
      </c>
      <c r="G20" s="48">
        <f t="shared" si="2"/>
        <v>2.574089519</v>
      </c>
      <c r="H20" s="42"/>
      <c r="I20" s="1">
        <v>9.960812791648451E10</v>
      </c>
      <c r="J20" s="1">
        <v>-0.8261612083917811</v>
      </c>
      <c r="K20" s="44"/>
      <c r="L20" s="1">
        <v>3.3233873E8</v>
      </c>
      <c r="M20" s="1">
        <v>7.662</v>
      </c>
      <c r="N20" s="48">
        <f t="shared" si="4"/>
        <v>92.338</v>
      </c>
      <c r="O20" s="48">
        <f t="shared" si="5"/>
        <v>306874936.5</v>
      </c>
      <c r="P20" s="48">
        <f t="shared" si="6"/>
        <v>1692.860584</v>
      </c>
      <c r="Q20" s="48">
        <f t="shared" si="8"/>
        <v>2.143674408</v>
      </c>
      <c r="R20" s="51">
        <f t="shared" si="7"/>
        <v>324.5886714</v>
      </c>
      <c r="S20" s="48">
        <f t="shared" si="9"/>
        <v>-3.294460768</v>
      </c>
      <c r="T20" s="46"/>
      <c r="U20" s="1">
        <v>15.915712107843891</v>
      </c>
      <c r="V20" s="1">
        <v>8.591341073616917</v>
      </c>
      <c r="W20" s="1">
        <v>6.6946564500408646E10</v>
      </c>
      <c r="X20" s="1">
        <v>62.6630638065269</v>
      </c>
      <c r="Y20" s="1">
        <v>14.7602607112643</v>
      </c>
      <c r="Z20" s="1">
        <v>22.5766758080731</v>
      </c>
      <c r="AA20" s="42"/>
      <c r="AB20" s="1">
        <v>19.651539786468376</v>
      </c>
      <c r="AC20" s="1">
        <v>2.746654146291352E10</v>
      </c>
      <c r="AD20" s="1">
        <v>2.7419354118763275E10</v>
      </c>
      <c r="AE20" s="1" t="s">
        <v>48</v>
      </c>
      <c r="AF20" s="44"/>
      <c r="AG20" s="47">
        <v>5.50370024929383E8</v>
      </c>
      <c r="AH20" s="48">
        <f t="shared" si="3"/>
        <v>99.03987935</v>
      </c>
      <c r="AI20" s="1">
        <f t="shared" si="1"/>
        <v>0.1970564264</v>
      </c>
      <c r="AJ20" s="1">
        <v>2.7929564898252924E11</v>
      </c>
    </row>
    <row r="21">
      <c r="A21" s="40" t="s">
        <v>41</v>
      </c>
      <c r="B21" s="49">
        <v>1994.0</v>
      </c>
      <c r="C21" s="52"/>
      <c r="D21" s="1">
        <v>5.540893607426937E11</v>
      </c>
      <c r="E21" s="1">
        <v>6.658924067473066</v>
      </c>
      <c r="F21" s="1">
        <v>588.7278921806322</v>
      </c>
      <c r="G21" s="48">
        <f t="shared" si="2"/>
        <v>4.500575212</v>
      </c>
      <c r="H21" s="42"/>
      <c r="I21" s="1">
        <v>1.0534455677880779E11</v>
      </c>
      <c r="J21" s="1">
        <v>5.758996762927751</v>
      </c>
      <c r="K21" s="44"/>
      <c r="L21" s="1">
        <v>3.40802039E8</v>
      </c>
      <c r="M21" s="1">
        <v>7.593</v>
      </c>
      <c r="N21" s="48">
        <f t="shared" si="4"/>
        <v>92.407</v>
      </c>
      <c r="O21" s="48">
        <f t="shared" si="5"/>
        <v>314924940.2</v>
      </c>
      <c r="P21" s="48">
        <f t="shared" si="6"/>
        <v>1759.43309</v>
      </c>
      <c r="Q21" s="48">
        <f t="shared" si="8"/>
        <v>3.932545109</v>
      </c>
      <c r="R21" s="51">
        <f t="shared" si="7"/>
        <v>334.5068724</v>
      </c>
      <c r="S21" s="48">
        <f t="shared" si="9"/>
        <v>3.055621439</v>
      </c>
      <c r="T21" s="46"/>
      <c r="U21" s="1">
        <v>16.76413813131199</v>
      </c>
      <c r="V21" s="1">
        <v>10.821183243712213</v>
      </c>
      <c r="W21" s="1">
        <v>7.419097492036786E10</v>
      </c>
      <c r="X21" s="1">
        <v>62.3712403783223</v>
      </c>
      <c r="Y21" s="1">
        <v>14.8513502686444</v>
      </c>
      <c r="Z21" s="1">
        <v>22.7774093530333</v>
      </c>
      <c r="AA21" s="42"/>
      <c r="AB21" s="1">
        <v>20.07814437692546</v>
      </c>
      <c r="AC21" s="1">
        <v>3.236121443143209E10</v>
      </c>
      <c r="AD21" s="1">
        <v>3.3349501147708862E10</v>
      </c>
      <c r="AE21" s="1" t="s">
        <v>48</v>
      </c>
      <c r="AF21" s="44"/>
      <c r="AG21" s="47">
        <v>9.73271468722873E8</v>
      </c>
      <c r="AH21" s="48">
        <f t="shared" si="3"/>
        <v>76.8394761</v>
      </c>
      <c r="AI21" s="1">
        <f t="shared" si="1"/>
        <v>0.2973865814</v>
      </c>
      <c r="AJ21" s="1">
        <v>3.27274843459429E11</v>
      </c>
    </row>
    <row r="22">
      <c r="A22" s="40" t="s">
        <v>41</v>
      </c>
      <c r="B22" s="49">
        <v>1995.0</v>
      </c>
      <c r="C22" s="52"/>
      <c r="D22" s="1">
        <v>5.960588141599641E11</v>
      </c>
      <c r="E22" s="1">
        <v>7.574491840271946</v>
      </c>
      <c r="F22" s="1">
        <v>620.6999543363655</v>
      </c>
      <c r="G22" s="48">
        <f t="shared" si="2"/>
        <v>5.430702805</v>
      </c>
      <c r="H22" s="42"/>
      <c r="I22" s="1">
        <v>1.1811244607914948E11</v>
      </c>
      <c r="J22" s="1">
        <v>12.120122473105525</v>
      </c>
      <c r="K22" s="44"/>
      <c r="L22" s="1">
        <v>3.51330547E8</v>
      </c>
      <c r="M22" s="1">
        <v>7.57</v>
      </c>
      <c r="N22" s="48">
        <f t="shared" si="4"/>
        <v>92.43</v>
      </c>
      <c r="O22" s="48">
        <f t="shared" si="5"/>
        <v>324734824.6</v>
      </c>
      <c r="P22" s="48">
        <f t="shared" si="6"/>
        <v>1835.52477</v>
      </c>
      <c r="Q22" s="48">
        <f t="shared" si="8"/>
        <v>4.324783922</v>
      </c>
      <c r="R22" s="51">
        <f t="shared" si="7"/>
        <v>363.7196787</v>
      </c>
      <c r="S22" s="48">
        <f t="shared" si="9"/>
        <v>8.733096018</v>
      </c>
      <c r="T22" s="46"/>
      <c r="U22" s="1">
        <v>17.86585059685543</v>
      </c>
      <c r="V22" s="1">
        <v>15.461462926030748</v>
      </c>
      <c r="W22" s="1">
        <v>8.56619850021413E10</v>
      </c>
      <c r="X22" s="1">
        <v>61.9744284767541</v>
      </c>
      <c r="Y22" s="1">
        <v>15.0004830062333</v>
      </c>
      <c r="Z22" s="1">
        <v>23.0250885170126</v>
      </c>
      <c r="AA22" s="42"/>
      <c r="AB22" s="1">
        <v>22.8674487062499</v>
      </c>
      <c r="AC22" s="1">
        <v>3.906885511785177E10</v>
      </c>
      <c r="AD22" s="1">
        <v>4.3318425767770706E10</v>
      </c>
      <c r="AE22" s="1" t="s">
        <v>48</v>
      </c>
      <c r="AF22" s="44"/>
      <c r="AG22" s="47">
        <v>2.14362811028391E9</v>
      </c>
      <c r="AH22" s="48">
        <f t="shared" si="3"/>
        <v>120.2497637</v>
      </c>
      <c r="AI22" s="1">
        <f t="shared" si="1"/>
        <v>0.5949863296</v>
      </c>
      <c r="AJ22" s="1">
        <v>3.6028190964348914E11</v>
      </c>
    </row>
    <row r="23">
      <c r="A23" s="40" t="s">
        <v>41</v>
      </c>
      <c r="B23" s="49">
        <v>1996.0</v>
      </c>
      <c r="C23" s="52"/>
      <c r="D23" s="1">
        <v>6.410584069514303E11</v>
      </c>
      <c r="E23" s="1">
        <v>7.5495222488882945</v>
      </c>
      <c r="F23" s="1">
        <v>654.3559284340519</v>
      </c>
      <c r="G23" s="48">
        <f t="shared" si="2"/>
        <v>5.42226141</v>
      </c>
      <c r="H23" s="42"/>
      <c r="I23" s="1">
        <v>1.2366733970796796E11</v>
      </c>
      <c r="J23" s="1">
        <v>4.7030552775920285</v>
      </c>
      <c r="K23" s="44"/>
      <c r="L23" s="1">
        <v>3.62330724E8</v>
      </c>
      <c r="M23" s="1">
        <v>7.537</v>
      </c>
      <c r="N23" s="48">
        <f t="shared" si="4"/>
        <v>92.463</v>
      </c>
      <c r="O23" s="48">
        <f t="shared" si="5"/>
        <v>335021857.3</v>
      </c>
      <c r="P23" s="48">
        <f t="shared" si="6"/>
        <v>1913.482338</v>
      </c>
      <c r="Q23" s="48">
        <f t="shared" si="8"/>
        <v>4.247154262</v>
      </c>
      <c r="R23" s="51">
        <f t="shared" si="7"/>
        <v>369.1321536</v>
      </c>
      <c r="S23" s="48">
        <f t="shared" si="9"/>
        <v>1.488089645</v>
      </c>
      <c r="T23" s="46"/>
      <c r="U23" s="1">
        <v>17.596340800641393</v>
      </c>
      <c r="V23" s="1">
        <v>9.501276778891395</v>
      </c>
      <c r="W23" s="1">
        <v>9.380096729148717E10</v>
      </c>
      <c r="X23" s="1">
        <v>61.5133808555238</v>
      </c>
      <c r="Y23" s="1">
        <v>15.2712590554772</v>
      </c>
      <c r="Z23" s="1">
        <v>23.2153600889989</v>
      </c>
      <c r="AA23" s="42"/>
      <c r="AB23" s="1">
        <v>21.92948787138665</v>
      </c>
      <c r="AC23" s="1">
        <v>4.080300461817541E10</v>
      </c>
      <c r="AD23" s="1">
        <v>4.5357266003202126E10</v>
      </c>
      <c r="AE23" s="1">
        <v>23.72</v>
      </c>
      <c r="AF23" s="44"/>
      <c r="AG23" s="47">
        <v>2.42605702191092E9</v>
      </c>
      <c r="AH23" s="48">
        <f t="shared" si="3"/>
        <v>13.17527561</v>
      </c>
      <c r="AI23" s="1">
        <f t="shared" si="1"/>
        <v>0.6174793516</v>
      </c>
      <c r="AJ23" s="1">
        <v>3.928968662045158E11</v>
      </c>
    </row>
    <row r="24">
      <c r="A24" s="40" t="s">
        <v>41</v>
      </c>
      <c r="B24" s="49">
        <v>1997.0</v>
      </c>
      <c r="C24" s="52"/>
      <c r="D24" s="1">
        <v>6.670201239705758E11</v>
      </c>
      <c r="E24" s="1">
        <v>4.049820849024826</v>
      </c>
      <c r="F24" s="1">
        <v>667.5984230933993</v>
      </c>
      <c r="G24" s="48">
        <f t="shared" si="2"/>
        <v>2.023744889</v>
      </c>
      <c r="H24" s="42"/>
      <c r="I24" s="1">
        <v>1.3491911861939548E11</v>
      </c>
      <c r="J24" s="1">
        <v>9.098423996180259</v>
      </c>
      <c r="K24" s="44"/>
      <c r="L24" s="1">
        <v>3.73673862E8</v>
      </c>
      <c r="M24" s="1">
        <v>7.574</v>
      </c>
      <c r="N24" s="48">
        <f t="shared" si="4"/>
        <v>92.426</v>
      </c>
      <c r="O24" s="48">
        <f t="shared" si="5"/>
        <v>345371803.7</v>
      </c>
      <c r="P24" s="48">
        <f t="shared" si="6"/>
        <v>1931.310306</v>
      </c>
      <c r="Q24" s="48">
        <f t="shared" si="8"/>
        <v>0.9317027715</v>
      </c>
      <c r="R24" s="51">
        <f t="shared" si="7"/>
        <v>390.6489099</v>
      </c>
      <c r="S24" s="48">
        <f t="shared" si="9"/>
        <v>5.829011658</v>
      </c>
      <c r="T24" s="46"/>
      <c r="U24" s="1">
        <v>16.518578530433338</v>
      </c>
      <c r="V24" s="1">
        <v>0.05118690904259893</v>
      </c>
      <c r="W24" s="1">
        <v>9.384898110729575E10</v>
      </c>
      <c r="X24" s="1">
        <v>61.1586254457877</v>
      </c>
      <c r="Y24" s="1">
        <v>15.4726082964194</v>
      </c>
      <c r="Z24" s="1">
        <v>23.3687662577929</v>
      </c>
      <c r="AA24" s="42"/>
      <c r="AB24" s="1">
        <v>22.619386867047854</v>
      </c>
      <c r="AC24" s="1">
        <v>4.44592256425392E10</v>
      </c>
      <c r="AD24" s="1">
        <v>4.960746742108907E10</v>
      </c>
      <c r="AE24" s="1">
        <v>20.13</v>
      </c>
      <c r="AF24" s="44"/>
      <c r="AG24" s="47">
        <v>3.57733004234585E9</v>
      </c>
      <c r="AH24" s="48">
        <f t="shared" si="3"/>
        <v>47.45449138</v>
      </c>
      <c r="AI24" s="1">
        <f t="shared" si="1"/>
        <v>0.8602089597</v>
      </c>
      <c r="AJ24" s="1">
        <v>4.1586756359282904E11</v>
      </c>
    </row>
    <row r="25">
      <c r="A25" s="40" t="s">
        <v>41</v>
      </c>
      <c r="B25" s="49">
        <v>1998.0</v>
      </c>
      <c r="C25" s="52"/>
      <c r="D25" s="1">
        <v>7.082714220453556E11</v>
      </c>
      <c r="E25" s="1">
        <v>6.184415820803551</v>
      </c>
      <c r="F25" s="1">
        <v>695.2937093370822</v>
      </c>
      <c r="G25" s="48">
        <f t="shared" si="2"/>
        <v>4.148494856</v>
      </c>
      <c r="H25" s="42"/>
      <c r="I25" s="1">
        <v>1.492460407574896E11</v>
      </c>
      <c r="J25" s="1">
        <v>10.618896924838438</v>
      </c>
      <c r="K25" s="44"/>
      <c r="L25" s="1">
        <v>3.85347723E8</v>
      </c>
      <c r="M25" s="1">
        <v>7.596</v>
      </c>
      <c r="N25" s="48">
        <f t="shared" si="4"/>
        <v>92.404</v>
      </c>
      <c r="O25" s="48">
        <f t="shared" si="5"/>
        <v>356076710</v>
      </c>
      <c r="P25" s="48">
        <f t="shared" si="6"/>
        <v>1989.097861</v>
      </c>
      <c r="Q25" s="48">
        <f t="shared" si="8"/>
        <v>2.992142396</v>
      </c>
      <c r="R25" s="51">
        <f t="shared" si="7"/>
        <v>419.1401363</v>
      </c>
      <c r="S25" s="48">
        <f t="shared" si="9"/>
        <v>7.29330755</v>
      </c>
      <c r="T25" s="46"/>
      <c r="U25" s="1">
        <v>15.71931601649385</v>
      </c>
      <c r="V25" s="1">
        <v>3.1318435932712987</v>
      </c>
      <c r="W25" s="1">
        <v>9.678818440945499E10</v>
      </c>
      <c r="X25" s="1">
        <v>60.647957461241</v>
      </c>
      <c r="Y25" s="1">
        <v>15.7949095027609</v>
      </c>
      <c r="Z25" s="1">
        <v>23.5571330359981</v>
      </c>
      <c r="AA25" s="42"/>
      <c r="AB25" s="1">
        <v>23.69947007906474</v>
      </c>
      <c r="AC25" s="1">
        <v>4.642646502504766E10</v>
      </c>
      <c r="AD25" s="1">
        <v>5.343156432842245E10</v>
      </c>
      <c r="AE25" s="1" t="s">
        <v>48</v>
      </c>
      <c r="AF25" s="44"/>
      <c r="AG25" s="47">
        <v>2.6346516577714E9</v>
      </c>
      <c r="AH25" s="48">
        <f t="shared" si="3"/>
        <v>-26.35145132</v>
      </c>
      <c r="AI25" s="1">
        <f t="shared" si="1"/>
        <v>0.6252862042</v>
      </c>
      <c r="AJ25" s="1">
        <v>4.213513172249413E11</v>
      </c>
    </row>
    <row r="26">
      <c r="A26" s="40" t="s">
        <v>41</v>
      </c>
      <c r="B26" s="49">
        <v>1999.0</v>
      </c>
      <c r="C26" s="52"/>
      <c r="D26" s="1">
        <v>7.709233807489061E11</v>
      </c>
      <c r="E26" s="1">
        <v>8.84575556114116</v>
      </c>
      <c r="F26" s="1">
        <v>742.5392083981195</v>
      </c>
      <c r="G26" s="48">
        <f t="shared" si="2"/>
        <v>6.795041926</v>
      </c>
      <c r="H26" s="42"/>
      <c r="I26" s="1">
        <v>1.7423161223511862E11</v>
      </c>
      <c r="J26" s="1">
        <v>16.741195512334002</v>
      </c>
      <c r="K26" s="44"/>
      <c r="L26" s="1">
        <v>3.97354085E8</v>
      </c>
      <c r="M26" s="1">
        <v>7.583</v>
      </c>
      <c r="N26" s="48">
        <f t="shared" si="4"/>
        <v>92.417</v>
      </c>
      <c r="O26" s="48">
        <f t="shared" si="5"/>
        <v>367222724.7</v>
      </c>
      <c r="P26" s="48">
        <f t="shared" si="6"/>
        <v>2099.334624</v>
      </c>
      <c r="Q26" s="48">
        <f t="shared" si="8"/>
        <v>5.542048253</v>
      </c>
      <c r="R26" s="51">
        <f t="shared" si="7"/>
        <v>474.4575989</v>
      </c>
      <c r="S26" s="48">
        <f t="shared" si="9"/>
        <v>13.19784429</v>
      </c>
      <c r="T26" s="46"/>
      <c r="U26" s="1">
        <v>15.180536713273817</v>
      </c>
      <c r="V26" s="1">
        <v>5.393774515756917</v>
      </c>
      <c r="W26" s="1">
        <v>1.0200872083439597E11</v>
      </c>
      <c r="X26" s="1">
        <v>59.8780266801724</v>
      </c>
      <c r="Y26" s="1">
        <v>16.309428466053</v>
      </c>
      <c r="Z26" s="1">
        <v>23.8125410413714</v>
      </c>
      <c r="AA26" s="42"/>
      <c r="AB26" s="1">
        <v>24.815598044292916</v>
      </c>
      <c r="AC26" s="1">
        <v>5.254448340269358E10</v>
      </c>
      <c r="AD26" s="1">
        <v>6.131470475703452E10</v>
      </c>
      <c r="AE26" s="1">
        <v>28.51</v>
      </c>
      <c r="AF26" s="44"/>
      <c r="AG26" s="47">
        <v>2.16859105437924E9</v>
      </c>
      <c r="AH26" s="48">
        <f t="shared" si="3"/>
        <v>-17.68964797</v>
      </c>
      <c r="AI26" s="1">
        <f t="shared" si="1"/>
        <v>0.4726441915</v>
      </c>
      <c r="AJ26" s="1">
        <v>4.588210526157898E11</v>
      </c>
    </row>
    <row r="27">
      <c r="A27" s="40" t="s">
        <v>41</v>
      </c>
      <c r="B27" s="49">
        <v>2000.0</v>
      </c>
      <c r="C27" s="52"/>
      <c r="D27" s="49">
        <v>8.005344796296804E11</v>
      </c>
      <c r="E27" s="49">
        <v>3.8409911568655417</v>
      </c>
      <c r="F27" s="49">
        <v>756.7041095331869</v>
      </c>
      <c r="G27" s="48">
        <f t="shared" si="2"/>
        <v>1.907630058</v>
      </c>
      <c r="H27" s="42"/>
      <c r="I27" s="49">
        <v>1.7110592874279523E11</v>
      </c>
      <c r="J27" s="49">
        <v>-1.7939818453297676</v>
      </c>
      <c r="K27" s="44"/>
      <c r="L27" s="49">
        <v>4.09617771E8</v>
      </c>
      <c r="M27" s="49">
        <v>7.589</v>
      </c>
      <c r="N27" s="48">
        <f t="shared" si="4"/>
        <v>92.411</v>
      </c>
      <c r="O27" s="48">
        <f t="shared" si="5"/>
        <v>378531878.4</v>
      </c>
      <c r="P27" s="48">
        <f t="shared" si="6"/>
        <v>2114.840322</v>
      </c>
      <c r="Q27" s="48">
        <f t="shared" si="8"/>
        <v>0.738600609</v>
      </c>
      <c r="R27" s="51">
        <f t="shared" si="7"/>
        <v>452.0251491</v>
      </c>
      <c r="S27" s="48">
        <f t="shared" si="9"/>
        <v>-4.728019927</v>
      </c>
      <c r="T27" s="46"/>
      <c r="U27" s="49">
        <v>15.927023018432255</v>
      </c>
      <c r="V27" s="49">
        <v>7.29909784901113</v>
      </c>
      <c r="W27" s="49">
        <v>1.0945443718262312E11</v>
      </c>
      <c r="X27" s="49">
        <v>59.607310099104</v>
      </c>
      <c r="Y27" s="49">
        <v>16.341359744203</v>
      </c>
      <c r="Z27" s="49">
        <v>24.0513301566929</v>
      </c>
      <c r="AA27" s="42"/>
      <c r="AB27" s="49">
        <v>26.900922910447356</v>
      </c>
      <c r="AC27" s="49">
        <v>6.08784728212004E10</v>
      </c>
      <c r="AD27" s="49">
        <v>6.5124245375053055E10</v>
      </c>
      <c r="AE27" s="49">
        <v>23.36</v>
      </c>
      <c r="AF27" s="44"/>
      <c r="AG27" s="50">
        <v>3.58421730718755E9</v>
      </c>
      <c r="AH27" s="48">
        <f t="shared" si="3"/>
        <v>65.27861719</v>
      </c>
      <c r="AI27" s="1">
        <f t="shared" si="1"/>
        <v>0.7652116943</v>
      </c>
      <c r="AJ27" s="1">
        <v>4.683955216544579E11</v>
      </c>
    </row>
    <row r="28">
      <c r="A28" s="40" t="s">
        <v>41</v>
      </c>
      <c r="B28" s="49">
        <v>2001.0</v>
      </c>
      <c r="C28" s="52"/>
      <c r="D28" s="49">
        <v>8.391519928584883E11</v>
      </c>
      <c r="E28" s="49">
        <v>4.823966263973034</v>
      </c>
      <c r="F28" s="49">
        <v>778.5073775224986</v>
      </c>
      <c r="G28" s="48">
        <f t="shared" si="2"/>
        <v>2.881346581</v>
      </c>
      <c r="H28" s="42"/>
      <c r="I28" s="49">
        <v>2.0907472024912314E11</v>
      </c>
      <c r="J28" s="49">
        <v>22.190225543500745</v>
      </c>
      <c r="K28" s="44"/>
      <c r="L28" s="49">
        <v>4.18764922E8</v>
      </c>
      <c r="M28" s="49">
        <v>7.611</v>
      </c>
      <c r="N28" s="48">
        <f t="shared" si="4"/>
        <v>92.389</v>
      </c>
      <c r="O28" s="48">
        <f t="shared" si="5"/>
        <v>386892723.8</v>
      </c>
      <c r="P28" s="48">
        <f t="shared" si="6"/>
        <v>2168.952635</v>
      </c>
      <c r="Q28" s="48">
        <f t="shared" si="8"/>
        <v>2.558694975</v>
      </c>
      <c r="R28" s="51">
        <f t="shared" si="7"/>
        <v>540.3945523</v>
      </c>
      <c r="S28" s="48">
        <f t="shared" si="9"/>
        <v>19.54966519</v>
      </c>
      <c r="T28" s="46"/>
      <c r="U28" s="49">
        <v>15.307021283153091</v>
      </c>
      <c r="V28" s="49">
        <v>2.2703251937848563</v>
      </c>
      <c r="W28" s="49">
        <v>1.1193940884569563E11</v>
      </c>
      <c r="X28" s="49">
        <v>58.8908092207151</v>
      </c>
      <c r="Y28" s="49">
        <v>16.7528345033409</v>
      </c>
      <c r="Z28" s="49">
        <v>24.356356017476</v>
      </c>
      <c r="AA28" s="42"/>
      <c r="AB28" s="49">
        <v>25.993254753436517</v>
      </c>
      <c r="AC28" s="49">
        <v>6.096341557664468E10</v>
      </c>
      <c r="AD28" s="49">
        <v>6.521827648213225E10</v>
      </c>
      <c r="AE28" s="49">
        <v>26.51</v>
      </c>
      <c r="AF28" s="44"/>
      <c r="AG28" s="50">
        <v>5.12809356162688E9</v>
      </c>
      <c r="AH28" s="48">
        <f t="shared" si="3"/>
        <v>43.07429271</v>
      </c>
      <c r="AI28" s="1">
        <f t="shared" si="1"/>
        <v>1.05638021</v>
      </c>
      <c r="AJ28" s="1">
        <v>4.8544013920417053E11</v>
      </c>
    </row>
    <row r="29">
      <c r="A29" s="40" t="s">
        <v>41</v>
      </c>
      <c r="B29" s="49">
        <v>2002.0</v>
      </c>
      <c r="C29" s="52"/>
      <c r="D29" s="49">
        <v>8.710731275741864E11</v>
      </c>
      <c r="E29" s="49">
        <v>3.803975321200383</v>
      </c>
      <c r="F29" s="49">
        <v>793.6159129010017</v>
      </c>
      <c r="G29" s="48">
        <f t="shared" si="2"/>
        <v>1.940705485</v>
      </c>
      <c r="H29" s="42"/>
      <c r="I29" s="49">
        <v>2.075749136843497E11</v>
      </c>
      <c r="J29" s="49">
        <v>-0.7173543329324303</v>
      </c>
      <c r="K29" s="44"/>
      <c r="L29" s="49">
        <v>4.27829074E8</v>
      </c>
      <c r="M29" s="49">
        <v>7.681</v>
      </c>
      <c r="N29" s="48">
        <f t="shared" si="4"/>
        <v>92.319</v>
      </c>
      <c r="O29" s="48">
        <f t="shared" si="5"/>
        <v>394967522.8</v>
      </c>
      <c r="P29" s="48">
        <f t="shared" si="6"/>
        <v>2205.429756</v>
      </c>
      <c r="Q29" s="48">
        <f t="shared" si="8"/>
        <v>1.681785035</v>
      </c>
      <c r="R29" s="51">
        <f t="shared" si="7"/>
        <v>525.5493216</v>
      </c>
      <c r="S29" s="48">
        <f t="shared" si="9"/>
        <v>-2.747109605</v>
      </c>
      <c r="T29" s="46"/>
      <c r="U29" s="49">
        <v>15.55870172629556</v>
      </c>
      <c r="V29" s="49">
        <v>6.866763607650242</v>
      </c>
      <c r="W29" s="49">
        <v>1.1962602343493068E11</v>
      </c>
      <c r="X29" s="49">
        <v>58.2078564520654</v>
      </c>
      <c r="Y29" s="49">
        <v>17.0567268841005</v>
      </c>
      <c r="Z29" s="49">
        <v>24.7354169170179</v>
      </c>
      <c r="AA29" s="42"/>
      <c r="AB29" s="49">
        <v>29.5086629350614</v>
      </c>
      <c r="AC29" s="49">
        <v>7.345289595163309E10</v>
      </c>
      <c r="AD29" s="49">
        <v>7.849875928573134E10</v>
      </c>
      <c r="AE29" s="49">
        <v>23.08</v>
      </c>
      <c r="AF29" s="44"/>
      <c r="AG29" s="50">
        <v>5.20896710627894E9</v>
      </c>
      <c r="AH29" s="48">
        <f t="shared" si="3"/>
        <v>1.577068431</v>
      </c>
      <c r="AI29" s="1">
        <f t="shared" si="1"/>
        <v>1.011569465</v>
      </c>
      <c r="AJ29" s="1">
        <v>5.149391403187556E11</v>
      </c>
    </row>
    <row r="30">
      <c r="A30" s="40" t="s">
        <v>41</v>
      </c>
      <c r="B30" s="49">
        <v>2003.0</v>
      </c>
      <c r="C30" s="52"/>
      <c r="D30" s="49">
        <v>9.395427983316547E11</v>
      </c>
      <c r="E30" s="49">
        <v>7.860381475450453</v>
      </c>
      <c r="F30" s="49">
        <v>841.2788945624084</v>
      </c>
      <c r="G30" s="48">
        <f t="shared" si="2"/>
        <v>6.005799643</v>
      </c>
      <c r="H30" s="42"/>
      <c r="I30" s="49">
        <v>2.1819445491432138E11</v>
      </c>
      <c r="J30" s="49">
        <v>5.116004165185558</v>
      </c>
      <c r="K30" s="44"/>
      <c r="L30" s="49">
        <v>4.36753652E8</v>
      </c>
      <c r="M30" s="49">
        <v>7.633</v>
      </c>
      <c r="N30" s="48">
        <f t="shared" si="4"/>
        <v>92.367</v>
      </c>
      <c r="O30" s="48">
        <f t="shared" si="5"/>
        <v>403416245.7</v>
      </c>
      <c r="P30" s="48">
        <f t="shared" si="6"/>
        <v>2328.966194</v>
      </c>
      <c r="Q30" s="48">
        <f t="shared" si="8"/>
        <v>5.601467794</v>
      </c>
      <c r="R30" s="51">
        <f t="shared" si="7"/>
        <v>540.8668025</v>
      </c>
      <c r="S30" s="48">
        <f t="shared" si="9"/>
        <v>2.914565818</v>
      </c>
      <c r="T30" s="46"/>
      <c r="U30" s="49">
        <v>15.58738664864604</v>
      </c>
      <c r="V30" s="49">
        <v>6.336610322550911</v>
      </c>
      <c r="W30" s="49">
        <v>1.2720625838436566E11</v>
      </c>
      <c r="X30" s="49">
        <v>57.1646505429386</v>
      </c>
      <c r="Y30" s="49">
        <v>17.6938066486046</v>
      </c>
      <c r="Z30" s="49">
        <v>25.1415353719471</v>
      </c>
      <c r="AA30" s="42"/>
      <c r="AB30" s="49">
        <v>30.592436132907984</v>
      </c>
      <c r="AC30" s="49">
        <v>9.083857524376205E10</v>
      </c>
      <c r="AD30" s="49">
        <v>9.50718693785573E10</v>
      </c>
      <c r="AE30" s="49">
        <v>21.45</v>
      </c>
      <c r="AF30" s="44"/>
      <c r="AG30" s="50">
        <v>3.68198467143428E9</v>
      </c>
      <c r="AH30" s="48">
        <f t="shared" si="3"/>
        <v>-29.31449563</v>
      </c>
      <c r="AI30" s="1">
        <f t="shared" si="1"/>
        <v>0.6058878571</v>
      </c>
      <c r="AJ30" s="1">
        <v>6.077006872373179E11</v>
      </c>
    </row>
    <row r="31">
      <c r="A31" s="40" t="s">
        <v>41</v>
      </c>
      <c r="B31" s="49">
        <v>2004.0</v>
      </c>
      <c r="C31" s="52"/>
      <c r="D31" s="49">
        <v>1.0139821786962278E12</v>
      </c>
      <c r="E31" s="49">
        <v>7.922936613079784</v>
      </c>
      <c r="F31" s="49">
        <v>892.5966145807181</v>
      </c>
      <c r="G31" s="48">
        <f t="shared" si="2"/>
        <v>6.099965226</v>
      </c>
      <c r="H31" s="42"/>
      <c r="I31" s="49">
        <v>2.431863863198393E11</v>
      </c>
      <c r="J31" s="49">
        <v>11.453971832295878</v>
      </c>
      <c r="K31" s="44"/>
      <c r="L31" s="49">
        <v>4.45825854E8</v>
      </c>
      <c r="M31" s="49">
        <v>7.598</v>
      </c>
      <c r="N31" s="48">
        <f t="shared" si="4"/>
        <v>92.402</v>
      </c>
      <c r="O31" s="48">
        <f t="shared" si="5"/>
        <v>411952005.6</v>
      </c>
      <c r="P31" s="48">
        <f t="shared" si="6"/>
        <v>2461.408525</v>
      </c>
      <c r="Q31" s="48">
        <f t="shared" si="8"/>
        <v>5.686743419</v>
      </c>
      <c r="R31" s="51">
        <f t="shared" si="7"/>
        <v>590.3269871</v>
      </c>
      <c r="S31" s="48">
        <f t="shared" si="9"/>
        <v>9.144614608</v>
      </c>
      <c r="T31" s="46"/>
      <c r="U31" s="49">
        <v>15.827245740502713</v>
      </c>
      <c r="V31" s="49">
        <v>7.383253310659725</v>
      </c>
      <c r="W31" s="49">
        <v>1.365982186678957E11</v>
      </c>
      <c r="X31" s="49">
        <v>55.9994573237763</v>
      </c>
      <c r="Y31" s="49">
        <v>18.4184794843161</v>
      </c>
      <c r="Z31" s="49">
        <v>25.5820631919076</v>
      </c>
      <c r="AA31" s="42"/>
      <c r="AB31" s="49">
        <v>37.50381405944698</v>
      </c>
      <c r="AC31" s="49">
        <v>1.266484720207521E11</v>
      </c>
      <c r="AD31" s="49">
        <v>1.3931084879743585E11</v>
      </c>
      <c r="AE31" s="49">
        <v>22.96</v>
      </c>
      <c r="AF31" s="44"/>
      <c r="AG31" s="50">
        <v>5.42925098985717E9</v>
      </c>
      <c r="AH31" s="48">
        <f t="shared" si="3"/>
        <v>47.45447019</v>
      </c>
      <c r="AI31" s="1">
        <f t="shared" si="1"/>
        <v>0.7655968551</v>
      </c>
      <c r="AJ31" s="1">
        <v>7.091527288307745E11</v>
      </c>
    </row>
    <row r="32">
      <c r="A32" s="40" t="s">
        <v>41</v>
      </c>
      <c r="B32" s="49">
        <v>2005.0</v>
      </c>
      <c r="C32" s="52"/>
      <c r="D32" s="49">
        <v>1.094324353137751E12</v>
      </c>
      <c r="E32" s="49">
        <v>7.923430621317891</v>
      </c>
      <c r="F32" s="49">
        <v>947.7325656442715</v>
      </c>
      <c r="G32" s="48">
        <f t="shared" si="2"/>
        <v>6.177028925</v>
      </c>
      <c r="H32" s="42"/>
      <c r="I32" s="49">
        <v>2.831692240391331E11</v>
      </c>
      <c r="J32" s="49">
        <v>16.441231898034076</v>
      </c>
      <c r="K32" s="44"/>
      <c r="L32" s="49">
        <v>4.54832471E8</v>
      </c>
      <c r="M32" s="49">
        <v>7.551</v>
      </c>
      <c r="N32" s="48">
        <f t="shared" si="4"/>
        <v>92.449</v>
      </c>
      <c r="O32" s="48">
        <f t="shared" si="5"/>
        <v>420488071.1</v>
      </c>
      <c r="P32" s="48">
        <f t="shared" si="6"/>
        <v>2602.509865</v>
      </c>
      <c r="Q32" s="48">
        <f t="shared" si="8"/>
        <v>5.732544515</v>
      </c>
      <c r="R32" s="51">
        <f t="shared" si="7"/>
        <v>673.4298628</v>
      </c>
      <c r="S32" s="48">
        <f t="shared" si="9"/>
        <v>14.07743123</v>
      </c>
      <c r="T32" s="46"/>
      <c r="U32" s="49">
        <v>15.973017044613139</v>
      </c>
      <c r="V32" s="49">
        <v>9.349088691146918</v>
      </c>
      <c r="W32" s="49">
        <v>1.4936890728168408E11</v>
      </c>
      <c r="X32" s="49">
        <v>55.0204533123109</v>
      </c>
      <c r="Y32" s="49">
        <v>19.0012317655898</v>
      </c>
      <c r="Z32" s="49">
        <v>25.9783149220993</v>
      </c>
      <c r="AA32" s="42"/>
      <c r="AB32" s="49">
        <v>42.00166961486911</v>
      </c>
      <c r="AC32" s="49">
        <v>1.6083826068077817E11</v>
      </c>
      <c r="AD32" s="49">
        <v>1.8373661724332825E11</v>
      </c>
      <c r="AE32" s="49">
        <v>13.9</v>
      </c>
      <c r="AF32" s="44"/>
      <c r="AG32" s="50">
        <v>7.26940722561438E9</v>
      </c>
      <c r="AH32" s="48">
        <f t="shared" si="3"/>
        <v>33.89337202</v>
      </c>
      <c r="AI32" s="1">
        <f t="shared" si="1"/>
        <v>0.8860983785</v>
      </c>
      <c r="AJ32" s="1">
        <v>8.203837635114454E11</v>
      </c>
    </row>
    <row r="33">
      <c r="A33" s="40" t="s">
        <v>41</v>
      </c>
      <c r="B33" s="49">
        <v>2006.0</v>
      </c>
      <c r="C33" s="52"/>
      <c r="D33" s="49">
        <v>1.1825349127259507E12</v>
      </c>
      <c r="E33" s="49">
        <v>8.060732573050572</v>
      </c>
      <c r="F33" s="49">
        <v>1008.2327534481848</v>
      </c>
      <c r="G33" s="48">
        <f t="shared" si="2"/>
        <v>6.38367721</v>
      </c>
      <c r="H33" s="42"/>
      <c r="I33" s="49">
        <v>3.224564371674222E11</v>
      </c>
      <c r="J33" s="49">
        <v>13.87411123564037</v>
      </c>
      <c r="K33" s="44"/>
      <c r="L33" s="49">
        <v>4.5761146E8</v>
      </c>
      <c r="M33" s="49">
        <v>7.553</v>
      </c>
      <c r="N33" s="48">
        <f t="shared" si="4"/>
        <v>92.447</v>
      </c>
      <c r="O33" s="48">
        <f t="shared" si="5"/>
        <v>423048066.4</v>
      </c>
      <c r="P33" s="48">
        <f t="shared" si="6"/>
        <v>2795.273177</v>
      </c>
      <c r="Q33" s="48">
        <f t="shared" si="8"/>
        <v>7.406823501</v>
      </c>
      <c r="R33" s="51">
        <f t="shared" si="7"/>
        <v>762.2217492</v>
      </c>
      <c r="S33" s="48">
        <f t="shared" si="9"/>
        <v>13.1850236</v>
      </c>
      <c r="T33" s="46"/>
      <c r="U33" s="49">
        <v>17.303653331192518</v>
      </c>
      <c r="V33" s="49">
        <v>17.78779231797725</v>
      </c>
      <c r="W33" s="49">
        <v>1.7593833829658203E11</v>
      </c>
      <c r="X33" s="49">
        <v>54.2730178999296</v>
      </c>
      <c r="Y33" s="49">
        <v>19.5238914291204</v>
      </c>
      <c r="Z33" s="49">
        <v>26.20309067095</v>
      </c>
      <c r="AA33" s="42"/>
      <c r="AB33" s="49">
        <v>45.724480499265226</v>
      </c>
      <c r="AC33" s="49">
        <v>1.9997392236378305E11</v>
      </c>
      <c r="AD33" s="49">
        <v>2.2995502712737158E11</v>
      </c>
      <c r="AE33" s="49">
        <v>8.99</v>
      </c>
      <c r="AF33" s="44"/>
      <c r="AG33" s="50">
        <v>2.00291192671396E10</v>
      </c>
      <c r="AH33" s="48">
        <f t="shared" si="3"/>
        <v>175.5261694</v>
      </c>
      <c r="AI33" s="1">
        <f t="shared" si="1"/>
        <v>2.130168425</v>
      </c>
      <c r="AJ33" s="1">
        <v>9.402598887877214E11</v>
      </c>
    </row>
    <row r="34">
      <c r="A34" s="40" t="s">
        <v>41</v>
      </c>
      <c r="B34" s="49">
        <v>2007.0</v>
      </c>
      <c r="C34" s="52"/>
      <c r="D34" s="49">
        <v>1.273126725470218E12</v>
      </c>
      <c r="E34" s="49">
        <v>7.660815065107656</v>
      </c>
      <c r="F34" s="49">
        <v>1069.246968122337</v>
      </c>
      <c r="G34" s="48">
        <f t="shared" si="2"/>
        <v>6.051600136</v>
      </c>
      <c r="H34" s="42"/>
      <c r="I34" s="49">
        <v>3.751100219051532E11</v>
      </c>
      <c r="J34" s="49">
        <v>16.32889862589184</v>
      </c>
      <c r="K34" s="44"/>
      <c r="L34" s="49">
        <v>4.60225575E8</v>
      </c>
      <c r="M34" s="49">
        <v>7.562</v>
      </c>
      <c r="N34" s="48">
        <f t="shared" si="4"/>
        <v>92.438</v>
      </c>
      <c r="O34" s="48">
        <f t="shared" si="5"/>
        <v>425423317</v>
      </c>
      <c r="P34" s="48">
        <f t="shared" si="6"/>
        <v>2992.611534</v>
      </c>
      <c r="Q34" s="48">
        <f t="shared" si="8"/>
        <v>7.059716337</v>
      </c>
      <c r="R34" s="51">
        <f t="shared" si="7"/>
        <v>881.7335743</v>
      </c>
      <c r="S34" s="48">
        <f t="shared" si="9"/>
        <v>15.6794037</v>
      </c>
      <c r="T34" s="46"/>
      <c r="U34" s="49">
        <v>16.864567775406833</v>
      </c>
      <c r="V34" s="49">
        <v>6.98058873129321</v>
      </c>
      <c r="W34" s="49">
        <v>1.8821987011373776E11</v>
      </c>
      <c r="X34" s="49">
        <v>53.3688684377217</v>
      </c>
      <c r="Y34" s="49">
        <v>20.3219145451672</v>
      </c>
      <c r="Z34" s="49">
        <v>26.309209260168</v>
      </c>
      <c r="AA34" s="42"/>
      <c r="AB34" s="49">
        <v>45.686268679347975</v>
      </c>
      <c r="AC34" s="49">
        <v>2.5307752601316815E11</v>
      </c>
      <c r="AD34" s="49">
        <v>3.0280395255249994E11</v>
      </c>
      <c r="AE34" s="49">
        <v>11.99</v>
      </c>
      <c r="AF34" s="44"/>
      <c r="AG34" s="50">
        <v>2.52277408866819E10</v>
      </c>
      <c r="AH34" s="48">
        <f t="shared" si="3"/>
        <v>25.95531811</v>
      </c>
      <c r="AI34" s="1">
        <f t="shared" si="1"/>
        <v>2.073394047</v>
      </c>
      <c r="AJ34" s="1">
        <v>1.2167364388349553E12</v>
      </c>
    </row>
    <row r="35">
      <c r="A35" s="40" t="s">
        <v>41</v>
      </c>
      <c r="B35" s="49">
        <v>2008.0</v>
      </c>
      <c r="C35" s="52"/>
      <c r="D35" s="49">
        <v>1.3124243034002935E12</v>
      </c>
      <c r="E35" s="49">
        <v>3.0866980595008187</v>
      </c>
      <c r="F35" s="49">
        <v>1086.506052510045</v>
      </c>
      <c r="G35" s="48">
        <f t="shared" si="2"/>
        <v>1.614134517</v>
      </c>
      <c r="H35" s="42"/>
      <c r="I35" s="49">
        <v>3.871110671484847E11</v>
      </c>
      <c r="J35" s="49">
        <v>3.199340071581986</v>
      </c>
      <c r="K35" s="44"/>
      <c r="L35" s="49">
        <v>4.62536166E8</v>
      </c>
      <c r="M35" s="49">
        <v>7.629</v>
      </c>
      <c r="N35" s="48">
        <f t="shared" si="4"/>
        <v>92.371</v>
      </c>
      <c r="O35" s="48">
        <f t="shared" si="5"/>
        <v>427249281.9</v>
      </c>
      <c r="P35" s="48">
        <f t="shared" si="6"/>
        <v>3071.799905</v>
      </c>
      <c r="Q35" s="48">
        <f t="shared" si="8"/>
        <v>2.646129291</v>
      </c>
      <c r="R35" s="51">
        <f t="shared" si="7"/>
        <v>906.0543424</v>
      </c>
      <c r="S35" s="48">
        <f t="shared" si="9"/>
        <v>2.758289897</v>
      </c>
      <c r="T35" s="46"/>
      <c r="U35" s="49">
        <v>17.09867414895781</v>
      </c>
      <c r="V35" s="49">
        <v>4.663615482395016</v>
      </c>
      <c r="W35" s="49">
        <v>1.9699772111730585E11</v>
      </c>
      <c r="X35" s="49">
        <v>52.8791883959001</v>
      </c>
      <c r="Y35" s="49">
        <v>20.751447752882</v>
      </c>
      <c r="Z35" s="49">
        <v>26.3693638512179</v>
      </c>
      <c r="AA35" s="42"/>
      <c r="AB35" s="49">
        <v>53.368220439222625</v>
      </c>
      <c r="AC35" s="49">
        <v>2.8890204482069763E11</v>
      </c>
      <c r="AD35" s="49">
        <v>3.509269557991058E11</v>
      </c>
      <c r="AE35" s="49">
        <v>5.98</v>
      </c>
      <c r="AF35" s="44"/>
      <c r="AG35" s="50">
        <v>4.34062770758108E10</v>
      </c>
      <c r="AH35" s="48">
        <f t="shared" si="3"/>
        <v>72.05772515</v>
      </c>
      <c r="AI35" s="1">
        <f t="shared" si="1"/>
        <v>3.620523235</v>
      </c>
      <c r="AJ35" s="1">
        <v>1.198895139005919E12</v>
      </c>
    </row>
    <row r="36">
      <c r="A36" s="40" t="s">
        <v>41</v>
      </c>
      <c r="B36" s="49">
        <v>2009.0</v>
      </c>
      <c r="C36" s="52"/>
      <c r="D36" s="49">
        <v>1.4156056431513428E12</v>
      </c>
      <c r="E36" s="49">
        <v>7.861888833033802</v>
      </c>
      <c r="F36" s="49">
        <v>1155.10163273817</v>
      </c>
      <c r="G36" s="48">
        <f t="shared" si="2"/>
        <v>6.313409858</v>
      </c>
      <c r="H36" s="42"/>
      <c r="I36" s="49">
        <v>4.168291182603156E11</v>
      </c>
      <c r="J36" s="49">
        <v>7.6768797468742775</v>
      </c>
      <c r="K36" s="44"/>
      <c r="L36" s="49">
        <v>4.64953334E8</v>
      </c>
      <c r="M36" s="49">
        <v>7.636</v>
      </c>
      <c r="N36" s="48">
        <f t="shared" si="4"/>
        <v>92.364</v>
      </c>
      <c r="O36" s="48">
        <f t="shared" si="5"/>
        <v>429449497.4</v>
      </c>
      <c r="P36" s="48">
        <f t="shared" si="6"/>
        <v>3296.326231</v>
      </c>
      <c r="Q36" s="48">
        <f t="shared" si="8"/>
        <v>7.309275771</v>
      </c>
      <c r="R36" s="51">
        <f t="shared" si="7"/>
        <v>970.6126582</v>
      </c>
      <c r="S36" s="48">
        <f t="shared" si="9"/>
        <v>7.125214549</v>
      </c>
      <c r="T36" s="46"/>
      <c r="U36" s="49">
        <v>17.143577667284617</v>
      </c>
      <c r="V36" s="49">
        <v>10.967629778823465</v>
      </c>
      <c r="W36" s="49">
        <v>2.1860370184217108E11</v>
      </c>
      <c r="X36" s="49">
        <v>51.9444266180638</v>
      </c>
      <c r="Y36" s="49">
        <v>21.5635579497653</v>
      </c>
      <c r="Z36" s="49">
        <v>26.4920231164018</v>
      </c>
      <c r="AA36" s="42"/>
      <c r="AB36" s="49">
        <v>46.272869642883734</v>
      </c>
      <c r="AC36" s="49">
        <v>2.737521248892107E11</v>
      </c>
      <c r="AD36" s="49">
        <v>3.471779679683161E11</v>
      </c>
      <c r="AE36" s="49">
        <v>6.84</v>
      </c>
      <c r="AF36" s="44"/>
      <c r="AG36" s="50">
        <v>3.55813729296641E10</v>
      </c>
      <c r="AH36" s="48">
        <f t="shared" si="3"/>
        <v>-18.02712574</v>
      </c>
      <c r="AI36" s="1">
        <f t="shared" si="1"/>
        <v>2.651590332</v>
      </c>
      <c r="AJ36" s="1">
        <v>1.3418880169948982E12</v>
      </c>
    </row>
    <row r="37">
      <c r="A37" s="40" t="s">
        <v>41</v>
      </c>
      <c r="B37" s="49">
        <v>2010.0</v>
      </c>
      <c r="C37" s="52"/>
      <c r="D37" s="49">
        <v>1.5358979317195537E12</v>
      </c>
      <c r="E37" s="49">
        <v>8.497584701656251</v>
      </c>
      <c r="F37" s="49">
        <v>1235.1593913293866</v>
      </c>
      <c r="G37" s="48">
        <f t="shared" si="2"/>
        <v>6.930797804</v>
      </c>
      <c r="H37" s="42"/>
      <c r="I37" s="49">
        <v>4.628726707344661E11</v>
      </c>
      <c r="J37" s="49">
        <v>11.046145880191531</v>
      </c>
      <c r="K37" s="44"/>
      <c r="L37" s="49">
        <v>4.67561989E8</v>
      </c>
      <c r="M37" s="49">
        <v>7.631</v>
      </c>
      <c r="N37" s="48">
        <f t="shared" si="4"/>
        <v>92.369</v>
      </c>
      <c r="O37" s="48">
        <f t="shared" si="5"/>
        <v>431882333.6</v>
      </c>
      <c r="P37" s="48">
        <f t="shared" si="6"/>
        <v>3556.287933</v>
      </c>
      <c r="Q37" s="48">
        <f t="shared" si="8"/>
        <v>7.886407</v>
      </c>
      <c r="R37" s="51">
        <f t="shared" si="7"/>
        <v>1071.756436</v>
      </c>
      <c r="S37" s="48">
        <f t="shared" si="9"/>
        <v>10.42061188</v>
      </c>
      <c r="T37" s="46"/>
      <c r="U37" s="49">
        <v>17.029934249862396</v>
      </c>
      <c r="V37" s="49">
        <v>7.695106464358645</v>
      </c>
      <c r="W37" s="49">
        <v>2.354254894339553E11</v>
      </c>
      <c r="X37" s="49">
        <v>51.056070239905</v>
      </c>
      <c r="Y37" s="49">
        <v>22.3778888372942</v>
      </c>
      <c r="Z37" s="49">
        <v>26.5660351341417</v>
      </c>
      <c r="AA37" s="42"/>
      <c r="AB37" s="49">
        <v>49.25520649741613</v>
      </c>
      <c r="AC37" s="49">
        <v>3.753535140262667E11</v>
      </c>
      <c r="AD37" s="49">
        <v>4.499743701988019E11</v>
      </c>
      <c r="AE37" s="49">
        <v>6.1</v>
      </c>
      <c r="AF37" s="44"/>
      <c r="AG37" s="50">
        <v>2.73968850337838E10</v>
      </c>
      <c r="AH37" s="48">
        <f t="shared" si="3"/>
        <v>-23.00217002</v>
      </c>
      <c r="AI37" s="1">
        <f t="shared" si="1"/>
        <v>1.635034094</v>
      </c>
      <c r="AJ37" s="1">
        <v>1.675615519484959E12</v>
      </c>
    </row>
    <row r="38">
      <c r="A38" s="40" t="s">
        <v>41</v>
      </c>
      <c r="B38" s="49">
        <v>2011.0</v>
      </c>
      <c r="C38" s="52"/>
      <c r="D38" s="49">
        <v>1.6163991988339668E12</v>
      </c>
      <c r="E38" s="49">
        <v>5.2413162002429345</v>
      </c>
      <c r="F38" s="49">
        <v>1281.610543549368</v>
      </c>
      <c r="G38" s="48">
        <f t="shared" si="2"/>
        <v>3.760741532</v>
      </c>
      <c r="H38" s="42"/>
      <c r="I38" s="49">
        <v>5.188476321989339E11</v>
      </c>
      <c r="J38" s="49">
        <v>12.09295017907391</v>
      </c>
      <c r="K38" s="44"/>
      <c r="L38" s="49">
        <v>4.71891929E8</v>
      </c>
      <c r="M38" s="49">
        <v>7.609</v>
      </c>
      <c r="N38" s="48">
        <f t="shared" si="4"/>
        <v>92.391</v>
      </c>
      <c r="O38" s="48">
        <f t="shared" si="5"/>
        <v>435985672.1</v>
      </c>
      <c r="P38" s="48">
        <f t="shared" si="6"/>
        <v>3707.459447</v>
      </c>
      <c r="Q38" s="48">
        <f t="shared" si="8"/>
        <v>4.250823227</v>
      </c>
      <c r="R38" s="51">
        <f t="shared" si="7"/>
        <v>1190.056613</v>
      </c>
      <c r="S38" s="48">
        <f t="shared" si="9"/>
        <v>11.03797212</v>
      </c>
      <c r="T38" s="46"/>
      <c r="U38" s="49">
        <v>16.139337444628858</v>
      </c>
      <c r="V38" s="49">
        <v>3.1250562390001875</v>
      </c>
      <c r="W38" s="49">
        <v>2.4278266837970786E11</v>
      </c>
      <c r="X38" s="49">
        <v>49.0753059155876</v>
      </c>
      <c r="Y38" s="49">
        <v>23.5473821255696</v>
      </c>
      <c r="Z38" s="49">
        <v>27.3773195279181</v>
      </c>
      <c r="AA38" s="42"/>
      <c r="AB38" s="49">
        <v>55.62388001352977</v>
      </c>
      <c r="AC38" s="49">
        <v>4.473844176250927E11</v>
      </c>
      <c r="AD38" s="49">
        <v>5.666677448199084E11</v>
      </c>
      <c r="AE38" s="49">
        <v>7.33</v>
      </c>
      <c r="AF38" s="44"/>
      <c r="AG38" s="50">
        <v>3.64986545978589E10</v>
      </c>
      <c r="AH38" s="48">
        <f t="shared" si="3"/>
        <v>33.22191393</v>
      </c>
      <c r="AI38" s="1">
        <f t="shared" si="1"/>
        <v>2.002063463</v>
      </c>
      <c r="AJ38" s="1">
        <v>1.8230518298945461E12</v>
      </c>
    </row>
    <row r="39">
      <c r="A39" s="40" t="s">
        <v>41</v>
      </c>
      <c r="B39" s="49">
        <v>2012.0</v>
      </c>
      <c r="C39" s="52"/>
      <c r="D39" s="49">
        <v>1.7045962035040764E12</v>
      </c>
      <c r="E39" s="49">
        <v>5.4563875516477225</v>
      </c>
      <c r="F39" s="49">
        <v>1333.0962655764886</v>
      </c>
      <c r="G39" s="48">
        <f t="shared" si="2"/>
        <v>4.017267358</v>
      </c>
      <c r="H39" s="42"/>
      <c r="I39" s="49">
        <v>5.444739147577465E11</v>
      </c>
      <c r="J39" s="49">
        <v>4.939076709323231</v>
      </c>
      <c r="K39" s="44"/>
      <c r="L39" s="49">
        <v>4.76101422E8</v>
      </c>
      <c r="M39" s="49">
        <v>7.645</v>
      </c>
      <c r="N39" s="48">
        <f t="shared" si="4"/>
        <v>92.355</v>
      </c>
      <c r="O39" s="48">
        <f t="shared" si="5"/>
        <v>439703468.3</v>
      </c>
      <c r="P39" s="48">
        <f t="shared" si="6"/>
        <v>3876.694924</v>
      </c>
      <c r="Q39" s="48">
        <f t="shared" si="8"/>
        <v>4.56472901</v>
      </c>
      <c r="R39" s="51">
        <f t="shared" si="7"/>
        <v>1238.275233</v>
      </c>
      <c r="S39" s="48">
        <f t="shared" si="9"/>
        <v>4.051792152</v>
      </c>
      <c r="T39" s="46"/>
      <c r="U39" s="49">
        <v>15.816923007106634</v>
      </c>
      <c r="V39" s="49">
        <v>5.453083306863533</v>
      </c>
      <c r="W39" s="49">
        <v>2.5602180954107962E11</v>
      </c>
      <c r="X39" s="49">
        <v>47.0881544623322</v>
      </c>
      <c r="Y39" s="49">
        <v>24.6920379635984</v>
      </c>
      <c r="Z39" s="49">
        <v>28.2198150791246</v>
      </c>
      <c r="AA39" s="42"/>
      <c r="AB39" s="49">
        <v>55.793721728751144</v>
      </c>
      <c r="AC39" s="49">
        <v>4.4840047736125354E11</v>
      </c>
      <c r="AD39" s="49">
        <v>5.713065540423856E11</v>
      </c>
      <c r="AE39" s="49">
        <v>6.32</v>
      </c>
      <c r="AF39" s="44"/>
      <c r="AG39" s="50">
        <v>2.39956850142141E10</v>
      </c>
      <c r="AH39" s="48">
        <f t="shared" si="3"/>
        <v>-34.25597387</v>
      </c>
      <c r="AI39" s="1">
        <f t="shared" si="1"/>
        <v>1.31293453</v>
      </c>
      <c r="AJ39" s="1">
        <v>1.8276375904104143E12</v>
      </c>
    </row>
    <row r="40">
      <c r="A40" s="40" t="s">
        <v>41</v>
      </c>
      <c r="B40" s="49">
        <v>2013.0</v>
      </c>
      <c r="C40" s="52"/>
      <c r="D40" s="49">
        <v>1.8134535307658406E12</v>
      </c>
      <c r="E40" s="49">
        <v>6.386106400917129</v>
      </c>
      <c r="F40" s="49">
        <v>1399.4537980280961</v>
      </c>
      <c r="G40" s="48">
        <f t="shared" si="2"/>
        <v>4.977699973</v>
      </c>
      <c r="H40" s="42"/>
      <c r="I40" s="49">
        <v>5.529775286271702E11</v>
      </c>
      <c r="J40" s="49">
        <v>1.5618037226277721</v>
      </c>
      <c r="K40" s="44"/>
      <c r="L40" s="49">
        <v>4.8446683E8</v>
      </c>
      <c r="M40" s="49">
        <v>7.678</v>
      </c>
      <c r="N40" s="48">
        <f t="shared" si="4"/>
        <v>92.322</v>
      </c>
      <c r="O40" s="48">
        <f t="shared" si="5"/>
        <v>447269466.8</v>
      </c>
      <c r="P40" s="48">
        <f t="shared" si="6"/>
        <v>4054.498832</v>
      </c>
      <c r="Q40" s="48">
        <f t="shared" si="8"/>
        <v>4.586481831</v>
      </c>
      <c r="R40" s="51">
        <f t="shared" si="7"/>
        <v>1236.340885</v>
      </c>
      <c r="S40" s="48">
        <f t="shared" si="9"/>
        <v>-0.1562130707</v>
      </c>
      <c r="T40" s="46"/>
      <c r="U40" s="49">
        <v>15.253022692585985</v>
      </c>
      <c r="V40" s="49">
        <v>4.965847439565962</v>
      </c>
      <c r="W40" s="49">
        <v>2.6873546201490576E11</v>
      </c>
      <c r="X40" s="49">
        <v>46.2418839816327</v>
      </c>
      <c r="Y40" s="49">
        <v>24.7546738405335</v>
      </c>
      <c r="Z40" s="49">
        <v>29.0034439664578</v>
      </c>
      <c r="AA40" s="42"/>
      <c r="AB40" s="49">
        <v>53.844131946677734</v>
      </c>
      <c r="AC40" s="49">
        <v>4.7218027134014923E11</v>
      </c>
      <c r="AD40" s="49">
        <v>5.275553071059563E11</v>
      </c>
      <c r="AE40" s="49">
        <v>6.34</v>
      </c>
      <c r="AF40" s="44"/>
      <c r="AG40" s="50">
        <v>2.81530312703202E10</v>
      </c>
      <c r="AH40" s="48">
        <f t="shared" si="3"/>
        <v>17.32539102</v>
      </c>
      <c r="AI40" s="1">
        <f t="shared" si="1"/>
        <v>1.516276467</v>
      </c>
      <c r="AJ40" s="1">
        <v>1.8567215076215764E12</v>
      </c>
    </row>
    <row r="41">
      <c r="A41" s="40" t="s">
        <v>41</v>
      </c>
      <c r="B41" s="49">
        <v>2014.0</v>
      </c>
      <c r="C41" s="52"/>
      <c r="D41" s="49">
        <v>1.9478345649095762E12</v>
      </c>
      <c r="E41" s="49">
        <v>7.410227605169766</v>
      </c>
      <c r="F41" s="49">
        <v>1484.3164068296119</v>
      </c>
      <c r="G41" s="48">
        <f t="shared" si="2"/>
        <v>6.063980742</v>
      </c>
      <c r="H41" s="42"/>
      <c r="I41" s="49">
        <v>5.673729019894071E11</v>
      </c>
      <c r="J41" s="49">
        <v>2.6032474408092128</v>
      </c>
      <c r="K41" s="44"/>
      <c r="L41" s="49">
        <v>4.92680645E8</v>
      </c>
      <c r="M41" s="49">
        <v>7.656</v>
      </c>
      <c r="N41" s="48">
        <f t="shared" si="4"/>
        <v>92.344</v>
      </c>
      <c r="O41" s="48">
        <f t="shared" si="5"/>
        <v>454961014.8</v>
      </c>
      <c r="P41" s="48">
        <f t="shared" si="6"/>
        <v>4281.321919</v>
      </c>
      <c r="Q41" s="48">
        <f t="shared" si="8"/>
        <v>5.594355701</v>
      </c>
      <c r="R41" s="51">
        <f t="shared" si="7"/>
        <v>1247.080263</v>
      </c>
      <c r="S41" s="48">
        <f t="shared" si="9"/>
        <v>0.8686421018</v>
      </c>
      <c r="T41" s="46"/>
      <c r="U41" s="49">
        <v>15.065570110758902</v>
      </c>
      <c r="V41" s="49">
        <v>7.895669766297743</v>
      </c>
      <c r="W41" s="49">
        <v>2.8995392664053723E11</v>
      </c>
      <c r="X41" s="49">
        <v>45.2547111152237</v>
      </c>
      <c r="Y41" s="49">
        <v>24.8960152022282</v>
      </c>
      <c r="Z41" s="49">
        <v>29.8492736825481</v>
      </c>
      <c r="AA41" s="42"/>
      <c r="AB41" s="49">
        <v>48.922185747066905</v>
      </c>
      <c r="AC41" s="49">
        <v>4.683458154209329E11</v>
      </c>
      <c r="AD41" s="49">
        <v>5.292394283286653E11</v>
      </c>
      <c r="AE41" s="40" t="s">
        <v>48</v>
      </c>
      <c r="AF41" s="44"/>
      <c r="AG41" s="50">
        <v>3.45766436941382E10</v>
      </c>
      <c r="AH41" s="48">
        <f t="shared" si="3"/>
        <v>22.81677011</v>
      </c>
      <c r="AI41" s="1">
        <f t="shared" si="1"/>
        <v>1.69565959</v>
      </c>
      <c r="AJ41" s="1">
        <v>2.0391264791545168E12</v>
      </c>
    </row>
    <row r="42">
      <c r="A42" s="40" t="s">
        <v>41</v>
      </c>
      <c r="B42" s="49">
        <v>2015.0</v>
      </c>
      <c r="C42" s="52"/>
      <c r="D42" s="49">
        <v>2.1035883600449392E12</v>
      </c>
      <c r="E42" s="49">
        <v>7.996253785679869</v>
      </c>
      <c r="F42" s="49">
        <v>1583.998159079848</v>
      </c>
      <c r="G42" s="48">
        <f t="shared" si="2"/>
        <v>6.715667346</v>
      </c>
      <c r="H42" s="42"/>
      <c r="I42" s="49">
        <v>6.044270753669364E11</v>
      </c>
      <c r="J42" s="49">
        <v>6.530832411559388</v>
      </c>
      <c r="K42" s="44"/>
      <c r="L42" s="49">
        <v>5.00640619E8</v>
      </c>
      <c r="M42" s="49">
        <v>7.629</v>
      </c>
      <c r="N42" s="48">
        <f t="shared" si="4"/>
        <v>92.371</v>
      </c>
      <c r="O42" s="48">
        <f t="shared" si="5"/>
        <v>462446746.2</v>
      </c>
      <c r="P42" s="48">
        <f t="shared" si="6"/>
        <v>4548.822924</v>
      </c>
      <c r="Q42" s="48">
        <f t="shared" si="8"/>
        <v>6.2480937</v>
      </c>
      <c r="R42" s="51">
        <f t="shared" si="7"/>
        <v>1307.019847</v>
      </c>
      <c r="S42" s="48">
        <f t="shared" si="9"/>
        <v>4.806393437</v>
      </c>
      <c r="T42" s="46"/>
      <c r="U42" s="49">
        <v>15.583854586371334</v>
      </c>
      <c r="V42" s="49">
        <v>13.059393581395867</v>
      </c>
      <c r="W42" s="49">
        <v>3.278201511252368E11</v>
      </c>
      <c r="X42" s="49">
        <v>44.2796936892031</v>
      </c>
      <c r="Y42" s="49">
        <v>24.9480704919335</v>
      </c>
      <c r="Z42" s="49">
        <v>30.7722358188634</v>
      </c>
      <c r="AA42" s="42"/>
      <c r="AB42" s="49">
        <v>41.92291386586472</v>
      </c>
      <c r="AC42" s="49">
        <v>4.167879408478122E11</v>
      </c>
      <c r="AD42" s="49">
        <v>4.650975954261839E11</v>
      </c>
      <c r="AE42" s="49">
        <v>7.32</v>
      </c>
      <c r="AF42" s="44"/>
      <c r="AG42" s="50">
        <v>4.40094921295319E10</v>
      </c>
      <c r="AH42" s="48">
        <f t="shared" si="3"/>
        <v>27.28098343</v>
      </c>
      <c r="AI42" s="1">
        <f t="shared" si="1"/>
        <v>2.092115214</v>
      </c>
      <c r="AJ42" s="1">
        <v>2.1035883600449392E12</v>
      </c>
    </row>
    <row r="43">
      <c r="A43" s="40" t="s">
        <v>41</v>
      </c>
      <c r="B43" s="49">
        <v>2016.0</v>
      </c>
      <c r="C43" s="52"/>
      <c r="D43" s="49">
        <v>2.2772670415498516E12</v>
      </c>
      <c r="E43" s="49">
        <v>8.256305501766619</v>
      </c>
      <c r="F43" s="49">
        <v>1694.465349737867</v>
      </c>
      <c r="G43" s="48">
        <f t="shared" si="2"/>
        <v>6.973946909</v>
      </c>
      <c r="H43" s="42"/>
      <c r="I43" s="49">
        <v>6.555522380644639E11</v>
      </c>
      <c r="J43" s="49">
        <v>8.458450122620718</v>
      </c>
      <c r="K43" s="44"/>
      <c r="L43" s="49">
        <v>5.08681288E8</v>
      </c>
      <c r="M43" s="49">
        <v>7.611</v>
      </c>
      <c r="N43" s="48">
        <f t="shared" si="4"/>
        <v>92.389</v>
      </c>
      <c r="O43" s="48">
        <f t="shared" si="5"/>
        <v>469965555.2</v>
      </c>
      <c r="P43" s="48">
        <f t="shared" si="6"/>
        <v>4845.604144</v>
      </c>
      <c r="Q43" s="48">
        <f t="shared" si="8"/>
        <v>6.524352012</v>
      </c>
      <c r="R43" s="51">
        <f t="shared" si="7"/>
        <v>1394.894223</v>
      </c>
      <c r="S43" s="48">
        <f t="shared" si="9"/>
        <v>6.723262594</v>
      </c>
      <c r="T43" s="46"/>
      <c r="U43" s="49">
        <v>15.162237133252901</v>
      </c>
      <c r="V43" s="49">
        <v>7.9268214208403975</v>
      </c>
      <c r="W43" s="49">
        <v>3.5380586908646344E11</v>
      </c>
      <c r="X43" s="49">
        <v>43.2048505926307</v>
      </c>
      <c r="Y43" s="49">
        <v>25.1894783758453</v>
      </c>
      <c r="Z43" s="49">
        <v>31.6056633714195</v>
      </c>
      <c r="AA43" s="42"/>
      <c r="AB43" s="49">
        <v>40.08248571327602</v>
      </c>
      <c r="AC43" s="49">
        <v>4.3964257807635834E11</v>
      </c>
      <c r="AD43" s="49">
        <v>4.801690557682821E11</v>
      </c>
      <c r="AE43" s="49">
        <v>6.35</v>
      </c>
      <c r="AF43" s="44"/>
      <c r="AG43" s="50">
        <v>4.4458571545798E10</v>
      </c>
      <c r="AH43" s="48">
        <f t="shared" si="3"/>
        <v>1.020414903</v>
      </c>
      <c r="AI43" s="1">
        <f t="shared" si="1"/>
        <v>1.937364122</v>
      </c>
      <c r="AJ43" s="1">
        <v>2.294796885663163E12</v>
      </c>
    </row>
    <row r="44">
      <c r="A44" s="40" t="s">
        <v>41</v>
      </c>
      <c r="B44" s="49">
        <v>2017.0</v>
      </c>
      <c r="C44" s="52"/>
      <c r="D44" s="49">
        <v>2.4320160684982334E12</v>
      </c>
      <c r="E44" s="49">
        <v>6.795383419024219</v>
      </c>
      <c r="F44" s="49">
        <v>1788.697703184812</v>
      </c>
      <c r="G44" s="48">
        <f t="shared" si="2"/>
        <v>5.561185035</v>
      </c>
      <c r="H44" s="42"/>
      <c r="I44" s="49">
        <v>7.06699366177944E11</v>
      </c>
      <c r="J44" s="49">
        <v>7.80214377186681</v>
      </c>
      <c r="K44" s="44"/>
      <c r="L44" s="49">
        <v>5.16713963E8</v>
      </c>
      <c r="M44" s="49">
        <v>7.626</v>
      </c>
      <c r="N44" s="48">
        <f t="shared" si="4"/>
        <v>92.374</v>
      </c>
      <c r="O44" s="48">
        <f t="shared" si="5"/>
        <v>477309356.2</v>
      </c>
      <c r="P44" s="48">
        <f t="shared" si="6"/>
        <v>5095.261673</v>
      </c>
      <c r="Q44" s="48">
        <f t="shared" si="8"/>
        <v>5.152247716</v>
      </c>
      <c r="R44" s="51">
        <f t="shared" si="7"/>
        <v>1480.589804</v>
      </c>
      <c r="S44" s="48">
        <f t="shared" si="9"/>
        <v>6.143518224</v>
      </c>
      <c r="T44" s="46"/>
      <c r="U44" s="49">
        <v>15.018238750171792</v>
      </c>
      <c r="V44" s="49">
        <v>7.527063602912193</v>
      </c>
      <c r="W44" s="49">
        <v>3.804370618834378E11</v>
      </c>
      <c r="X44" s="49">
        <v>42.2671064682124</v>
      </c>
      <c r="Y44" s="49">
        <v>25.2657227336051</v>
      </c>
      <c r="Z44" s="49">
        <v>32.4671651415297</v>
      </c>
      <c r="AA44" s="42"/>
      <c r="AB44" s="49">
        <v>40.74249695452253</v>
      </c>
      <c r="AC44" s="49">
        <v>4.98258808231521E11</v>
      </c>
      <c r="AD44" s="49">
        <v>5.820180125215677E11</v>
      </c>
      <c r="AE44" s="49">
        <v>5.78</v>
      </c>
      <c r="AF44" s="44"/>
      <c r="AG44" s="50">
        <v>3.99660913587384E10</v>
      </c>
      <c r="AH44" s="48">
        <f t="shared" si="3"/>
        <v>-10.10486849</v>
      </c>
      <c r="AI44" s="1">
        <f t="shared" si="1"/>
        <v>1.507315833</v>
      </c>
      <c r="AJ44" s="1">
        <v>2.651474262755452E12</v>
      </c>
    </row>
    <row r="45" ht="15.75" customHeight="1">
      <c r="A45" s="40" t="s">
        <v>41</v>
      </c>
      <c r="B45" s="49">
        <v>2018.0</v>
      </c>
      <c r="C45" s="52"/>
      <c r="D45" s="49">
        <v>2.5889747702444785E12</v>
      </c>
      <c r="E45" s="49">
        <v>6.453851344952952</v>
      </c>
      <c r="F45" s="49">
        <v>1883.3577270505514</v>
      </c>
      <c r="G45" s="48">
        <f t="shared" si="2"/>
        <v>5.292119719</v>
      </c>
      <c r="H45" s="42"/>
      <c r="I45" s="49">
        <v>7.858713808217848E11</v>
      </c>
      <c r="J45" s="49">
        <v>11.203068579504787</v>
      </c>
      <c r="K45" s="44"/>
      <c r="L45" s="49">
        <v>5.24292869E8</v>
      </c>
      <c r="M45" s="49">
        <v>7.652</v>
      </c>
      <c r="N45" s="48">
        <f t="shared" si="4"/>
        <v>92.348</v>
      </c>
      <c r="O45" s="48">
        <f t="shared" si="5"/>
        <v>484173978.7</v>
      </c>
      <c r="P45" s="48">
        <f t="shared" si="6"/>
        <v>5347.199322</v>
      </c>
      <c r="Q45" s="48">
        <f t="shared" si="8"/>
        <v>4.944547802</v>
      </c>
      <c r="R45" s="51">
        <f t="shared" si="7"/>
        <v>1623.117754</v>
      </c>
      <c r="S45" s="48">
        <f t="shared" si="9"/>
        <v>9.626430597</v>
      </c>
      <c r="T45" s="46"/>
      <c r="U45" s="49">
        <v>14.881530667301684</v>
      </c>
      <c r="V45" s="49">
        <v>5.411556885037157</v>
      </c>
      <c r="W45" s="49">
        <v>4.0102462989902405E11</v>
      </c>
      <c r="X45" s="49">
        <v>41.2949989249141</v>
      </c>
      <c r="Y45" s="49">
        <v>25.3658737784355</v>
      </c>
      <c r="Z45" s="49">
        <v>33.3391272966505</v>
      </c>
      <c r="AA45" s="42"/>
      <c r="AB45" s="49">
        <v>43.61696933238889</v>
      </c>
      <c r="AC45" s="49">
        <v>5.386351861354382E11</v>
      </c>
      <c r="AD45" s="49">
        <v>6.403008067385419E11</v>
      </c>
      <c r="AE45" s="49">
        <v>4.88</v>
      </c>
      <c r="AF45" s="44"/>
      <c r="AG45" s="50">
        <v>4.21174507372644E10</v>
      </c>
      <c r="AH45" s="48">
        <f t="shared" si="3"/>
        <v>5.382961669</v>
      </c>
      <c r="AI45" s="1">
        <f t="shared" si="1"/>
        <v>1.558214838</v>
      </c>
      <c r="AJ45" s="1">
        <v>2.7029296416487407E12</v>
      </c>
    </row>
    <row r="46" ht="15.75" customHeight="1">
      <c r="A46" s="40" t="s">
        <v>41</v>
      </c>
      <c r="B46" s="49">
        <v>2019.0</v>
      </c>
      <c r="C46" s="52"/>
      <c r="D46" s="49">
        <v>2.6892052958852617E12</v>
      </c>
      <c r="E46" s="49">
        <v>3.8714369407052374</v>
      </c>
      <c r="F46" s="49">
        <v>1936.030677410632</v>
      </c>
      <c r="G46" s="48">
        <f t="shared" si="2"/>
        <v>2.7967576</v>
      </c>
      <c r="H46" s="42"/>
      <c r="I46" s="49">
        <v>7.948836090435411E11</v>
      </c>
      <c r="J46" s="49">
        <v>1.1467815779641057</v>
      </c>
      <c r="K46" s="44"/>
      <c r="L46" s="49">
        <v>5.31373378E8</v>
      </c>
      <c r="M46" s="49">
        <v>6.51</v>
      </c>
      <c r="N46" s="48">
        <f t="shared" si="4"/>
        <v>93.49</v>
      </c>
      <c r="O46" s="48">
        <f t="shared" si="5"/>
        <v>496780971.1</v>
      </c>
      <c r="P46" s="48">
        <f t="shared" si="6"/>
        <v>5413.261482</v>
      </c>
      <c r="Q46" s="48">
        <f t="shared" si="8"/>
        <v>1.235453489</v>
      </c>
      <c r="R46" s="51">
        <f t="shared" si="7"/>
        <v>1600.068552</v>
      </c>
      <c r="S46" s="48">
        <f t="shared" si="9"/>
        <v>-1.420057298</v>
      </c>
      <c r="T46" s="46"/>
      <c r="U46" s="49">
        <v>13.455807563339416</v>
      </c>
      <c r="V46" s="49">
        <v>-2.974962942083849</v>
      </c>
      <c r="W46" s="49">
        <v>3.890942957708992E11</v>
      </c>
      <c r="X46" s="49">
        <v>40.6518149993227</v>
      </c>
      <c r="Y46" s="49">
        <v>25.251113046721</v>
      </c>
      <c r="Z46" s="49">
        <v>34.0970739669082</v>
      </c>
      <c r="AA46" s="42"/>
      <c r="AB46" s="49">
        <v>39.90540353064419</v>
      </c>
      <c r="AC46" s="49">
        <v>5.292450631672154E11</v>
      </c>
      <c r="AD46" s="49">
        <v>6.023150560525262E11</v>
      </c>
      <c r="AE46" s="49">
        <v>6.59</v>
      </c>
      <c r="AF46" s="44"/>
      <c r="AG46" s="50">
        <v>5.06106473535911E10</v>
      </c>
      <c r="AH46" s="48">
        <f t="shared" si="3"/>
        <v>20.16550496</v>
      </c>
      <c r="AI46" s="1">
        <f t="shared" si="1"/>
        <v>1.78482634</v>
      </c>
      <c r="AJ46" s="1">
        <v>2.835606256558195E12</v>
      </c>
    </row>
    <row r="47" ht="15.75" customHeight="1">
      <c r="A47" s="40" t="s">
        <v>41</v>
      </c>
      <c r="B47" s="49">
        <v>2020.0</v>
      </c>
      <c r="C47" s="52"/>
      <c r="D47" s="49">
        <v>2.533830417086361E12</v>
      </c>
      <c r="E47" s="49">
        <v>-5.77772470687303</v>
      </c>
      <c r="F47" s="49">
        <v>1806.5011058386517</v>
      </c>
      <c r="G47" s="48">
        <f t="shared" si="2"/>
        <v>-6.690471028</v>
      </c>
      <c r="H47" s="42"/>
      <c r="I47" s="49">
        <v>7.38477753555943E11</v>
      </c>
      <c r="J47" s="49">
        <v>-7.096115059595903</v>
      </c>
      <c r="K47" s="44"/>
      <c r="L47" s="49">
        <v>5.32528354E8</v>
      </c>
      <c r="M47" s="49">
        <v>7.859</v>
      </c>
      <c r="N47" s="48">
        <f t="shared" si="4"/>
        <v>92.141</v>
      </c>
      <c r="O47" s="48">
        <f t="shared" si="5"/>
        <v>490676950.7</v>
      </c>
      <c r="P47" s="48">
        <f t="shared" si="6"/>
        <v>5163.948324</v>
      </c>
      <c r="Q47" s="48">
        <f t="shared" si="8"/>
        <v>-4.605599762</v>
      </c>
      <c r="R47" s="51">
        <f t="shared" si="7"/>
        <v>1505.018225</v>
      </c>
      <c r="S47" s="48">
        <f t="shared" si="9"/>
        <v>-5.940390889</v>
      </c>
      <c r="T47" s="46"/>
      <c r="U47" s="49">
        <v>14.120485357692278</v>
      </c>
      <c r="V47" s="49">
        <v>3.0736109935103286</v>
      </c>
      <c r="W47" s="49">
        <v>4.0105354082083514E11</v>
      </c>
      <c r="X47" s="49">
        <v>44.6754951957099</v>
      </c>
      <c r="Y47" s="49">
        <v>23.7036475318516</v>
      </c>
      <c r="Z47" s="49">
        <v>31.6208572724385</v>
      </c>
      <c r="AA47" s="42"/>
      <c r="AB47" s="49">
        <v>37.75810532927675</v>
      </c>
      <c r="AC47" s="49">
        <v>4.997285290726291E11</v>
      </c>
      <c r="AD47" s="49">
        <v>5.102447473721738E11</v>
      </c>
      <c r="AE47" s="49">
        <v>6.19</v>
      </c>
      <c r="AF47" s="44"/>
      <c r="AG47" s="50">
        <v>6.43623649943754E10</v>
      </c>
      <c r="AH47" s="48">
        <f t="shared" si="3"/>
        <v>27.17159009</v>
      </c>
      <c r="AI47" s="1">
        <f t="shared" si="1"/>
        <v>2.406203227</v>
      </c>
      <c r="AJ47" s="1">
        <v>2.6748515785872686E12</v>
      </c>
    </row>
    <row r="48" ht="15.75" customHeight="1">
      <c r="A48" s="40" t="s">
        <v>41</v>
      </c>
      <c r="B48" s="49">
        <v>2021.0</v>
      </c>
      <c r="C48" s="52"/>
      <c r="D48" s="49">
        <v>2.7793482589382803E12</v>
      </c>
      <c r="E48" s="49">
        <v>9.68959249191741</v>
      </c>
      <c r="F48" s="49">
        <v>1965.3094343747164</v>
      </c>
      <c r="G48" s="48">
        <f t="shared" si="2"/>
        <v>8.790934477</v>
      </c>
      <c r="H48" s="42"/>
      <c r="I48" s="49">
        <v>8.678687064721224E11</v>
      </c>
      <c r="J48" s="49">
        <v>17.521306808923057</v>
      </c>
      <c r="K48" s="44"/>
      <c r="L48" s="49">
        <v>5.50352877E8</v>
      </c>
      <c r="M48" s="49">
        <v>6.38</v>
      </c>
      <c r="N48" s="48">
        <f t="shared" si="4"/>
        <v>93.62</v>
      </c>
      <c r="O48" s="48">
        <f t="shared" si="5"/>
        <v>515240363.4</v>
      </c>
      <c r="P48" s="48">
        <f t="shared" si="6"/>
        <v>5394.275092</v>
      </c>
      <c r="Q48" s="48">
        <f t="shared" si="8"/>
        <v>4.460284134</v>
      </c>
      <c r="R48" s="51">
        <f t="shared" si="7"/>
        <v>1684.395804</v>
      </c>
      <c r="S48" s="48">
        <f t="shared" si="9"/>
        <v>11.91863168</v>
      </c>
      <c r="T48" s="46"/>
      <c r="U48" s="49">
        <v>14.377028853128614</v>
      </c>
      <c r="V48" s="49">
        <v>9.955219671749589</v>
      </c>
      <c r="W48" s="49">
        <v>4.409793018108792E11</v>
      </c>
      <c r="X48" s="49">
        <v>44.0791868866382</v>
      </c>
      <c r="Y48" s="49">
        <v>24.4704786231875</v>
      </c>
      <c r="Z48" s="49">
        <v>31.4503271149612</v>
      </c>
      <c r="AA48" s="42"/>
      <c r="AB48" s="49">
        <v>45.423088784044594</v>
      </c>
      <c r="AC48" s="49">
        <v>6.777692554285521E11</v>
      </c>
      <c r="AD48" s="49">
        <v>7.609028918060132E11</v>
      </c>
      <c r="AE48" s="49">
        <v>5.87</v>
      </c>
      <c r="AF48" s="44"/>
      <c r="AG48" s="50">
        <v>4.4727277562881E10</v>
      </c>
      <c r="AH48" s="48">
        <f t="shared" si="3"/>
        <v>-30.50709438</v>
      </c>
      <c r="AI48" s="1">
        <f t="shared" si="1"/>
        <v>1.41217101</v>
      </c>
      <c r="AJ48" s="1">
        <v>3.1672706232604688E12</v>
      </c>
    </row>
    <row r="49" ht="15.75" customHeight="1">
      <c r="A49" s="40" t="s">
        <v>41</v>
      </c>
      <c r="B49" s="49">
        <v>2022.0</v>
      </c>
      <c r="C49" s="52"/>
      <c r="D49" s="49">
        <v>2.9908390119620557E12</v>
      </c>
      <c r="E49" s="49">
        <v>7.609364977693204</v>
      </c>
      <c r="F49" s="49">
        <v>2098.2112447612194</v>
      </c>
      <c r="G49" s="48">
        <f t="shared" si="2"/>
        <v>6.762386017</v>
      </c>
      <c r="H49" s="42"/>
      <c r="I49" s="49">
        <v>9.411614530674916E11</v>
      </c>
      <c r="J49" s="49">
        <v>8.445142225867713</v>
      </c>
      <c r="K49" s="44"/>
      <c r="L49" s="49">
        <v>5.69155867E8</v>
      </c>
      <c r="M49" s="49">
        <v>4.822</v>
      </c>
      <c r="N49" s="48">
        <f t="shared" si="4"/>
        <v>95.178</v>
      </c>
      <c r="O49" s="48">
        <f t="shared" si="5"/>
        <v>541711171.1</v>
      </c>
      <c r="P49" s="48">
        <f t="shared" si="6"/>
        <v>5521.095321</v>
      </c>
      <c r="Q49" s="48">
        <f t="shared" si="8"/>
        <v>2.351015227</v>
      </c>
      <c r="R49" s="51">
        <f t="shared" si="7"/>
        <v>1737.386089</v>
      </c>
      <c r="S49" s="48">
        <f t="shared" si="9"/>
        <v>3.14595208</v>
      </c>
      <c r="T49" s="46"/>
      <c r="U49" s="49">
        <v>13.33272026239736</v>
      </c>
      <c r="V49" s="49">
        <v>-1.744196563454409</v>
      </c>
      <c r="W49" s="49">
        <v>4.332877559831486E11</v>
      </c>
      <c r="X49" s="49">
        <v>42.8609991503088</v>
      </c>
      <c r="Y49" s="49">
        <v>26.1203341573875</v>
      </c>
      <c r="Z49" s="49">
        <v>31.0186666923037</v>
      </c>
      <c r="AA49" s="42"/>
      <c r="AB49" s="49">
        <v>50.69793827580423</v>
      </c>
      <c r="AC49" s="49">
        <v>7.812907915638265E11</v>
      </c>
      <c r="AD49" s="49">
        <v>8.663610191187661E11</v>
      </c>
      <c r="AE49" s="49">
        <v>4.59</v>
      </c>
      <c r="AF49" s="44"/>
      <c r="AG49" s="50">
        <v>4.99402584042659E10</v>
      </c>
      <c r="AH49" s="48">
        <f t="shared" si="3"/>
        <v>11.65503721</v>
      </c>
      <c r="AI49" s="1">
        <f t="shared" si="1"/>
        <v>1.536652417</v>
      </c>
      <c r="AJ49" s="1">
        <v>3.249938492013471E12</v>
      </c>
    </row>
    <row r="50" ht="15.75" customHeight="1">
      <c r="A50" s="40" t="s">
        <v>41</v>
      </c>
      <c r="B50" s="49">
        <v>2023.0</v>
      </c>
      <c r="C50" s="52"/>
      <c r="D50" s="49">
        <v>3.2064852230263037E12</v>
      </c>
      <c r="E50" s="49">
        <v>7.210224629335002</v>
      </c>
      <c r="F50" s="49">
        <v>2229.71491223037</v>
      </c>
      <c r="G50" s="48">
        <f t="shared" si="2"/>
        <v>6.267417916</v>
      </c>
      <c r="H50" s="42"/>
      <c r="I50" s="49">
        <v>1.0094232538958359E12</v>
      </c>
      <c r="J50" s="49">
        <v>7.252932066635466</v>
      </c>
      <c r="K50" s="44"/>
      <c r="L50" s="49">
        <v>5.89486854E8</v>
      </c>
      <c r="M50" s="49">
        <v>4.172</v>
      </c>
      <c r="N50" s="48">
        <f t="shared" si="4"/>
        <v>95.828</v>
      </c>
      <c r="O50" s="48">
        <f t="shared" si="5"/>
        <v>564893462.5</v>
      </c>
      <c r="P50" s="48">
        <f t="shared" si="6"/>
        <v>5676.265413</v>
      </c>
      <c r="Q50" s="48">
        <f t="shared" si="8"/>
        <v>2.810494717</v>
      </c>
      <c r="R50" s="51">
        <f t="shared" si="7"/>
        <v>1786.926776</v>
      </c>
      <c r="S50" s="48">
        <f t="shared" si="9"/>
        <v>2.851449512</v>
      </c>
      <c r="T50" s="46"/>
      <c r="U50" s="49">
        <v>13.312843875072023</v>
      </c>
      <c r="V50" s="49">
        <v>12.707025648704672</v>
      </c>
      <c r="W50" s="49">
        <v>4.883457422686242E11</v>
      </c>
      <c r="X50" s="49">
        <v>43.5135811245793</v>
      </c>
      <c r="Y50" s="49">
        <v>25.0292115986201</v>
      </c>
      <c r="Z50" s="49">
        <v>31.4572072768006</v>
      </c>
      <c r="AA50" s="42"/>
      <c r="AB50" s="49">
        <v>46.32295205823384</v>
      </c>
      <c r="AC50" s="49">
        <v>7.826206101920507E11</v>
      </c>
      <c r="AD50" s="49">
        <v>8.391024119873408E11</v>
      </c>
      <c r="AE50" s="40" t="s">
        <v>48</v>
      </c>
      <c r="AF50" s="44"/>
      <c r="AG50" s="50">
        <v>2.80861935303979E10</v>
      </c>
      <c r="AH50" s="48">
        <f t="shared" si="3"/>
        <v>-43.76041609</v>
      </c>
      <c r="AI50" s="1">
        <f t="shared" si="1"/>
        <v>0.8022549958</v>
      </c>
      <c r="AJ50" s="1">
        <v>3.500906030644764E12</v>
      </c>
    </row>
    <row r="51" ht="15.75" customHeight="1">
      <c r="A51" s="40" t="s">
        <v>41</v>
      </c>
      <c r="B51" s="49">
        <v>2024.0</v>
      </c>
      <c r="C51" s="52"/>
      <c r="D51" s="49">
        <v>3.434122552914774E12</v>
      </c>
      <c r="E51" s="49">
        <v>7.099278931765184</v>
      </c>
      <c r="F51" s="49">
        <v>2366.832891032305</v>
      </c>
      <c r="G51" s="48">
        <f t="shared" si="2"/>
        <v>6.149574461</v>
      </c>
      <c r="H51" s="42"/>
      <c r="I51" s="49">
        <v>1.074125919425715E12</v>
      </c>
      <c r="J51" s="49">
        <v>6.4098647698238835</v>
      </c>
      <c r="K51" s="44"/>
      <c r="L51" s="49">
        <v>6.08500805E8</v>
      </c>
      <c r="M51" s="49">
        <v>4.173</v>
      </c>
      <c r="N51" s="48">
        <f t="shared" si="4"/>
        <v>95.827</v>
      </c>
      <c r="O51" s="48">
        <f t="shared" si="5"/>
        <v>583108066.4</v>
      </c>
      <c r="P51" s="48">
        <f t="shared" si="6"/>
        <v>5889.341532</v>
      </c>
      <c r="Q51" s="48">
        <f t="shared" si="8"/>
        <v>3.753808234</v>
      </c>
      <c r="R51" s="51">
        <f t="shared" si="7"/>
        <v>1842.070075</v>
      </c>
      <c r="S51" s="48">
        <f t="shared" si="9"/>
        <v>3.08592937</v>
      </c>
      <c r="T51" s="46"/>
      <c r="U51" s="49">
        <v>13.139219949132599</v>
      </c>
      <c r="V51" s="49">
        <v>9.289033655985563</v>
      </c>
      <c r="W51" s="49">
        <v>5.3370834262552924E11</v>
      </c>
      <c r="X51" s="49">
        <v>42.3547738876441</v>
      </c>
      <c r="Y51" s="49">
        <v>25.3709259711612</v>
      </c>
      <c r="Z51" s="49">
        <v>32.2743097449178</v>
      </c>
      <c r="AA51" s="42"/>
      <c r="AB51" s="49">
        <v>45.91669076787482</v>
      </c>
      <c r="AC51" s="49">
        <v>8.29785193474459E11</v>
      </c>
      <c r="AD51" s="49">
        <v>8.970558981320004E11</v>
      </c>
      <c r="AE51" s="40" t="s">
        <v>48</v>
      </c>
      <c r="AF51" s="44"/>
      <c r="AG51" s="50">
        <v>2.71398533781402E10</v>
      </c>
      <c r="AH51" s="48">
        <f t="shared" si="3"/>
        <v>-3.369414055</v>
      </c>
      <c r="AI51" s="1">
        <f t="shared" si="1"/>
        <v>0.7216484835</v>
      </c>
      <c r="AJ51" s="1">
        <v>3.7608134705008564E12</v>
      </c>
    </row>
    <row r="52" ht="15.75" customHeight="1">
      <c r="A52" s="40" t="s">
        <v>41</v>
      </c>
      <c r="B52" s="49">
        <v>2025.0</v>
      </c>
      <c r="C52" s="52"/>
      <c r="D52" s="49">
        <v>3.6939709920455615E12</v>
      </c>
      <c r="E52" s="49">
        <v>7.566661792842439</v>
      </c>
      <c r="F52" s="49">
        <v>2523.4360185137643</v>
      </c>
      <c r="G52" s="48">
        <f t="shared" si="2"/>
        <v>6.616568837</v>
      </c>
      <c r="H52" s="42"/>
      <c r="I52" s="49">
        <v>1.1502040507933862E12</v>
      </c>
      <c r="J52" s="49">
        <v>7.082794483569188</v>
      </c>
      <c r="K52" s="44"/>
      <c r="L52" s="49">
        <v>6.17625336E8</v>
      </c>
      <c r="M52" s="49">
        <v>4.219</v>
      </c>
      <c r="N52" s="48">
        <f t="shared" si="4"/>
        <v>95.781</v>
      </c>
      <c r="O52" s="48">
        <f t="shared" si="5"/>
        <v>591567723.1</v>
      </c>
      <c r="P52" s="48">
        <f t="shared" si="6"/>
        <v>6244.375492</v>
      </c>
      <c r="Q52" s="48">
        <f t="shared" si="8"/>
        <v>6.028415212</v>
      </c>
      <c r="R52" s="51">
        <f t="shared" si="7"/>
        <v>1944.331994</v>
      </c>
      <c r="S52" s="48">
        <f t="shared" si="9"/>
        <v>5.5514674</v>
      </c>
      <c r="T52" s="46"/>
      <c r="U52" s="49">
        <v>13.471055068464782</v>
      </c>
      <c r="V52" s="49">
        <v>11.531872924542057</v>
      </c>
      <c r="W52" s="49">
        <v>5.952549104847848E11</v>
      </c>
      <c r="X52" s="49">
        <v>41.6251280877573</v>
      </c>
      <c r="Y52" s="49">
        <v>25.8173073806381</v>
      </c>
      <c r="Z52" s="49">
        <v>32.5575625031109</v>
      </c>
      <c r="AA52" s="42"/>
      <c r="AB52" s="49">
        <v>46.268200685990735</v>
      </c>
      <c r="AC52" s="49">
        <v>8.807408466215453E11</v>
      </c>
      <c r="AD52" s="49">
        <v>9.496602257761584E11</v>
      </c>
      <c r="AE52" s="40" t="s">
        <v>48</v>
      </c>
      <c r="AF52" s="44"/>
      <c r="AG52" s="50">
        <v>3.90972330862133E10</v>
      </c>
      <c r="AH52" s="48">
        <f t="shared" si="3"/>
        <v>44.05837991</v>
      </c>
      <c r="AI52" s="1">
        <f t="shared" si="1"/>
        <v>0.988285384</v>
      </c>
      <c r="AJ52" s="1">
        <v>3.9560671157716313E12</v>
      </c>
    </row>
    <row r="53" ht="15.75" customHeight="1">
      <c r="C53" s="52"/>
      <c r="H53" s="42"/>
      <c r="K53" s="44"/>
      <c r="T53" s="46"/>
      <c r="AA53" s="42"/>
      <c r="AF53" s="44"/>
      <c r="AG53" s="47"/>
      <c r="AJ53" s="1"/>
    </row>
    <row r="54" ht="15.75" customHeight="1">
      <c r="C54" s="52"/>
      <c r="H54" s="42"/>
      <c r="K54" s="44"/>
      <c r="T54" s="46"/>
      <c r="AA54" s="42"/>
      <c r="AF54" s="44"/>
      <c r="AG54" s="47"/>
      <c r="AJ54" s="1"/>
    </row>
    <row r="55" ht="15.75" customHeight="1">
      <c r="C55" s="52"/>
      <c r="H55" s="42"/>
      <c r="K55" s="44"/>
      <c r="T55" s="46"/>
      <c r="AA55" s="42"/>
      <c r="AF55" s="44"/>
      <c r="AG55" s="47"/>
      <c r="AJ55" s="1"/>
    </row>
    <row r="56" ht="15.75" customHeight="1">
      <c r="C56" s="52"/>
      <c r="H56" s="42"/>
      <c r="K56" s="44"/>
      <c r="T56" s="46"/>
      <c r="AA56" s="42"/>
      <c r="AF56" s="44"/>
      <c r="AG56" s="47"/>
      <c r="AJ56" s="1"/>
    </row>
    <row r="57" ht="15.75" customHeight="1">
      <c r="C57" s="52"/>
      <c r="H57" s="42"/>
      <c r="K57" s="44"/>
      <c r="T57" s="46"/>
      <c r="AA57" s="42"/>
      <c r="AF57" s="44"/>
      <c r="AG57" s="47"/>
      <c r="AJ57" s="1"/>
    </row>
    <row r="58" ht="15.75" customHeight="1">
      <c r="C58" s="52"/>
      <c r="H58" s="42"/>
      <c r="K58" s="44"/>
      <c r="T58" s="46"/>
      <c r="AA58" s="42"/>
      <c r="AF58" s="44"/>
      <c r="AG58" s="47"/>
      <c r="AJ58" s="1"/>
    </row>
    <row r="59" ht="15.75" customHeight="1">
      <c r="C59" s="52"/>
      <c r="H59" s="42"/>
      <c r="K59" s="44"/>
      <c r="T59" s="46"/>
      <c r="AA59" s="42"/>
      <c r="AF59" s="44"/>
      <c r="AG59" s="47"/>
      <c r="AJ59" s="1"/>
    </row>
    <row r="60" ht="15.75" customHeight="1">
      <c r="C60" s="52"/>
      <c r="H60" s="42"/>
      <c r="K60" s="44"/>
      <c r="T60" s="46"/>
      <c r="AA60" s="42"/>
      <c r="AF60" s="44"/>
      <c r="AG60" s="47"/>
      <c r="AJ60" s="1"/>
    </row>
    <row r="61" ht="15.75" customHeight="1">
      <c r="C61" s="52"/>
      <c r="H61" s="42"/>
      <c r="K61" s="44"/>
      <c r="T61" s="46"/>
      <c r="AA61" s="42"/>
      <c r="AF61" s="44"/>
      <c r="AG61" s="47"/>
      <c r="AJ61" s="1"/>
    </row>
    <row r="62" ht="15.75" customHeight="1">
      <c r="C62" s="52"/>
      <c r="H62" s="42"/>
      <c r="K62" s="44"/>
      <c r="T62" s="46"/>
      <c r="AA62" s="42"/>
      <c r="AF62" s="44"/>
      <c r="AG62" s="47"/>
      <c r="AJ62" s="1"/>
    </row>
    <row r="63" ht="15.75" customHeight="1">
      <c r="C63" s="52"/>
      <c r="H63" s="42"/>
      <c r="K63" s="44"/>
      <c r="T63" s="46"/>
      <c r="AA63" s="42"/>
      <c r="AF63" s="44"/>
      <c r="AG63" s="47"/>
      <c r="AJ63" s="1"/>
    </row>
    <row r="64" ht="15.75" customHeight="1">
      <c r="C64" s="52"/>
      <c r="H64" s="42"/>
      <c r="K64" s="44"/>
      <c r="T64" s="46"/>
      <c r="AA64" s="42"/>
      <c r="AF64" s="44"/>
      <c r="AG64" s="47"/>
      <c r="AJ64" s="1"/>
    </row>
    <row r="65" ht="15.75" customHeight="1">
      <c r="C65" s="52"/>
      <c r="H65" s="42"/>
      <c r="K65" s="44"/>
      <c r="T65" s="46"/>
      <c r="AA65" s="42"/>
      <c r="AF65" s="44"/>
      <c r="AG65" s="47"/>
      <c r="AJ65" s="1"/>
    </row>
    <row r="66" ht="15.75" customHeight="1">
      <c r="C66" s="52"/>
      <c r="H66" s="42"/>
      <c r="K66" s="44"/>
      <c r="T66" s="46"/>
      <c r="AA66" s="42"/>
      <c r="AF66" s="44"/>
      <c r="AG66" s="47"/>
      <c r="AJ66" s="1"/>
    </row>
    <row r="67" ht="15.75" customHeight="1">
      <c r="C67" s="52"/>
      <c r="H67" s="42"/>
      <c r="K67" s="44"/>
      <c r="T67" s="46"/>
      <c r="AA67" s="42"/>
      <c r="AF67" s="44"/>
      <c r="AG67" s="47"/>
      <c r="AJ67" s="1"/>
    </row>
    <row r="68" ht="15.75" customHeight="1">
      <c r="C68" s="52"/>
      <c r="H68" s="42"/>
      <c r="K68" s="44"/>
      <c r="T68" s="46"/>
      <c r="AA68" s="42"/>
      <c r="AF68" s="44"/>
      <c r="AG68" s="47"/>
      <c r="AJ68" s="1"/>
    </row>
    <row r="69" ht="15.75" customHeight="1">
      <c r="C69" s="52"/>
      <c r="H69" s="42"/>
      <c r="K69" s="44"/>
      <c r="T69" s="46"/>
      <c r="AA69" s="42"/>
      <c r="AF69" s="44"/>
      <c r="AG69" s="47"/>
      <c r="AJ69" s="1"/>
    </row>
    <row r="70" ht="15.75" customHeight="1">
      <c r="C70" s="52"/>
      <c r="H70" s="42"/>
      <c r="K70" s="44"/>
      <c r="T70" s="46"/>
      <c r="AA70" s="42"/>
      <c r="AF70" s="44"/>
      <c r="AG70" s="47"/>
      <c r="AJ70" s="1"/>
    </row>
    <row r="71" ht="15.75" customHeight="1">
      <c r="C71" s="52"/>
      <c r="H71" s="42"/>
      <c r="K71" s="44"/>
      <c r="T71" s="46"/>
      <c r="AA71" s="42"/>
      <c r="AF71" s="44"/>
      <c r="AG71" s="47"/>
      <c r="AJ71" s="1"/>
    </row>
    <row r="72" ht="15.75" customHeight="1">
      <c r="C72" s="52"/>
      <c r="H72" s="42"/>
      <c r="K72" s="44"/>
      <c r="T72" s="46"/>
      <c r="AA72" s="42"/>
      <c r="AF72" s="44"/>
      <c r="AG72" s="47"/>
      <c r="AJ72" s="1"/>
    </row>
    <row r="73" ht="15.75" customHeight="1">
      <c r="C73" s="52"/>
      <c r="H73" s="42"/>
      <c r="K73" s="44"/>
      <c r="T73" s="46"/>
      <c r="AA73" s="42"/>
      <c r="AF73" s="44"/>
      <c r="AG73" s="47"/>
      <c r="AJ73" s="1"/>
    </row>
    <row r="74" ht="15.75" customHeight="1">
      <c r="C74" s="52"/>
      <c r="H74" s="42"/>
      <c r="K74" s="44"/>
      <c r="T74" s="46"/>
      <c r="AA74" s="42"/>
      <c r="AF74" s="44"/>
      <c r="AG74" s="47"/>
      <c r="AJ74" s="1"/>
    </row>
    <row r="75" ht="15.75" customHeight="1">
      <c r="C75" s="52"/>
      <c r="H75" s="42"/>
      <c r="K75" s="44"/>
      <c r="T75" s="46"/>
      <c r="AA75" s="42"/>
      <c r="AF75" s="44"/>
      <c r="AG75" s="47"/>
      <c r="AJ75" s="1"/>
    </row>
    <row r="76" ht="15.75" customHeight="1">
      <c r="C76" s="52"/>
      <c r="H76" s="42"/>
      <c r="K76" s="44"/>
      <c r="T76" s="46"/>
      <c r="AA76" s="42"/>
      <c r="AF76" s="44"/>
      <c r="AG76" s="47"/>
      <c r="AJ76" s="1"/>
    </row>
    <row r="77" ht="15.75" customHeight="1">
      <c r="C77" s="52"/>
      <c r="H77" s="42"/>
      <c r="K77" s="44"/>
      <c r="T77" s="46"/>
      <c r="AA77" s="42"/>
      <c r="AF77" s="44"/>
      <c r="AG77" s="47"/>
      <c r="AJ77" s="1"/>
    </row>
    <row r="78" ht="15.75" customHeight="1">
      <c r="C78" s="52"/>
      <c r="H78" s="42"/>
      <c r="K78" s="44"/>
      <c r="T78" s="46"/>
      <c r="AA78" s="42"/>
      <c r="AF78" s="44"/>
      <c r="AG78" s="47"/>
      <c r="AJ78" s="1"/>
    </row>
    <row r="79" ht="15.75" customHeight="1">
      <c r="C79" s="52"/>
      <c r="H79" s="42"/>
      <c r="K79" s="44"/>
      <c r="T79" s="46"/>
      <c r="AA79" s="42"/>
      <c r="AF79" s="44"/>
      <c r="AG79" s="47"/>
      <c r="AJ79" s="1"/>
    </row>
    <row r="80" ht="15.75" customHeight="1">
      <c r="C80" s="52"/>
      <c r="H80" s="42"/>
      <c r="K80" s="44"/>
      <c r="T80" s="46"/>
      <c r="AA80" s="42"/>
      <c r="AF80" s="44"/>
      <c r="AG80" s="47"/>
      <c r="AJ80" s="1"/>
    </row>
    <row r="81" ht="15.75" customHeight="1">
      <c r="C81" s="52"/>
      <c r="H81" s="42"/>
      <c r="K81" s="44"/>
      <c r="T81" s="46"/>
      <c r="AA81" s="42"/>
      <c r="AF81" s="44"/>
      <c r="AG81" s="47"/>
      <c r="AJ81" s="1"/>
    </row>
    <row r="82" ht="15.75" customHeight="1">
      <c r="C82" s="52"/>
      <c r="H82" s="42"/>
      <c r="K82" s="44"/>
      <c r="T82" s="46"/>
      <c r="AA82" s="42"/>
      <c r="AF82" s="44"/>
      <c r="AG82" s="47"/>
      <c r="AJ82" s="1"/>
    </row>
    <row r="83" ht="15.75" customHeight="1">
      <c r="C83" s="52"/>
      <c r="H83" s="42"/>
      <c r="K83" s="44"/>
      <c r="T83" s="46"/>
      <c r="AA83" s="42"/>
      <c r="AF83" s="44"/>
      <c r="AG83" s="47"/>
      <c r="AJ83" s="1"/>
    </row>
    <row r="84" ht="15.75" customHeight="1">
      <c r="C84" s="52"/>
      <c r="H84" s="42"/>
      <c r="K84" s="44"/>
      <c r="T84" s="46"/>
      <c r="AA84" s="42"/>
      <c r="AF84" s="44"/>
      <c r="AG84" s="47"/>
      <c r="AJ84" s="1"/>
    </row>
    <row r="85" ht="15.75" customHeight="1">
      <c r="C85" s="52"/>
      <c r="H85" s="42"/>
      <c r="K85" s="44"/>
      <c r="T85" s="46"/>
      <c r="AA85" s="42"/>
      <c r="AF85" s="44"/>
      <c r="AG85" s="47"/>
      <c r="AJ85" s="1"/>
    </row>
    <row r="86" ht="15.75" customHeight="1">
      <c r="C86" s="52"/>
      <c r="H86" s="42"/>
      <c r="K86" s="44"/>
      <c r="T86" s="46"/>
      <c r="AA86" s="42"/>
      <c r="AF86" s="44"/>
      <c r="AG86" s="47"/>
      <c r="AJ86" s="1"/>
    </row>
    <row r="87" ht="15.75" customHeight="1">
      <c r="C87" s="52"/>
      <c r="H87" s="42"/>
      <c r="K87" s="44"/>
      <c r="T87" s="46"/>
      <c r="AA87" s="42"/>
      <c r="AF87" s="44"/>
      <c r="AG87" s="47"/>
      <c r="AJ87" s="1"/>
    </row>
    <row r="88" ht="15.75" customHeight="1">
      <c r="C88" s="52"/>
      <c r="H88" s="42"/>
      <c r="K88" s="44"/>
      <c r="T88" s="46"/>
      <c r="AA88" s="42"/>
      <c r="AF88" s="44"/>
      <c r="AG88" s="47"/>
      <c r="AJ88" s="1"/>
    </row>
    <row r="89" ht="15.75" customHeight="1">
      <c r="C89" s="52"/>
      <c r="H89" s="42"/>
      <c r="K89" s="44"/>
      <c r="T89" s="46"/>
      <c r="AA89" s="42"/>
      <c r="AF89" s="44"/>
      <c r="AG89" s="47"/>
      <c r="AJ89" s="1"/>
    </row>
    <row r="90" ht="15.75" customHeight="1">
      <c r="C90" s="52"/>
      <c r="H90" s="42"/>
      <c r="K90" s="44"/>
      <c r="T90" s="46"/>
      <c r="AA90" s="42"/>
      <c r="AF90" s="44"/>
      <c r="AG90" s="47"/>
      <c r="AJ90" s="1"/>
    </row>
    <row r="91" ht="15.75" customHeight="1">
      <c r="C91" s="52"/>
      <c r="H91" s="42"/>
      <c r="K91" s="44"/>
      <c r="T91" s="46"/>
      <c r="AA91" s="42"/>
      <c r="AF91" s="44"/>
      <c r="AG91" s="47"/>
      <c r="AJ91" s="1"/>
    </row>
    <row r="92" ht="15.75" customHeight="1">
      <c r="C92" s="52"/>
      <c r="H92" s="42"/>
      <c r="K92" s="44"/>
      <c r="T92" s="46"/>
      <c r="AA92" s="42"/>
      <c r="AF92" s="44"/>
      <c r="AG92" s="47"/>
      <c r="AJ92" s="1"/>
    </row>
    <row r="93" ht="15.75" customHeight="1">
      <c r="C93" s="52"/>
      <c r="H93" s="42"/>
      <c r="K93" s="44"/>
      <c r="T93" s="46"/>
      <c r="AA93" s="42"/>
      <c r="AF93" s="44"/>
      <c r="AG93" s="47"/>
      <c r="AJ93" s="1"/>
    </row>
    <row r="94" ht="15.75" customHeight="1">
      <c r="C94" s="52"/>
      <c r="H94" s="42"/>
      <c r="K94" s="44"/>
      <c r="T94" s="46"/>
      <c r="AA94" s="42"/>
      <c r="AF94" s="44"/>
      <c r="AG94" s="47"/>
      <c r="AJ94" s="1"/>
    </row>
    <row r="95" ht="15.75" customHeight="1">
      <c r="C95" s="52"/>
      <c r="H95" s="42"/>
      <c r="K95" s="44"/>
      <c r="T95" s="46"/>
      <c r="AA95" s="42"/>
      <c r="AF95" s="44"/>
      <c r="AG95" s="47"/>
      <c r="AJ95" s="1"/>
    </row>
    <row r="96" ht="15.75" customHeight="1">
      <c r="C96" s="52"/>
      <c r="H96" s="42"/>
      <c r="K96" s="44"/>
      <c r="T96" s="46"/>
      <c r="AA96" s="42"/>
      <c r="AF96" s="44"/>
      <c r="AG96" s="47"/>
      <c r="AJ96" s="1"/>
    </row>
    <row r="97" ht="15.75" customHeight="1">
      <c r="C97" s="52"/>
      <c r="H97" s="42"/>
      <c r="K97" s="44"/>
      <c r="T97" s="46"/>
      <c r="AA97" s="42"/>
      <c r="AF97" s="44"/>
      <c r="AG97" s="47"/>
      <c r="AJ97" s="1"/>
    </row>
    <row r="98" ht="15.75" customHeight="1">
      <c r="C98" s="52"/>
      <c r="H98" s="42"/>
      <c r="K98" s="44"/>
      <c r="T98" s="46"/>
      <c r="AA98" s="42"/>
      <c r="AF98" s="44"/>
      <c r="AG98" s="47"/>
      <c r="AJ98" s="1"/>
    </row>
    <row r="99" ht="15.75" customHeight="1">
      <c r="C99" s="52"/>
      <c r="H99" s="42"/>
      <c r="K99" s="44"/>
      <c r="T99" s="46"/>
      <c r="AA99" s="42"/>
      <c r="AF99" s="44"/>
      <c r="AG99" s="47"/>
      <c r="AJ99" s="1"/>
    </row>
    <row r="100" ht="15.75" customHeight="1">
      <c r="C100" s="52"/>
      <c r="H100" s="42"/>
      <c r="K100" s="44"/>
      <c r="T100" s="46"/>
      <c r="AA100" s="42"/>
      <c r="AF100" s="44"/>
      <c r="AG100" s="47"/>
      <c r="AJ100" s="1"/>
    </row>
    <row r="101" ht="15.75" customHeight="1">
      <c r="C101" s="52"/>
      <c r="H101" s="42"/>
      <c r="K101" s="44"/>
      <c r="T101" s="46"/>
      <c r="AA101" s="42"/>
      <c r="AF101" s="44"/>
      <c r="AG101" s="47"/>
      <c r="AJ101" s="1"/>
    </row>
    <row r="102" ht="15.75" customHeight="1">
      <c r="C102" s="52"/>
      <c r="H102" s="42"/>
      <c r="K102" s="44"/>
      <c r="T102" s="46"/>
      <c r="AA102" s="42"/>
      <c r="AF102" s="44"/>
      <c r="AG102" s="47"/>
      <c r="AJ102" s="1"/>
    </row>
    <row r="103" ht="15.75" customHeight="1">
      <c r="C103" s="52"/>
      <c r="H103" s="42"/>
      <c r="K103" s="44"/>
      <c r="T103" s="46"/>
      <c r="AA103" s="42"/>
      <c r="AF103" s="44"/>
      <c r="AG103" s="47"/>
      <c r="AJ103" s="1"/>
    </row>
    <row r="104" ht="15.75" customHeight="1">
      <c r="C104" s="52"/>
      <c r="H104" s="42"/>
      <c r="K104" s="44"/>
      <c r="T104" s="46"/>
      <c r="AA104" s="42"/>
      <c r="AF104" s="44"/>
      <c r="AG104" s="47"/>
      <c r="AJ104" s="1"/>
    </row>
    <row r="105" ht="15.75" customHeight="1">
      <c r="C105" s="52"/>
      <c r="H105" s="42"/>
      <c r="K105" s="44"/>
      <c r="T105" s="46"/>
      <c r="AA105" s="42"/>
      <c r="AF105" s="44"/>
      <c r="AG105" s="47"/>
      <c r="AJ105" s="1"/>
    </row>
    <row r="106" ht="15.75" customHeight="1">
      <c r="C106" s="52"/>
      <c r="H106" s="42"/>
      <c r="K106" s="44"/>
      <c r="T106" s="46"/>
      <c r="AA106" s="42"/>
      <c r="AF106" s="44"/>
      <c r="AG106" s="47"/>
      <c r="AJ106" s="1"/>
    </row>
    <row r="107" ht="15.75" customHeight="1">
      <c r="C107" s="52"/>
      <c r="H107" s="42"/>
      <c r="K107" s="44"/>
      <c r="T107" s="46"/>
      <c r="AA107" s="42"/>
      <c r="AF107" s="44"/>
      <c r="AG107" s="47"/>
      <c r="AJ107" s="1"/>
    </row>
    <row r="108" ht="15.75" customHeight="1">
      <c r="C108" s="52"/>
      <c r="H108" s="42"/>
      <c r="K108" s="44"/>
      <c r="T108" s="46"/>
      <c r="AA108" s="42"/>
      <c r="AF108" s="44"/>
      <c r="AG108" s="47"/>
      <c r="AJ108" s="1"/>
    </row>
    <row r="109" ht="15.75" customHeight="1">
      <c r="C109" s="52"/>
      <c r="H109" s="42"/>
      <c r="K109" s="44"/>
      <c r="T109" s="46"/>
      <c r="AA109" s="42"/>
      <c r="AF109" s="44"/>
      <c r="AG109" s="47"/>
      <c r="AJ109" s="1"/>
    </row>
    <row r="110" ht="15.75" customHeight="1">
      <c r="C110" s="52"/>
      <c r="H110" s="42"/>
      <c r="K110" s="44"/>
      <c r="T110" s="46"/>
      <c r="AA110" s="42"/>
      <c r="AF110" s="44"/>
      <c r="AG110" s="47"/>
      <c r="AJ110" s="1"/>
    </row>
    <row r="111" ht="15.75" customHeight="1">
      <c r="C111" s="52"/>
      <c r="H111" s="42"/>
      <c r="K111" s="44"/>
      <c r="T111" s="46"/>
      <c r="AA111" s="42"/>
      <c r="AF111" s="44"/>
      <c r="AG111" s="47"/>
      <c r="AJ111" s="1"/>
    </row>
    <row r="112" ht="15.75" customHeight="1">
      <c r="C112" s="52"/>
      <c r="H112" s="42"/>
      <c r="K112" s="44"/>
      <c r="T112" s="46"/>
      <c r="AA112" s="42"/>
      <c r="AF112" s="44"/>
      <c r="AG112" s="47"/>
      <c r="AJ112" s="1"/>
    </row>
    <row r="113" ht="15.75" customHeight="1">
      <c r="C113" s="52"/>
      <c r="H113" s="42"/>
      <c r="K113" s="44"/>
      <c r="T113" s="46"/>
      <c r="AA113" s="42"/>
      <c r="AF113" s="44"/>
      <c r="AG113" s="47"/>
      <c r="AJ113" s="1"/>
    </row>
    <row r="114" ht="15.75" customHeight="1">
      <c r="C114" s="52"/>
      <c r="H114" s="42"/>
      <c r="K114" s="44"/>
      <c r="T114" s="46"/>
      <c r="AA114" s="42"/>
      <c r="AF114" s="44"/>
      <c r="AG114" s="47"/>
      <c r="AJ114" s="1"/>
    </row>
    <row r="115" ht="15.75" customHeight="1">
      <c r="C115" s="52"/>
      <c r="H115" s="42"/>
      <c r="K115" s="44"/>
      <c r="T115" s="46"/>
      <c r="AA115" s="42"/>
      <c r="AF115" s="44"/>
      <c r="AG115" s="47"/>
      <c r="AJ115" s="1"/>
    </row>
    <row r="116" ht="15.75" customHeight="1">
      <c r="C116" s="52"/>
      <c r="H116" s="42"/>
      <c r="K116" s="44"/>
      <c r="T116" s="46"/>
      <c r="AA116" s="42"/>
      <c r="AF116" s="44"/>
      <c r="AG116" s="47"/>
      <c r="AJ116" s="1"/>
    </row>
    <row r="117" ht="15.75" customHeight="1">
      <c r="C117" s="52"/>
      <c r="H117" s="42"/>
      <c r="K117" s="44"/>
      <c r="T117" s="46"/>
      <c r="AA117" s="42"/>
      <c r="AF117" s="44"/>
      <c r="AG117" s="47"/>
      <c r="AJ117" s="1"/>
    </row>
    <row r="118" ht="15.75" customHeight="1">
      <c r="C118" s="52"/>
      <c r="H118" s="42"/>
      <c r="K118" s="44"/>
      <c r="T118" s="46"/>
      <c r="AA118" s="42"/>
      <c r="AF118" s="44"/>
      <c r="AG118" s="47"/>
      <c r="AJ118" s="1"/>
    </row>
    <row r="119" ht="15.75" customHeight="1">
      <c r="C119" s="52"/>
      <c r="H119" s="42"/>
      <c r="K119" s="44"/>
      <c r="T119" s="46"/>
      <c r="AA119" s="42"/>
      <c r="AF119" s="44"/>
      <c r="AG119" s="47"/>
      <c r="AJ119" s="1"/>
    </row>
    <row r="120" ht="15.75" customHeight="1">
      <c r="C120" s="52"/>
      <c r="H120" s="42"/>
      <c r="K120" s="44"/>
      <c r="T120" s="46"/>
      <c r="AA120" s="42"/>
      <c r="AF120" s="44"/>
      <c r="AG120" s="47"/>
      <c r="AJ120" s="1"/>
    </row>
    <row r="121" ht="15.75" customHeight="1">
      <c r="C121" s="52"/>
      <c r="H121" s="42"/>
      <c r="K121" s="44"/>
      <c r="T121" s="46"/>
      <c r="AA121" s="42"/>
      <c r="AF121" s="44"/>
      <c r="AG121" s="47"/>
      <c r="AJ121" s="1"/>
    </row>
    <row r="122" ht="15.75" customHeight="1">
      <c r="C122" s="52"/>
      <c r="H122" s="42"/>
      <c r="K122" s="44"/>
      <c r="T122" s="46"/>
      <c r="AA122" s="42"/>
      <c r="AF122" s="44"/>
      <c r="AG122" s="47"/>
      <c r="AJ122" s="1"/>
    </row>
    <row r="123" ht="15.75" customHeight="1">
      <c r="C123" s="52"/>
      <c r="H123" s="42"/>
      <c r="K123" s="44"/>
      <c r="T123" s="46"/>
      <c r="AA123" s="42"/>
      <c r="AF123" s="44"/>
      <c r="AG123" s="47"/>
      <c r="AJ123" s="1"/>
    </row>
    <row r="124" ht="15.75" customHeight="1">
      <c r="C124" s="52"/>
      <c r="H124" s="42"/>
      <c r="K124" s="44"/>
      <c r="T124" s="46"/>
      <c r="AA124" s="42"/>
      <c r="AF124" s="44"/>
      <c r="AG124" s="47"/>
      <c r="AJ124" s="1"/>
    </row>
    <row r="125" ht="15.75" customHeight="1">
      <c r="C125" s="52"/>
      <c r="H125" s="42"/>
      <c r="K125" s="44"/>
      <c r="T125" s="46"/>
      <c r="AA125" s="42"/>
      <c r="AF125" s="44"/>
      <c r="AG125" s="47"/>
      <c r="AJ125" s="1"/>
    </row>
    <row r="126" ht="15.75" customHeight="1">
      <c r="C126" s="52"/>
      <c r="H126" s="42"/>
      <c r="K126" s="44"/>
      <c r="T126" s="46"/>
      <c r="AA126" s="42"/>
      <c r="AF126" s="44"/>
      <c r="AG126" s="47"/>
      <c r="AJ126" s="1"/>
    </row>
    <row r="127" ht="15.75" customHeight="1">
      <c r="C127" s="52"/>
      <c r="H127" s="42"/>
      <c r="K127" s="44"/>
      <c r="T127" s="46"/>
      <c r="AA127" s="42"/>
      <c r="AF127" s="44"/>
      <c r="AG127" s="47"/>
      <c r="AJ127" s="1"/>
    </row>
    <row r="128" ht="15.75" customHeight="1">
      <c r="C128" s="52"/>
      <c r="H128" s="42"/>
      <c r="K128" s="44"/>
      <c r="T128" s="46"/>
      <c r="AA128" s="42"/>
      <c r="AF128" s="44"/>
      <c r="AG128" s="47"/>
      <c r="AJ128" s="1"/>
    </row>
    <row r="129" ht="15.75" customHeight="1">
      <c r="C129" s="52"/>
      <c r="H129" s="42"/>
      <c r="K129" s="44"/>
      <c r="T129" s="46"/>
      <c r="AA129" s="42"/>
      <c r="AF129" s="44"/>
      <c r="AG129" s="47"/>
      <c r="AJ129" s="1"/>
    </row>
    <row r="130" ht="15.75" customHeight="1">
      <c r="C130" s="52"/>
      <c r="H130" s="42"/>
      <c r="K130" s="44"/>
      <c r="T130" s="46"/>
      <c r="AA130" s="42"/>
      <c r="AF130" s="44"/>
      <c r="AG130" s="47"/>
      <c r="AJ130" s="1"/>
    </row>
    <row r="131" ht="15.75" customHeight="1">
      <c r="C131" s="52"/>
      <c r="H131" s="42"/>
      <c r="K131" s="44"/>
      <c r="T131" s="46"/>
      <c r="AA131" s="42"/>
      <c r="AF131" s="44"/>
      <c r="AG131" s="47"/>
      <c r="AJ131" s="1"/>
    </row>
    <row r="132" ht="15.75" customHeight="1">
      <c r="C132" s="52"/>
      <c r="H132" s="42"/>
      <c r="K132" s="44"/>
      <c r="T132" s="46"/>
      <c r="AA132" s="42"/>
      <c r="AF132" s="44"/>
      <c r="AG132" s="47"/>
      <c r="AJ132" s="1"/>
    </row>
    <row r="133" ht="15.75" customHeight="1">
      <c r="C133" s="52"/>
      <c r="H133" s="42"/>
      <c r="K133" s="44"/>
      <c r="T133" s="46"/>
      <c r="AA133" s="42"/>
      <c r="AF133" s="44"/>
      <c r="AG133" s="47"/>
      <c r="AJ133" s="1"/>
    </row>
    <row r="134" ht="15.75" customHeight="1">
      <c r="C134" s="52"/>
      <c r="H134" s="42"/>
      <c r="K134" s="44"/>
      <c r="T134" s="46"/>
      <c r="AA134" s="42"/>
      <c r="AF134" s="44"/>
      <c r="AG134" s="47"/>
      <c r="AJ134" s="1"/>
    </row>
    <row r="135" ht="15.75" customHeight="1">
      <c r="C135" s="52"/>
      <c r="H135" s="42"/>
      <c r="K135" s="44"/>
      <c r="T135" s="46"/>
      <c r="AA135" s="42"/>
      <c r="AF135" s="44"/>
      <c r="AG135" s="47"/>
      <c r="AJ135" s="1"/>
    </row>
    <row r="136" ht="15.75" customHeight="1">
      <c r="C136" s="52"/>
      <c r="H136" s="42"/>
      <c r="K136" s="44"/>
      <c r="T136" s="46"/>
      <c r="AA136" s="42"/>
      <c r="AF136" s="44"/>
      <c r="AG136" s="47"/>
      <c r="AJ136" s="1"/>
    </row>
    <row r="137" ht="15.75" customHeight="1">
      <c r="C137" s="52"/>
      <c r="H137" s="42"/>
      <c r="K137" s="44"/>
      <c r="T137" s="46"/>
      <c r="AA137" s="42"/>
      <c r="AF137" s="44"/>
      <c r="AG137" s="47"/>
      <c r="AJ137" s="1"/>
    </row>
    <row r="138" ht="15.75" customHeight="1">
      <c r="C138" s="52"/>
      <c r="H138" s="42"/>
      <c r="K138" s="44"/>
      <c r="T138" s="46"/>
      <c r="AA138" s="42"/>
      <c r="AF138" s="44"/>
      <c r="AG138" s="47"/>
      <c r="AJ138" s="1"/>
    </row>
    <row r="139" ht="15.75" customHeight="1">
      <c r="C139" s="52"/>
      <c r="H139" s="42"/>
      <c r="K139" s="44"/>
      <c r="T139" s="46"/>
      <c r="AA139" s="42"/>
      <c r="AF139" s="44"/>
      <c r="AG139" s="47"/>
      <c r="AJ139" s="1"/>
    </row>
    <row r="140" ht="15.75" customHeight="1">
      <c r="C140" s="52"/>
      <c r="H140" s="42"/>
      <c r="K140" s="44"/>
      <c r="T140" s="46"/>
      <c r="AA140" s="42"/>
      <c r="AF140" s="44"/>
      <c r="AG140" s="47"/>
      <c r="AJ140" s="1"/>
    </row>
    <row r="141" ht="15.75" customHeight="1">
      <c r="C141" s="52"/>
      <c r="H141" s="42"/>
      <c r="K141" s="44"/>
      <c r="T141" s="46"/>
      <c r="AA141" s="42"/>
      <c r="AF141" s="44"/>
      <c r="AG141" s="47"/>
      <c r="AJ141" s="1"/>
    </row>
    <row r="142" ht="15.75" customHeight="1">
      <c r="C142" s="52"/>
      <c r="H142" s="42"/>
      <c r="K142" s="44"/>
      <c r="T142" s="46"/>
      <c r="AA142" s="42"/>
      <c r="AF142" s="44"/>
      <c r="AG142" s="47"/>
      <c r="AJ142" s="1"/>
    </row>
    <row r="143" ht="15.75" customHeight="1">
      <c r="C143" s="52"/>
      <c r="H143" s="42"/>
      <c r="K143" s="44"/>
      <c r="T143" s="46"/>
      <c r="AA143" s="42"/>
      <c r="AF143" s="44"/>
      <c r="AG143" s="47"/>
      <c r="AJ143" s="1"/>
    </row>
    <row r="144" ht="15.75" customHeight="1">
      <c r="C144" s="52"/>
      <c r="H144" s="42"/>
      <c r="K144" s="44"/>
      <c r="T144" s="46"/>
      <c r="AA144" s="42"/>
      <c r="AF144" s="44"/>
      <c r="AG144" s="47"/>
      <c r="AJ144" s="1"/>
    </row>
    <row r="145" ht="15.75" customHeight="1">
      <c r="C145" s="52"/>
      <c r="H145" s="42"/>
      <c r="K145" s="44"/>
      <c r="T145" s="46"/>
      <c r="AA145" s="42"/>
      <c r="AF145" s="44"/>
      <c r="AG145" s="47"/>
      <c r="AJ145" s="1"/>
    </row>
    <row r="146" ht="15.75" customHeight="1">
      <c r="C146" s="52"/>
      <c r="H146" s="42"/>
      <c r="K146" s="44"/>
      <c r="T146" s="46"/>
      <c r="AA146" s="42"/>
      <c r="AF146" s="44"/>
      <c r="AG146" s="47"/>
      <c r="AJ146" s="1"/>
    </row>
    <row r="147" ht="15.75" customHeight="1">
      <c r="C147" s="52"/>
      <c r="H147" s="42"/>
      <c r="K147" s="44"/>
      <c r="T147" s="46"/>
      <c r="AA147" s="42"/>
      <c r="AF147" s="44"/>
      <c r="AG147" s="47"/>
      <c r="AJ147" s="1"/>
    </row>
    <row r="148" ht="15.75" customHeight="1">
      <c r="C148" s="52"/>
      <c r="H148" s="42"/>
      <c r="K148" s="44"/>
      <c r="T148" s="46"/>
      <c r="AA148" s="42"/>
      <c r="AF148" s="44"/>
      <c r="AG148" s="47"/>
      <c r="AJ148" s="1"/>
    </row>
    <row r="149" ht="15.75" customHeight="1">
      <c r="C149" s="52"/>
      <c r="H149" s="42"/>
      <c r="K149" s="44"/>
      <c r="T149" s="46"/>
      <c r="AA149" s="42"/>
      <c r="AF149" s="44"/>
      <c r="AG149" s="47"/>
      <c r="AJ149" s="1"/>
    </row>
    <row r="150" ht="15.75" customHeight="1">
      <c r="C150" s="52"/>
      <c r="H150" s="42"/>
      <c r="K150" s="44"/>
      <c r="T150" s="46"/>
      <c r="AA150" s="42"/>
      <c r="AF150" s="44"/>
      <c r="AG150" s="47"/>
      <c r="AJ150" s="1"/>
    </row>
    <row r="151" ht="15.75" customHeight="1">
      <c r="C151" s="52"/>
      <c r="H151" s="42"/>
      <c r="K151" s="44"/>
      <c r="T151" s="46"/>
      <c r="AA151" s="42"/>
      <c r="AF151" s="44"/>
      <c r="AG151" s="47"/>
      <c r="AJ151" s="1"/>
    </row>
    <row r="152" ht="15.75" customHeight="1">
      <c r="C152" s="52"/>
      <c r="H152" s="42"/>
      <c r="K152" s="44"/>
      <c r="T152" s="46"/>
      <c r="AA152" s="42"/>
      <c r="AF152" s="44"/>
      <c r="AG152" s="47"/>
      <c r="AJ152" s="1"/>
    </row>
    <row r="153" ht="15.75" customHeight="1">
      <c r="C153" s="52"/>
      <c r="H153" s="42"/>
      <c r="K153" s="44"/>
      <c r="T153" s="46"/>
      <c r="AA153" s="42"/>
      <c r="AF153" s="44"/>
      <c r="AG153" s="47"/>
      <c r="AJ153" s="1"/>
    </row>
    <row r="154" ht="15.75" customHeight="1">
      <c r="C154" s="52"/>
      <c r="H154" s="42"/>
      <c r="K154" s="44"/>
      <c r="T154" s="46"/>
      <c r="AA154" s="42"/>
      <c r="AF154" s="44"/>
      <c r="AG154" s="47"/>
      <c r="AJ154" s="1"/>
    </row>
    <row r="155" ht="15.75" customHeight="1">
      <c r="C155" s="52"/>
      <c r="H155" s="42"/>
      <c r="K155" s="44"/>
      <c r="T155" s="46"/>
      <c r="AA155" s="42"/>
      <c r="AF155" s="44"/>
      <c r="AG155" s="47"/>
      <c r="AJ155" s="1"/>
    </row>
    <row r="156" ht="15.75" customHeight="1">
      <c r="C156" s="52"/>
      <c r="H156" s="42"/>
      <c r="K156" s="44"/>
      <c r="T156" s="46"/>
      <c r="AA156" s="42"/>
      <c r="AF156" s="44"/>
      <c r="AG156" s="47"/>
      <c r="AJ156" s="1"/>
    </row>
    <row r="157" ht="15.75" customHeight="1">
      <c r="C157" s="52"/>
      <c r="H157" s="42"/>
      <c r="K157" s="44"/>
      <c r="T157" s="46"/>
      <c r="AA157" s="42"/>
      <c r="AF157" s="44"/>
      <c r="AG157" s="47"/>
      <c r="AJ157" s="1"/>
    </row>
    <row r="158" ht="15.75" customHeight="1">
      <c r="C158" s="52"/>
      <c r="H158" s="42"/>
      <c r="K158" s="44"/>
      <c r="T158" s="46"/>
      <c r="AA158" s="42"/>
      <c r="AF158" s="44"/>
      <c r="AG158" s="47"/>
      <c r="AJ158" s="1"/>
    </row>
    <row r="159" ht="15.75" customHeight="1">
      <c r="C159" s="52"/>
      <c r="H159" s="42"/>
      <c r="K159" s="44"/>
      <c r="T159" s="46"/>
      <c r="AA159" s="42"/>
      <c r="AF159" s="44"/>
      <c r="AG159" s="47"/>
      <c r="AJ159" s="1"/>
    </row>
    <row r="160" ht="15.75" customHeight="1">
      <c r="C160" s="52"/>
      <c r="H160" s="42"/>
      <c r="K160" s="44"/>
      <c r="T160" s="46"/>
      <c r="AA160" s="42"/>
      <c r="AF160" s="44"/>
      <c r="AG160" s="47"/>
      <c r="AJ160" s="1"/>
    </row>
    <row r="161" ht="15.75" customHeight="1">
      <c r="C161" s="52"/>
      <c r="H161" s="42"/>
      <c r="K161" s="44"/>
      <c r="T161" s="46"/>
      <c r="AA161" s="42"/>
      <c r="AF161" s="44"/>
      <c r="AG161" s="47"/>
      <c r="AJ161" s="1"/>
    </row>
    <row r="162" ht="15.75" customHeight="1">
      <c r="C162" s="52"/>
      <c r="H162" s="42"/>
      <c r="K162" s="44"/>
      <c r="T162" s="46"/>
      <c r="AA162" s="42"/>
      <c r="AF162" s="44"/>
      <c r="AG162" s="47"/>
      <c r="AJ162" s="1"/>
    </row>
    <row r="163" ht="15.75" customHeight="1">
      <c r="C163" s="52"/>
      <c r="H163" s="42"/>
      <c r="K163" s="44"/>
      <c r="T163" s="46"/>
      <c r="AA163" s="42"/>
      <c r="AF163" s="44"/>
      <c r="AG163" s="47"/>
      <c r="AJ163" s="1"/>
    </row>
    <row r="164" ht="15.75" customHeight="1">
      <c r="C164" s="52"/>
      <c r="H164" s="42"/>
      <c r="K164" s="44"/>
      <c r="T164" s="46"/>
      <c r="AA164" s="42"/>
      <c r="AF164" s="44"/>
      <c r="AG164" s="47"/>
      <c r="AJ164" s="1"/>
    </row>
    <row r="165" ht="15.75" customHeight="1">
      <c r="C165" s="52"/>
      <c r="H165" s="42"/>
      <c r="K165" s="44"/>
      <c r="T165" s="46"/>
      <c r="AA165" s="42"/>
      <c r="AF165" s="44"/>
      <c r="AG165" s="47"/>
      <c r="AJ165" s="1"/>
    </row>
    <row r="166" ht="15.75" customHeight="1">
      <c r="C166" s="52"/>
      <c r="H166" s="42"/>
      <c r="K166" s="44"/>
      <c r="T166" s="46"/>
      <c r="AA166" s="42"/>
      <c r="AF166" s="44"/>
      <c r="AG166" s="47"/>
      <c r="AJ166" s="1"/>
    </row>
    <row r="167" ht="15.75" customHeight="1">
      <c r="C167" s="52"/>
      <c r="H167" s="42"/>
      <c r="K167" s="44"/>
      <c r="T167" s="46"/>
      <c r="AA167" s="42"/>
      <c r="AF167" s="44"/>
      <c r="AG167" s="47"/>
      <c r="AJ167" s="1"/>
    </row>
    <row r="168" ht="15.75" customHeight="1">
      <c r="C168" s="52"/>
      <c r="H168" s="42"/>
      <c r="K168" s="44"/>
      <c r="T168" s="46"/>
      <c r="AA168" s="42"/>
      <c r="AF168" s="44"/>
      <c r="AG168" s="47"/>
      <c r="AJ168" s="1"/>
    </row>
    <row r="169" ht="15.75" customHeight="1">
      <c r="C169" s="52"/>
      <c r="H169" s="42"/>
      <c r="K169" s="44"/>
      <c r="T169" s="46"/>
      <c r="AA169" s="42"/>
      <c r="AF169" s="44"/>
      <c r="AG169" s="47"/>
      <c r="AJ169" s="1"/>
    </row>
    <row r="170" ht="15.75" customHeight="1">
      <c r="C170" s="52"/>
      <c r="H170" s="42"/>
      <c r="K170" s="44"/>
      <c r="T170" s="46"/>
      <c r="AA170" s="42"/>
      <c r="AF170" s="44"/>
      <c r="AG170" s="47"/>
      <c r="AJ170" s="1"/>
    </row>
    <row r="171" ht="15.75" customHeight="1">
      <c r="C171" s="52"/>
      <c r="H171" s="42"/>
      <c r="K171" s="44"/>
      <c r="T171" s="46"/>
      <c r="AA171" s="42"/>
      <c r="AF171" s="44"/>
      <c r="AG171" s="47"/>
      <c r="AJ171" s="1"/>
    </row>
    <row r="172" ht="15.75" customHeight="1">
      <c r="C172" s="52"/>
      <c r="H172" s="42"/>
      <c r="K172" s="44"/>
      <c r="T172" s="46"/>
      <c r="AA172" s="42"/>
      <c r="AF172" s="44"/>
      <c r="AG172" s="47"/>
      <c r="AJ172" s="1"/>
    </row>
    <row r="173" ht="15.75" customHeight="1">
      <c r="C173" s="52"/>
      <c r="H173" s="42"/>
      <c r="K173" s="44"/>
      <c r="T173" s="46"/>
      <c r="AA173" s="42"/>
      <c r="AF173" s="44"/>
      <c r="AG173" s="47"/>
      <c r="AJ173" s="1"/>
    </row>
    <row r="174" ht="15.75" customHeight="1">
      <c r="C174" s="52"/>
      <c r="H174" s="42"/>
      <c r="K174" s="44"/>
      <c r="T174" s="46"/>
      <c r="AA174" s="42"/>
      <c r="AF174" s="44"/>
      <c r="AG174" s="47"/>
      <c r="AJ174" s="1"/>
    </row>
    <row r="175" ht="15.75" customHeight="1">
      <c r="C175" s="52"/>
      <c r="H175" s="42"/>
      <c r="K175" s="44"/>
      <c r="T175" s="46"/>
      <c r="AA175" s="42"/>
      <c r="AF175" s="44"/>
      <c r="AG175" s="47"/>
      <c r="AJ175" s="1"/>
    </row>
    <row r="176" ht="15.75" customHeight="1">
      <c r="C176" s="52"/>
      <c r="H176" s="42"/>
      <c r="K176" s="44"/>
      <c r="T176" s="46"/>
      <c r="AA176" s="42"/>
      <c r="AF176" s="44"/>
      <c r="AG176" s="47"/>
      <c r="AJ176" s="1"/>
    </row>
    <row r="177" ht="15.75" customHeight="1">
      <c r="C177" s="52"/>
      <c r="H177" s="42"/>
      <c r="K177" s="44"/>
      <c r="T177" s="46"/>
      <c r="AA177" s="42"/>
      <c r="AF177" s="44"/>
      <c r="AG177" s="47"/>
      <c r="AJ177" s="1"/>
    </row>
    <row r="178" ht="15.75" customHeight="1">
      <c r="C178" s="52"/>
      <c r="H178" s="42"/>
      <c r="K178" s="44"/>
      <c r="T178" s="46"/>
      <c r="AA178" s="42"/>
      <c r="AF178" s="44"/>
      <c r="AG178" s="47"/>
      <c r="AJ178" s="1"/>
    </row>
    <row r="179" ht="15.75" customHeight="1">
      <c r="C179" s="52"/>
      <c r="H179" s="42"/>
      <c r="K179" s="44"/>
      <c r="T179" s="46"/>
      <c r="AA179" s="42"/>
      <c r="AF179" s="44"/>
      <c r="AG179" s="47"/>
      <c r="AJ179" s="1"/>
    </row>
    <row r="180" ht="15.75" customHeight="1">
      <c r="C180" s="52"/>
      <c r="H180" s="42"/>
      <c r="K180" s="44"/>
      <c r="T180" s="46"/>
      <c r="AA180" s="42"/>
      <c r="AF180" s="44"/>
      <c r="AG180" s="47"/>
      <c r="AJ180" s="1"/>
    </row>
    <row r="181" ht="15.75" customHeight="1">
      <c r="C181" s="52"/>
      <c r="H181" s="42"/>
      <c r="K181" s="44"/>
      <c r="T181" s="46"/>
      <c r="AA181" s="42"/>
      <c r="AF181" s="44"/>
      <c r="AG181" s="47"/>
      <c r="AJ181" s="1"/>
    </row>
    <row r="182" ht="15.75" customHeight="1">
      <c r="C182" s="52"/>
      <c r="H182" s="42"/>
      <c r="K182" s="44"/>
      <c r="T182" s="46"/>
      <c r="AA182" s="42"/>
      <c r="AF182" s="44"/>
      <c r="AG182" s="47"/>
      <c r="AJ182" s="1"/>
    </row>
    <row r="183" ht="15.75" customHeight="1">
      <c r="C183" s="52"/>
      <c r="H183" s="42"/>
      <c r="K183" s="44"/>
      <c r="T183" s="46"/>
      <c r="AA183" s="42"/>
      <c r="AF183" s="44"/>
      <c r="AG183" s="47"/>
      <c r="AJ183" s="1"/>
    </row>
    <row r="184" ht="15.75" customHeight="1">
      <c r="C184" s="52"/>
      <c r="H184" s="42"/>
      <c r="K184" s="44"/>
      <c r="T184" s="46"/>
      <c r="AA184" s="42"/>
      <c r="AF184" s="44"/>
      <c r="AG184" s="47"/>
      <c r="AJ184" s="1"/>
    </row>
    <row r="185" ht="15.75" customHeight="1">
      <c r="C185" s="52"/>
      <c r="H185" s="42"/>
      <c r="K185" s="44"/>
      <c r="T185" s="46"/>
      <c r="AA185" s="42"/>
      <c r="AF185" s="44"/>
      <c r="AG185" s="47"/>
      <c r="AJ185" s="1"/>
    </row>
    <row r="186" ht="15.75" customHeight="1">
      <c r="C186" s="52"/>
      <c r="H186" s="42"/>
      <c r="K186" s="44"/>
      <c r="T186" s="46"/>
      <c r="AA186" s="42"/>
      <c r="AF186" s="44"/>
      <c r="AG186" s="47"/>
      <c r="AJ186" s="1"/>
    </row>
    <row r="187" ht="15.75" customHeight="1">
      <c r="C187" s="52"/>
      <c r="H187" s="42"/>
      <c r="K187" s="44"/>
      <c r="T187" s="46"/>
      <c r="AA187" s="42"/>
      <c r="AF187" s="44"/>
      <c r="AG187" s="47"/>
      <c r="AJ187" s="1"/>
    </row>
    <row r="188" ht="15.75" customHeight="1">
      <c r="C188" s="52"/>
      <c r="H188" s="42"/>
      <c r="K188" s="44"/>
      <c r="T188" s="46"/>
      <c r="AA188" s="42"/>
      <c r="AF188" s="44"/>
      <c r="AG188" s="47"/>
      <c r="AJ188" s="1"/>
    </row>
    <row r="189" ht="15.75" customHeight="1">
      <c r="C189" s="52"/>
      <c r="H189" s="42"/>
      <c r="K189" s="44"/>
      <c r="T189" s="46"/>
      <c r="AA189" s="42"/>
      <c r="AF189" s="44"/>
      <c r="AG189" s="47"/>
      <c r="AJ189" s="1"/>
    </row>
    <row r="190" ht="15.75" customHeight="1">
      <c r="C190" s="52"/>
      <c r="H190" s="42"/>
      <c r="K190" s="44"/>
      <c r="T190" s="46"/>
      <c r="AA190" s="42"/>
      <c r="AF190" s="44"/>
      <c r="AG190" s="47"/>
      <c r="AJ190" s="1"/>
    </row>
    <row r="191" ht="15.75" customHeight="1">
      <c r="C191" s="52"/>
      <c r="H191" s="42"/>
      <c r="K191" s="44"/>
      <c r="T191" s="46"/>
      <c r="AA191" s="42"/>
      <c r="AF191" s="44"/>
      <c r="AG191" s="47"/>
      <c r="AJ191" s="1"/>
    </row>
    <row r="192" ht="15.75" customHeight="1">
      <c r="C192" s="52"/>
      <c r="H192" s="42"/>
      <c r="K192" s="44"/>
      <c r="T192" s="46"/>
      <c r="AA192" s="42"/>
      <c r="AF192" s="44"/>
      <c r="AG192" s="47"/>
      <c r="AJ192" s="1"/>
    </row>
    <row r="193" ht="15.75" customHeight="1">
      <c r="C193" s="52"/>
      <c r="H193" s="42"/>
      <c r="K193" s="44"/>
      <c r="T193" s="46"/>
      <c r="AA193" s="42"/>
      <c r="AF193" s="44"/>
      <c r="AG193" s="47"/>
      <c r="AJ193" s="1"/>
    </row>
    <row r="194" ht="15.75" customHeight="1">
      <c r="C194" s="52"/>
      <c r="H194" s="42"/>
      <c r="K194" s="44"/>
      <c r="T194" s="46"/>
      <c r="AA194" s="42"/>
      <c r="AF194" s="44"/>
      <c r="AG194" s="47"/>
      <c r="AJ194" s="1"/>
    </row>
    <row r="195" ht="15.75" customHeight="1">
      <c r="C195" s="52"/>
      <c r="H195" s="42"/>
      <c r="K195" s="44"/>
      <c r="T195" s="46"/>
      <c r="AA195" s="42"/>
      <c r="AF195" s="44"/>
      <c r="AG195" s="47"/>
      <c r="AJ195" s="1"/>
    </row>
    <row r="196" ht="15.75" customHeight="1">
      <c r="C196" s="52"/>
      <c r="H196" s="42"/>
      <c r="K196" s="44"/>
      <c r="T196" s="46"/>
      <c r="AA196" s="42"/>
      <c r="AF196" s="44"/>
      <c r="AG196" s="47"/>
      <c r="AJ196" s="1"/>
    </row>
    <row r="197" ht="15.75" customHeight="1">
      <c r="C197" s="52"/>
      <c r="H197" s="42"/>
      <c r="K197" s="44"/>
      <c r="T197" s="46"/>
      <c r="AA197" s="42"/>
      <c r="AF197" s="44"/>
      <c r="AG197" s="47"/>
      <c r="AJ197" s="1"/>
    </row>
    <row r="198" ht="15.75" customHeight="1">
      <c r="C198" s="52"/>
      <c r="H198" s="42"/>
      <c r="K198" s="44"/>
      <c r="T198" s="46"/>
      <c r="AA198" s="42"/>
      <c r="AF198" s="44"/>
      <c r="AG198" s="47"/>
      <c r="AJ198" s="1"/>
    </row>
    <row r="199" ht="15.75" customHeight="1">
      <c r="C199" s="52"/>
      <c r="H199" s="42"/>
      <c r="K199" s="44"/>
      <c r="T199" s="46"/>
      <c r="AA199" s="42"/>
      <c r="AF199" s="44"/>
      <c r="AG199" s="47"/>
      <c r="AJ199" s="1"/>
    </row>
    <row r="200" ht="15.75" customHeight="1">
      <c r="C200" s="52"/>
      <c r="H200" s="42"/>
      <c r="K200" s="44"/>
      <c r="T200" s="46"/>
      <c r="AA200" s="42"/>
      <c r="AF200" s="44"/>
      <c r="AG200" s="47"/>
      <c r="AJ200" s="1"/>
    </row>
    <row r="201" ht="15.75" customHeight="1">
      <c r="C201" s="52"/>
      <c r="H201" s="42"/>
      <c r="K201" s="44"/>
      <c r="T201" s="46"/>
      <c r="AA201" s="42"/>
      <c r="AF201" s="44"/>
      <c r="AG201" s="47"/>
      <c r="AJ201" s="1"/>
    </row>
    <row r="202" ht="15.75" customHeight="1">
      <c r="C202" s="52"/>
      <c r="H202" s="42"/>
      <c r="K202" s="44"/>
      <c r="T202" s="46"/>
      <c r="AA202" s="42"/>
      <c r="AF202" s="44"/>
      <c r="AG202" s="47"/>
      <c r="AJ202" s="1"/>
    </row>
    <row r="203" ht="15.75" customHeight="1">
      <c r="C203" s="52"/>
      <c r="H203" s="42"/>
      <c r="K203" s="44"/>
      <c r="T203" s="46"/>
      <c r="AA203" s="42"/>
      <c r="AF203" s="44"/>
      <c r="AG203" s="47"/>
      <c r="AJ203" s="1"/>
    </row>
    <row r="204" ht="15.75" customHeight="1">
      <c r="C204" s="52"/>
      <c r="H204" s="42"/>
      <c r="K204" s="44"/>
      <c r="T204" s="46"/>
      <c r="AA204" s="42"/>
      <c r="AF204" s="44"/>
      <c r="AG204" s="47"/>
      <c r="AJ204" s="1"/>
    </row>
    <row r="205" ht="15.75" customHeight="1">
      <c r="C205" s="52"/>
      <c r="H205" s="42"/>
      <c r="K205" s="44"/>
      <c r="T205" s="46"/>
      <c r="AA205" s="42"/>
      <c r="AF205" s="44"/>
      <c r="AG205" s="47"/>
      <c r="AJ205" s="1"/>
    </row>
    <row r="206" ht="15.75" customHeight="1">
      <c r="C206" s="52"/>
      <c r="H206" s="42"/>
      <c r="K206" s="44"/>
      <c r="T206" s="46"/>
      <c r="AA206" s="42"/>
      <c r="AF206" s="44"/>
      <c r="AG206" s="47"/>
      <c r="AJ206" s="1"/>
    </row>
    <row r="207" ht="15.75" customHeight="1">
      <c r="C207" s="52"/>
      <c r="H207" s="42"/>
      <c r="K207" s="44"/>
      <c r="T207" s="46"/>
      <c r="AA207" s="42"/>
      <c r="AF207" s="44"/>
      <c r="AG207" s="47"/>
      <c r="AJ207" s="1"/>
    </row>
    <row r="208" ht="15.75" customHeight="1">
      <c r="C208" s="52"/>
      <c r="H208" s="42"/>
      <c r="K208" s="44"/>
      <c r="T208" s="46"/>
      <c r="AA208" s="42"/>
      <c r="AF208" s="44"/>
      <c r="AG208" s="47"/>
      <c r="AJ208" s="1"/>
    </row>
    <row r="209" ht="15.75" customHeight="1">
      <c r="C209" s="52"/>
      <c r="H209" s="42"/>
      <c r="K209" s="44"/>
      <c r="T209" s="46"/>
      <c r="AA209" s="42"/>
      <c r="AF209" s="44"/>
      <c r="AG209" s="47"/>
      <c r="AJ209" s="1"/>
    </row>
    <row r="210" ht="15.75" customHeight="1">
      <c r="C210" s="52"/>
      <c r="H210" s="42"/>
      <c r="K210" s="44"/>
      <c r="T210" s="46"/>
      <c r="AA210" s="42"/>
      <c r="AF210" s="44"/>
      <c r="AG210" s="47"/>
      <c r="AJ210" s="1"/>
    </row>
    <row r="211" ht="15.75" customHeight="1">
      <c r="C211" s="52"/>
      <c r="H211" s="42"/>
      <c r="K211" s="44"/>
      <c r="T211" s="46"/>
      <c r="AA211" s="42"/>
      <c r="AF211" s="44"/>
      <c r="AG211" s="47"/>
      <c r="AJ211" s="1"/>
    </row>
    <row r="212" ht="15.75" customHeight="1">
      <c r="C212" s="52"/>
      <c r="H212" s="42"/>
      <c r="K212" s="44"/>
      <c r="T212" s="46"/>
      <c r="AA212" s="42"/>
      <c r="AF212" s="44"/>
      <c r="AG212" s="47"/>
      <c r="AJ212" s="1"/>
    </row>
    <row r="213" ht="15.75" customHeight="1">
      <c r="C213" s="52"/>
      <c r="H213" s="42"/>
      <c r="K213" s="44"/>
      <c r="T213" s="46"/>
      <c r="AA213" s="42"/>
      <c r="AF213" s="44"/>
      <c r="AG213" s="47"/>
      <c r="AJ213" s="1"/>
    </row>
    <row r="214" ht="15.75" customHeight="1">
      <c r="C214" s="52"/>
      <c r="H214" s="42"/>
      <c r="K214" s="44"/>
      <c r="T214" s="46"/>
      <c r="AA214" s="42"/>
      <c r="AF214" s="44"/>
      <c r="AG214" s="47"/>
      <c r="AJ214" s="1"/>
    </row>
    <row r="215" ht="15.75" customHeight="1">
      <c r="C215" s="52"/>
      <c r="H215" s="42"/>
      <c r="K215" s="44"/>
      <c r="T215" s="46"/>
      <c r="AA215" s="42"/>
      <c r="AF215" s="44"/>
      <c r="AG215" s="47"/>
      <c r="AJ215" s="1"/>
    </row>
    <row r="216" ht="15.75" customHeight="1">
      <c r="C216" s="52"/>
      <c r="H216" s="42"/>
      <c r="K216" s="44"/>
      <c r="T216" s="46"/>
      <c r="AA216" s="42"/>
      <c r="AF216" s="44"/>
      <c r="AG216" s="47"/>
      <c r="AJ216" s="1"/>
    </row>
    <row r="217" ht="15.75" customHeight="1">
      <c r="C217" s="52"/>
      <c r="H217" s="42"/>
      <c r="K217" s="44"/>
      <c r="T217" s="46"/>
      <c r="AA217" s="42"/>
      <c r="AF217" s="44"/>
      <c r="AG217" s="47"/>
      <c r="AJ217" s="1"/>
    </row>
    <row r="218" ht="15.75" customHeight="1">
      <c r="C218" s="52"/>
      <c r="H218" s="42"/>
      <c r="K218" s="44"/>
      <c r="T218" s="46"/>
      <c r="AA218" s="42"/>
      <c r="AF218" s="44"/>
      <c r="AG218" s="47"/>
      <c r="AJ218" s="1"/>
    </row>
    <row r="219" ht="15.75" customHeight="1">
      <c r="C219" s="52"/>
      <c r="H219" s="42"/>
      <c r="K219" s="44"/>
      <c r="T219" s="46"/>
      <c r="AA219" s="42"/>
      <c r="AF219" s="44"/>
      <c r="AG219" s="47"/>
      <c r="AJ219" s="1"/>
    </row>
    <row r="220" ht="15.75" customHeight="1">
      <c r="C220" s="52"/>
      <c r="H220" s="42"/>
      <c r="K220" s="44"/>
      <c r="T220" s="46"/>
      <c r="AA220" s="42"/>
      <c r="AF220" s="44"/>
      <c r="AG220" s="47"/>
      <c r="AJ220" s="1"/>
    </row>
    <row r="221" ht="15.75" customHeight="1">
      <c r="C221" s="52"/>
      <c r="H221" s="42"/>
      <c r="K221" s="44"/>
      <c r="T221" s="46"/>
      <c r="AA221" s="42"/>
      <c r="AF221" s="44"/>
      <c r="AG221" s="47"/>
      <c r="AJ221" s="1"/>
    </row>
    <row r="222" ht="15.75" customHeight="1">
      <c r="C222" s="52"/>
      <c r="H222" s="42"/>
      <c r="K222" s="44"/>
      <c r="T222" s="46"/>
      <c r="AA222" s="42"/>
      <c r="AF222" s="44"/>
      <c r="AG222" s="47"/>
      <c r="AJ222" s="1"/>
    </row>
    <row r="223" ht="15.75" customHeight="1">
      <c r="C223" s="52"/>
      <c r="H223" s="42"/>
      <c r="K223" s="44"/>
      <c r="T223" s="46"/>
      <c r="AA223" s="42"/>
      <c r="AF223" s="44"/>
      <c r="AG223" s="47"/>
      <c r="AJ223" s="1"/>
    </row>
    <row r="224" ht="15.75" customHeight="1">
      <c r="C224" s="52"/>
      <c r="H224" s="42"/>
      <c r="K224" s="44"/>
      <c r="T224" s="46"/>
      <c r="AA224" s="42"/>
      <c r="AF224" s="44"/>
      <c r="AG224" s="47"/>
      <c r="AJ224" s="1"/>
    </row>
    <row r="225" ht="15.75" customHeight="1">
      <c r="C225" s="52"/>
      <c r="H225" s="42"/>
      <c r="K225" s="44"/>
      <c r="T225" s="46"/>
      <c r="AA225" s="42"/>
      <c r="AF225" s="44"/>
      <c r="AG225" s="47"/>
      <c r="AJ225" s="1"/>
    </row>
    <row r="226" ht="15.75" customHeight="1">
      <c r="C226" s="52"/>
      <c r="H226" s="42"/>
      <c r="K226" s="44"/>
      <c r="T226" s="46"/>
      <c r="AA226" s="42"/>
      <c r="AF226" s="44"/>
      <c r="AG226" s="47"/>
      <c r="AJ226" s="1"/>
    </row>
    <row r="227" ht="15.75" customHeight="1">
      <c r="C227" s="52"/>
      <c r="H227" s="42"/>
      <c r="K227" s="44"/>
      <c r="T227" s="46"/>
      <c r="AA227" s="42"/>
      <c r="AF227" s="44"/>
      <c r="AG227" s="47"/>
      <c r="AJ227" s="1"/>
    </row>
    <row r="228" ht="15.75" customHeight="1">
      <c r="C228" s="52"/>
      <c r="H228" s="42"/>
      <c r="K228" s="44"/>
      <c r="T228" s="46"/>
      <c r="AA228" s="42"/>
      <c r="AF228" s="44"/>
      <c r="AG228" s="47"/>
      <c r="AJ228" s="1"/>
    </row>
    <row r="229" ht="15.75" customHeight="1">
      <c r="C229" s="52"/>
      <c r="H229" s="42"/>
      <c r="K229" s="44"/>
      <c r="T229" s="46"/>
      <c r="AA229" s="42"/>
      <c r="AF229" s="44"/>
      <c r="AG229" s="47"/>
      <c r="AJ229" s="1"/>
    </row>
    <row r="230" ht="15.75" customHeight="1">
      <c r="C230" s="52"/>
      <c r="H230" s="42"/>
      <c r="K230" s="44"/>
      <c r="T230" s="46"/>
      <c r="AA230" s="42"/>
      <c r="AF230" s="44"/>
      <c r="AG230" s="47"/>
      <c r="AJ230" s="1"/>
    </row>
    <row r="231" ht="15.75" customHeight="1">
      <c r="C231" s="52"/>
      <c r="H231" s="42"/>
      <c r="K231" s="44"/>
      <c r="T231" s="46"/>
      <c r="AA231" s="42"/>
      <c r="AF231" s="44"/>
      <c r="AG231" s="47"/>
      <c r="AJ231" s="1"/>
    </row>
    <row r="232" ht="15.75" customHeight="1">
      <c r="C232" s="52"/>
      <c r="H232" s="42"/>
      <c r="K232" s="44"/>
      <c r="T232" s="46"/>
      <c r="AA232" s="42"/>
      <c r="AF232" s="44"/>
      <c r="AG232" s="47"/>
      <c r="AJ232" s="1"/>
    </row>
    <row r="233" ht="15.75" customHeight="1">
      <c r="C233" s="52"/>
      <c r="H233" s="42"/>
      <c r="K233" s="44"/>
      <c r="T233" s="46"/>
      <c r="AA233" s="42"/>
      <c r="AF233" s="44"/>
      <c r="AG233" s="47"/>
      <c r="AJ233" s="1"/>
    </row>
    <row r="234" ht="15.75" customHeight="1">
      <c r="C234" s="52"/>
      <c r="H234" s="42"/>
      <c r="K234" s="44"/>
      <c r="T234" s="46"/>
      <c r="AA234" s="42"/>
      <c r="AF234" s="44"/>
      <c r="AG234" s="47"/>
      <c r="AJ234" s="1"/>
    </row>
    <row r="235" ht="15.75" customHeight="1">
      <c r="C235" s="52"/>
      <c r="H235" s="42"/>
      <c r="K235" s="44"/>
      <c r="T235" s="46"/>
      <c r="AA235" s="42"/>
      <c r="AF235" s="44"/>
      <c r="AG235" s="47"/>
      <c r="AJ235" s="1"/>
    </row>
    <row r="236" ht="15.75" customHeight="1">
      <c r="C236" s="52"/>
      <c r="H236" s="42"/>
      <c r="K236" s="44"/>
      <c r="T236" s="46"/>
      <c r="AA236" s="42"/>
      <c r="AF236" s="44"/>
      <c r="AG236" s="47"/>
      <c r="AJ236" s="1"/>
    </row>
    <row r="237" ht="15.75" customHeight="1">
      <c r="C237" s="52"/>
      <c r="H237" s="42"/>
      <c r="K237" s="44"/>
      <c r="T237" s="46"/>
      <c r="AA237" s="42"/>
      <c r="AF237" s="44"/>
      <c r="AG237" s="47"/>
      <c r="AJ237" s="1"/>
    </row>
    <row r="238" ht="15.75" customHeight="1">
      <c r="C238" s="52"/>
      <c r="H238" s="42"/>
      <c r="K238" s="44"/>
      <c r="T238" s="46"/>
      <c r="AA238" s="42"/>
      <c r="AF238" s="44"/>
      <c r="AG238" s="47"/>
      <c r="AJ238" s="1"/>
    </row>
    <row r="239" ht="15.75" customHeight="1">
      <c r="C239" s="52"/>
      <c r="H239" s="42"/>
      <c r="K239" s="44"/>
      <c r="T239" s="46"/>
      <c r="AA239" s="42"/>
      <c r="AF239" s="44"/>
      <c r="AG239" s="47"/>
      <c r="AJ239" s="1"/>
    </row>
    <row r="240" ht="15.75" customHeight="1">
      <c r="C240" s="52"/>
      <c r="H240" s="42"/>
      <c r="K240" s="44"/>
      <c r="T240" s="46"/>
      <c r="AA240" s="42"/>
      <c r="AF240" s="44"/>
      <c r="AG240" s="47"/>
      <c r="AJ240" s="1"/>
    </row>
    <row r="241" ht="15.75" customHeight="1">
      <c r="C241" s="52"/>
      <c r="H241" s="42"/>
      <c r="K241" s="44"/>
      <c r="T241" s="46"/>
      <c r="AA241" s="42"/>
      <c r="AF241" s="44"/>
      <c r="AG241" s="47"/>
      <c r="AJ241" s="1"/>
    </row>
    <row r="242" ht="15.75" customHeight="1">
      <c r="C242" s="52"/>
      <c r="H242" s="42"/>
      <c r="K242" s="44"/>
      <c r="T242" s="46"/>
      <c r="AA242" s="42"/>
      <c r="AF242" s="44"/>
      <c r="AG242" s="47"/>
      <c r="AJ242" s="1"/>
    </row>
    <row r="243" ht="15.75" customHeight="1">
      <c r="C243" s="52"/>
      <c r="H243" s="42"/>
      <c r="K243" s="44"/>
      <c r="T243" s="46"/>
      <c r="AA243" s="42"/>
      <c r="AF243" s="44"/>
      <c r="AG243" s="47"/>
      <c r="AJ243" s="1"/>
    </row>
    <row r="244" ht="15.75" customHeight="1">
      <c r="C244" s="52"/>
      <c r="H244" s="42"/>
      <c r="K244" s="44"/>
      <c r="T244" s="46"/>
      <c r="AA244" s="42"/>
      <c r="AF244" s="44"/>
      <c r="AG244" s="47"/>
      <c r="AJ244" s="1"/>
    </row>
    <row r="245" ht="15.75" customHeight="1">
      <c r="C245" s="52"/>
      <c r="H245" s="42"/>
      <c r="K245" s="44"/>
      <c r="T245" s="46"/>
      <c r="AA245" s="42"/>
      <c r="AF245" s="44"/>
      <c r="AG245" s="47"/>
      <c r="AJ245" s="1"/>
    </row>
    <row r="246" ht="15.75" customHeight="1">
      <c r="C246" s="52"/>
      <c r="H246" s="42"/>
      <c r="K246" s="44"/>
      <c r="T246" s="46"/>
      <c r="AA246" s="42"/>
      <c r="AF246" s="44"/>
      <c r="AG246" s="47"/>
      <c r="AJ246" s="1"/>
    </row>
    <row r="247" ht="15.75" customHeight="1">
      <c r="C247" s="52"/>
      <c r="H247" s="42"/>
      <c r="K247" s="44"/>
      <c r="T247" s="46"/>
      <c r="AA247" s="42"/>
      <c r="AF247" s="44"/>
      <c r="AG247" s="47"/>
      <c r="AJ247" s="1"/>
    </row>
    <row r="248" ht="15.75" customHeight="1">
      <c r="C248" s="52"/>
      <c r="H248" s="42"/>
      <c r="K248" s="44"/>
      <c r="T248" s="46"/>
      <c r="AA248" s="42"/>
      <c r="AF248" s="44"/>
      <c r="AG248" s="47"/>
      <c r="AJ248" s="1"/>
    </row>
    <row r="249" ht="15.75" customHeight="1">
      <c r="C249" s="52"/>
      <c r="H249" s="42"/>
      <c r="K249" s="44"/>
      <c r="T249" s="46"/>
      <c r="AA249" s="42"/>
      <c r="AF249" s="44"/>
      <c r="AG249" s="47"/>
      <c r="AJ249" s="1"/>
    </row>
    <row r="250" ht="15.75" customHeight="1">
      <c r="C250" s="52"/>
      <c r="H250" s="42"/>
      <c r="K250" s="44"/>
      <c r="T250" s="46"/>
      <c r="AA250" s="42"/>
      <c r="AF250" s="44"/>
      <c r="AG250" s="47"/>
      <c r="AJ250" s="1"/>
    </row>
    <row r="251" ht="15.75" customHeight="1">
      <c r="C251" s="52"/>
      <c r="H251" s="42"/>
      <c r="K251" s="44"/>
      <c r="T251" s="46"/>
      <c r="AA251" s="42"/>
      <c r="AF251" s="44"/>
      <c r="AG251" s="47"/>
      <c r="AJ251" s="1"/>
    </row>
    <row r="252" ht="15.75" customHeight="1">
      <c r="C252" s="52"/>
      <c r="H252" s="42"/>
      <c r="K252" s="44"/>
      <c r="T252" s="46"/>
      <c r="AA252" s="42"/>
      <c r="AF252" s="44"/>
      <c r="AG252" s="47"/>
      <c r="AJ252" s="1"/>
    </row>
    <row r="253" ht="15.75" customHeight="1">
      <c r="C253" s="52"/>
      <c r="H253" s="42"/>
      <c r="K253" s="44"/>
      <c r="T253" s="46"/>
      <c r="AA253" s="42"/>
      <c r="AF253" s="44"/>
      <c r="AG253" s="47"/>
      <c r="AJ253" s="1"/>
    </row>
    <row r="254" ht="15.75" customHeight="1">
      <c r="C254" s="52"/>
      <c r="H254" s="42"/>
      <c r="K254" s="44"/>
      <c r="T254" s="46"/>
      <c r="AA254" s="42"/>
      <c r="AF254" s="44"/>
      <c r="AG254" s="47"/>
      <c r="AJ254" s="1"/>
    </row>
    <row r="255" ht="15.75" customHeight="1">
      <c r="C255" s="52"/>
      <c r="H255" s="42"/>
      <c r="K255" s="44"/>
      <c r="T255" s="46"/>
      <c r="AA255" s="42"/>
      <c r="AF255" s="44"/>
      <c r="AG255" s="47"/>
      <c r="AJ255" s="1"/>
    </row>
    <row r="256" ht="15.75" customHeight="1">
      <c r="C256" s="52"/>
      <c r="H256" s="42"/>
      <c r="K256" s="44"/>
      <c r="T256" s="46"/>
      <c r="AA256" s="42"/>
      <c r="AF256" s="44"/>
      <c r="AG256" s="47"/>
      <c r="AJ256" s="1"/>
    </row>
    <row r="257" ht="15.75" customHeight="1">
      <c r="C257" s="52"/>
      <c r="H257" s="42"/>
      <c r="K257" s="44"/>
      <c r="T257" s="46"/>
      <c r="AA257" s="42"/>
      <c r="AF257" s="44"/>
      <c r="AG257" s="47"/>
      <c r="AJ257" s="1"/>
    </row>
    <row r="258" ht="15.75" customHeight="1">
      <c r="C258" s="52"/>
      <c r="H258" s="42"/>
      <c r="K258" s="44"/>
      <c r="T258" s="46"/>
      <c r="AA258" s="42"/>
      <c r="AF258" s="44"/>
      <c r="AG258" s="47"/>
      <c r="AJ258" s="1"/>
    </row>
    <row r="259" ht="15.75" customHeight="1">
      <c r="C259" s="52"/>
      <c r="H259" s="42"/>
      <c r="K259" s="44"/>
      <c r="T259" s="46"/>
      <c r="AA259" s="42"/>
      <c r="AF259" s="44"/>
      <c r="AG259" s="47"/>
      <c r="AJ259" s="1"/>
    </row>
    <row r="260" ht="15.75" customHeight="1">
      <c r="C260" s="52"/>
      <c r="H260" s="42"/>
      <c r="K260" s="44"/>
      <c r="T260" s="46"/>
      <c r="AA260" s="42"/>
      <c r="AF260" s="44"/>
      <c r="AG260" s="47"/>
      <c r="AJ260" s="1"/>
    </row>
    <row r="261" ht="15.75" customHeight="1">
      <c r="C261" s="52"/>
      <c r="H261" s="42"/>
      <c r="K261" s="44"/>
      <c r="T261" s="46"/>
      <c r="AA261" s="42"/>
      <c r="AF261" s="44"/>
      <c r="AG261" s="47"/>
      <c r="AJ261" s="1"/>
    </row>
    <row r="262" ht="15.75" customHeight="1">
      <c r="C262" s="52"/>
      <c r="H262" s="42"/>
      <c r="K262" s="44"/>
      <c r="T262" s="46"/>
      <c r="AA262" s="42"/>
      <c r="AF262" s="44"/>
      <c r="AG262" s="47"/>
      <c r="AJ262" s="1"/>
    </row>
    <row r="263" ht="15.75" customHeight="1">
      <c r="C263" s="52"/>
      <c r="H263" s="42"/>
      <c r="K263" s="44"/>
      <c r="T263" s="46"/>
      <c r="AA263" s="42"/>
      <c r="AF263" s="44"/>
      <c r="AG263" s="47"/>
      <c r="AJ263" s="1"/>
    </row>
    <row r="264" ht="15.75" customHeight="1">
      <c r="C264" s="52"/>
      <c r="H264" s="42"/>
      <c r="K264" s="44"/>
      <c r="T264" s="46"/>
      <c r="AA264" s="42"/>
      <c r="AF264" s="44"/>
      <c r="AG264" s="47"/>
      <c r="AJ264" s="1"/>
    </row>
    <row r="265" ht="15.75" customHeight="1">
      <c r="C265" s="52"/>
      <c r="H265" s="42"/>
      <c r="K265" s="44"/>
      <c r="T265" s="46"/>
      <c r="AA265" s="42"/>
      <c r="AF265" s="44"/>
      <c r="AG265" s="47"/>
      <c r="AJ265" s="1"/>
    </row>
    <row r="266" ht="15.75" customHeight="1">
      <c r="C266" s="52"/>
      <c r="H266" s="42"/>
      <c r="K266" s="44"/>
      <c r="T266" s="46"/>
      <c r="AA266" s="42"/>
      <c r="AF266" s="44"/>
      <c r="AG266" s="47"/>
      <c r="AJ266" s="1"/>
    </row>
    <row r="267" ht="15.75" customHeight="1">
      <c r="C267" s="52"/>
      <c r="H267" s="42"/>
      <c r="K267" s="44"/>
      <c r="T267" s="46"/>
      <c r="AA267" s="42"/>
      <c r="AF267" s="44"/>
      <c r="AG267" s="47"/>
      <c r="AJ267" s="1"/>
    </row>
    <row r="268" ht="15.75" customHeight="1">
      <c r="C268" s="52"/>
      <c r="H268" s="42"/>
      <c r="K268" s="44"/>
      <c r="T268" s="46"/>
      <c r="AA268" s="42"/>
      <c r="AF268" s="44"/>
      <c r="AG268" s="47"/>
      <c r="AJ268" s="1"/>
    </row>
    <row r="269" ht="15.75" customHeight="1">
      <c r="C269" s="52"/>
      <c r="H269" s="42"/>
      <c r="K269" s="44"/>
      <c r="T269" s="46"/>
      <c r="AA269" s="42"/>
      <c r="AF269" s="44"/>
      <c r="AG269" s="47"/>
      <c r="AJ269" s="1"/>
    </row>
    <row r="270" ht="15.75" customHeight="1">
      <c r="C270" s="52"/>
      <c r="H270" s="42"/>
      <c r="K270" s="44"/>
      <c r="T270" s="46"/>
      <c r="AA270" s="42"/>
      <c r="AF270" s="44"/>
      <c r="AG270" s="47"/>
      <c r="AJ270" s="1"/>
    </row>
    <row r="271" ht="15.75" customHeight="1">
      <c r="C271" s="52"/>
      <c r="H271" s="42"/>
      <c r="K271" s="44"/>
      <c r="T271" s="46"/>
      <c r="AA271" s="42"/>
      <c r="AF271" s="44"/>
      <c r="AG271" s="47"/>
      <c r="AJ271" s="1"/>
    </row>
    <row r="272" ht="15.75" customHeight="1">
      <c r="C272" s="52"/>
      <c r="H272" s="42"/>
      <c r="K272" s="44"/>
      <c r="T272" s="46"/>
      <c r="AA272" s="42"/>
      <c r="AF272" s="44"/>
      <c r="AG272" s="47"/>
      <c r="AJ272" s="1"/>
    </row>
    <row r="273" ht="15.75" customHeight="1">
      <c r="C273" s="52"/>
      <c r="H273" s="42"/>
      <c r="K273" s="44"/>
      <c r="T273" s="46"/>
      <c r="AA273" s="42"/>
      <c r="AF273" s="44"/>
      <c r="AG273" s="47"/>
      <c r="AJ273" s="1"/>
    </row>
    <row r="274" ht="15.75" customHeight="1">
      <c r="C274" s="52"/>
      <c r="H274" s="42"/>
      <c r="K274" s="44"/>
      <c r="T274" s="46"/>
      <c r="AA274" s="42"/>
      <c r="AF274" s="44"/>
      <c r="AG274" s="47"/>
      <c r="AJ274" s="1"/>
    </row>
    <row r="275" ht="15.75" customHeight="1">
      <c r="C275" s="52"/>
      <c r="H275" s="42"/>
      <c r="K275" s="44"/>
      <c r="T275" s="46"/>
      <c r="AA275" s="42"/>
      <c r="AF275" s="44"/>
      <c r="AG275" s="47"/>
      <c r="AJ275" s="1"/>
    </row>
    <row r="276" ht="15.75" customHeight="1">
      <c r="C276" s="52"/>
      <c r="H276" s="42"/>
      <c r="K276" s="44"/>
      <c r="T276" s="46"/>
      <c r="AA276" s="42"/>
      <c r="AF276" s="44"/>
      <c r="AG276" s="47"/>
      <c r="AJ276" s="1"/>
    </row>
    <row r="277" ht="15.75" customHeight="1">
      <c r="C277" s="52"/>
      <c r="H277" s="42"/>
      <c r="K277" s="44"/>
      <c r="T277" s="46"/>
      <c r="AA277" s="42"/>
      <c r="AF277" s="44"/>
      <c r="AG277" s="47"/>
      <c r="AJ277" s="1"/>
    </row>
    <row r="278" ht="15.75" customHeight="1">
      <c r="C278" s="52"/>
      <c r="H278" s="42"/>
      <c r="K278" s="44"/>
      <c r="T278" s="46"/>
      <c r="AA278" s="42"/>
      <c r="AF278" s="44"/>
      <c r="AG278" s="47"/>
      <c r="AJ278" s="1"/>
    </row>
    <row r="279" ht="15.75" customHeight="1">
      <c r="C279" s="52"/>
      <c r="H279" s="42"/>
      <c r="K279" s="44"/>
      <c r="T279" s="46"/>
      <c r="AA279" s="42"/>
      <c r="AF279" s="44"/>
      <c r="AG279" s="47"/>
      <c r="AJ279" s="1"/>
    </row>
    <row r="280" ht="15.75" customHeight="1">
      <c r="C280" s="52"/>
      <c r="H280" s="42"/>
      <c r="K280" s="44"/>
      <c r="T280" s="46"/>
      <c r="AA280" s="42"/>
      <c r="AF280" s="44"/>
      <c r="AG280" s="47"/>
      <c r="AJ280" s="1"/>
    </row>
    <row r="281" ht="15.75" customHeight="1">
      <c r="C281" s="52"/>
      <c r="H281" s="42"/>
      <c r="K281" s="44"/>
      <c r="T281" s="46"/>
      <c r="AA281" s="42"/>
      <c r="AF281" s="44"/>
      <c r="AG281" s="47"/>
      <c r="AJ281" s="1"/>
    </row>
    <row r="282" ht="15.75" customHeight="1">
      <c r="C282" s="52"/>
      <c r="H282" s="42"/>
      <c r="K282" s="44"/>
      <c r="T282" s="46"/>
      <c r="AA282" s="42"/>
      <c r="AF282" s="44"/>
      <c r="AG282" s="47"/>
      <c r="AJ282" s="1"/>
    </row>
    <row r="283" ht="15.75" customHeight="1">
      <c r="C283" s="52"/>
      <c r="H283" s="42"/>
      <c r="K283" s="44"/>
      <c r="T283" s="46"/>
      <c r="AA283" s="42"/>
      <c r="AF283" s="44"/>
      <c r="AG283" s="47"/>
      <c r="AJ283" s="1"/>
    </row>
    <row r="284" ht="15.75" customHeight="1">
      <c r="C284" s="52"/>
      <c r="H284" s="42"/>
      <c r="K284" s="44"/>
      <c r="T284" s="46"/>
      <c r="AA284" s="42"/>
      <c r="AF284" s="44"/>
      <c r="AG284" s="47"/>
      <c r="AJ284" s="1"/>
    </row>
    <row r="285" ht="15.75" customHeight="1">
      <c r="C285" s="52"/>
      <c r="H285" s="42"/>
      <c r="K285" s="44"/>
      <c r="T285" s="46"/>
      <c r="AA285" s="42"/>
      <c r="AF285" s="44"/>
      <c r="AG285" s="47"/>
      <c r="AJ285" s="1"/>
    </row>
    <row r="286" ht="15.75" customHeight="1">
      <c r="C286" s="52"/>
      <c r="H286" s="42"/>
      <c r="K286" s="44"/>
      <c r="T286" s="46"/>
      <c r="AA286" s="42"/>
      <c r="AF286" s="44"/>
      <c r="AG286" s="47"/>
      <c r="AJ286" s="1"/>
    </row>
    <row r="287" ht="15.75" customHeight="1">
      <c r="C287" s="52"/>
      <c r="H287" s="42"/>
      <c r="K287" s="44"/>
      <c r="T287" s="46"/>
      <c r="AA287" s="42"/>
      <c r="AF287" s="44"/>
      <c r="AG287" s="47"/>
      <c r="AJ287" s="1"/>
    </row>
    <row r="288" ht="15.75" customHeight="1">
      <c r="C288" s="52"/>
      <c r="H288" s="42"/>
      <c r="K288" s="44"/>
      <c r="T288" s="46"/>
      <c r="AA288" s="42"/>
      <c r="AF288" s="44"/>
      <c r="AG288" s="47"/>
      <c r="AJ288" s="1"/>
    </row>
    <row r="289" ht="15.75" customHeight="1">
      <c r="C289" s="52"/>
      <c r="H289" s="42"/>
      <c r="K289" s="44"/>
      <c r="T289" s="46"/>
      <c r="AA289" s="42"/>
      <c r="AF289" s="44"/>
      <c r="AG289" s="47"/>
      <c r="AJ289" s="1"/>
    </row>
    <row r="290" ht="15.75" customHeight="1">
      <c r="C290" s="52"/>
      <c r="H290" s="42"/>
      <c r="K290" s="44"/>
      <c r="T290" s="46"/>
      <c r="AA290" s="42"/>
      <c r="AF290" s="44"/>
      <c r="AG290" s="47"/>
      <c r="AJ290" s="1"/>
    </row>
    <row r="291" ht="15.75" customHeight="1">
      <c r="C291" s="52"/>
      <c r="H291" s="42"/>
      <c r="K291" s="44"/>
      <c r="T291" s="46"/>
      <c r="AA291" s="42"/>
      <c r="AF291" s="44"/>
      <c r="AG291" s="47"/>
      <c r="AJ291" s="1"/>
    </row>
    <row r="292" ht="15.75" customHeight="1">
      <c r="C292" s="52"/>
      <c r="H292" s="42"/>
      <c r="K292" s="44"/>
      <c r="T292" s="46"/>
      <c r="AA292" s="42"/>
      <c r="AF292" s="44"/>
      <c r="AG292" s="47"/>
      <c r="AJ292" s="1"/>
    </row>
    <row r="293" ht="15.75" customHeight="1">
      <c r="C293" s="52"/>
      <c r="H293" s="42"/>
      <c r="K293" s="44"/>
      <c r="T293" s="46"/>
      <c r="AA293" s="42"/>
      <c r="AF293" s="44"/>
      <c r="AG293" s="47"/>
      <c r="AJ293" s="1"/>
    </row>
    <row r="294" ht="15.75" customHeight="1">
      <c r="C294" s="52"/>
      <c r="H294" s="42"/>
      <c r="K294" s="44"/>
      <c r="T294" s="46"/>
      <c r="AA294" s="42"/>
      <c r="AF294" s="44"/>
      <c r="AG294" s="47"/>
      <c r="AJ294" s="1"/>
    </row>
    <row r="295" ht="15.75" customHeight="1">
      <c r="C295" s="52"/>
      <c r="H295" s="42"/>
      <c r="K295" s="44"/>
      <c r="T295" s="46"/>
      <c r="AA295" s="42"/>
      <c r="AF295" s="44"/>
      <c r="AG295" s="47"/>
      <c r="AJ295" s="1"/>
    </row>
    <row r="296" ht="15.75" customHeight="1">
      <c r="C296" s="52"/>
      <c r="H296" s="42"/>
      <c r="K296" s="44"/>
      <c r="T296" s="46"/>
      <c r="AA296" s="42"/>
      <c r="AF296" s="44"/>
      <c r="AG296" s="47"/>
      <c r="AJ296" s="1"/>
    </row>
    <row r="297" ht="15.75" customHeight="1">
      <c r="C297" s="52"/>
      <c r="H297" s="42"/>
      <c r="K297" s="44"/>
      <c r="T297" s="46"/>
      <c r="AA297" s="42"/>
      <c r="AF297" s="44"/>
      <c r="AG297" s="47"/>
      <c r="AJ297" s="1"/>
    </row>
    <row r="298" ht="15.75" customHeight="1">
      <c r="C298" s="52"/>
      <c r="H298" s="42"/>
      <c r="K298" s="44"/>
      <c r="T298" s="46"/>
      <c r="AA298" s="42"/>
      <c r="AF298" s="44"/>
      <c r="AG298" s="47"/>
      <c r="AJ298" s="1"/>
    </row>
    <row r="299" ht="15.75" customHeight="1">
      <c r="C299" s="52"/>
      <c r="H299" s="42"/>
      <c r="K299" s="44"/>
      <c r="T299" s="46"/>
      <c r="AA299" s="42"/>
      <c r="AF299" s="44"/>
      <c r="AG299" s="47"/>
      <c r="AJ299" s="1"/>
    </row>
    <row r="300" ht="15.75" customHeight="1">
      <c r="C300" s="52"/>
      <c r="H300" s="42"/>
      <c r="K300" s="44"/>
      <c r="T300" s="46"/>
      <c r="AA300" s="42"/>
      <c r="AF300" s="44"/>
      <c r="AG300" s="47"/>
      <c r="AJ300" s="1"/>
    </row>
    <row r="301" ht="15.75" customHeight="1">
      <c r="C301" s="52"/>
      <c r="H301" s="42"/>
      <c r="K301" s="44"/>
      <c r="T301" s="46"/>
      <c r="AA301" s="42"/>
      <c r="AF301" s="44"/>
      <c r="AG301" s="47"/>
      <c r="AJ301" s="1"/>
    </row>
    <row r="302" ht="15.75" customHeight="1">
      <c r="C302" s="52"/>
      <c r="H302" s="42"/>
      <c r="K302" s="44"/>
      <c r="T302" s="46"/>
      <c r="AA302" s="42"/>
      <c r="AF302" s="44"/>
      <c r="AG302" s="47"/>
      <c r="AJ302" s="1"/>
    </row>
    <row r="303" ht="15.75" customHeight="1">
      <c r="C303" s="52"/>
      <c r="H303" s="42"/>
      <c r="K303" s="44"/>
      <c r="T303" s="46"/>
      <c r="AA303" s="42"/>
      <c r="AF303" s="44"/>
      <c r="AG303" s="47"/>
      <c r="AJ303" s="1"/>
    </row>
    <row r="304" ht="15.75" customHeight="1">
      <c r="C304" s="52"/>
      <c r="H304" s="42"/>
      <c r="K304" s="44"/>
      <c r="T304" s="46"/>
      <c r="AA304" s="42"/>
      <c r="AF304" s="44"/>
      <c r="AG304" s="47"/>
      <c r="AJ304" s="1"/>
    </row>
    <row r="305" ht="15.75" customHeight="1">
      <c r="C305" s="52"/>
      <c r="H305" s="42"/>
      <c r="K305" s="44"/>
      <c r="T305" s="46"/>
      <c r="AA305" s="42"/>
      <c r="AF305" s="44"/>
      <c r="AG305" s="47"/>
      <c r="AJ305" s="1"/>
    </row>
    <row r="306" ht="15.75" customHeight="1">
      <c r="C306" s="52"/>
      <c r="H306" s="42"/>
      <c r="K306" s="44"/>
      <c r="T306" s="46"/>
      <c r="AA306" s="42"/>
      <c r="AF306" s="44"/>
      <c r="AG306" s="47"/>
      <c r="AJ306" s="1"/>
    </row>
    <row r="307" ht="15.75" customHeight="1">
      <c r="C307" s="52"/>
      <c r="H307" s="42"/>
      <c r="K307" s="44"/>
      <c r="T307" s="46"/>
      <c r="AA307" s="42"/>
      <c r="AF307" s="44"/>
      <c r="AG307" s="47"/>
      <c r="AJ307" s="1"/>
    </row>
    <row r="308" ht="15.75" customHeight="1">
      <c r="C308" s="52"/>
      <c r="H308" s="42"/>
      <c r="K308" s="44"/>
      <c r="T308" s="46"/>
      <c r="AA308" s="42"/>
      <c r="AF308" s="44"/>
      <c r="AG308" s="47"/>
      <c r="AJ308" s="1"/>
    </row>
    <row r="309" ht="15.75" customHeight="1">
      <c r="C309" s="52"/>
      <c r="H309" s="42"/>
      <c r="K309" s="44"/>
      <c r="T309" s="46"/>
      <c r="AA309" s="42"/>
      <c r="AF309" s="44"/>
      <c r="AG309" s="47"/>
      <c r="AJ309" s="1"/>
    </row>
    <row r="310" ht="15.75" customHeight="1">
      <c r="C310" s="52"/>
      <c r="H310" s="42"/>
      <c r="K310" s="44"/>
      <c r="T310" s="46"/>
      <c r="AA310" s="42"/>
      <c r="AF310" s="44"/>
      <c r="AG310" s="47"/>
      <c r="AJ310" s="1"/>
    </row>
    <row r="311" ht="15.75" customHeight="1">
      <c r="C311" s="52"/>
      <c r="H311" s="42"/>
      <c r="K311" s="44"/>
      <c r="T311" s="46"/>
      <c r="AA311" s="42"/>
      <c r="AF311" s="44"/>
      <c r="AG311" s="47"/>
      <c r="AJ311" s="1"/>
    </row>
    <row r="312" ht="15.75" customHeight="1">
      <c r="C312" s="52"/>
      <c r="H312" s="42"/>
      <c r="K312" s="44"/>
      <c r="T312" s="46"/>
      <c r="AA312" s="42"/>
      <c r="AF312" s="44"/>
      <c r="AG312" s="47"/>
      <c r="AJ312" s="1"/>
    </row>
    <row r="313" ht="15.75" customHeight="1">
      <c r="C313" s="52"/>
      <c r="H313" s="42"/>
      <c r="K313" s="44"/>
      <c r="T313" s="46"/>
      <c r="AA313" s="42"/>
      <c r="AF313" s="44"/>
      <c r="AG313" s="47"/>
      <c r="AJ313" s="1"/>
    </row>
    <row r="314" ht="15.75" customHeight="1">
      <c r="C314" s="52"/>
      <c r="H314" s="42"/>
      <c r="K314" s="44"/>
      <c r="T314" s="46"/>
      <c r="AA314" s="42"/>
      <c r="AF314" s="44"/>
      <c r="AG314" s="47"/>
      <c r="AJ314" s="1"/>
    </row>
    <row r="315" ht="15.75" customHeight="1">
      <c r="C315" s="52"/>
      <c r="H315" s="42"/>
      <c r="K315" s="44"/>
      <c r="T315" s="46"/>
      <c r="AA315" s="42"/>
      <c r="AF315" s="44"/>
      <c r="AG315" s="47"/>
      <c r="AJ315" s="1"/>
    </row>
    <row r="316" ht="15.75" customHeight="1">
      <c r="C316" s="52"/>
      <c r="H316" s="42"/>
      <c r="K316" s="44"/>
      <c r="T316" s="46"/>
      <c r="AA316" s="42"/>
      <c r="AF316" s="44"/>
      <c r="AG316" s="47"/>
      <c r="AJ316" s="1"/>
    </row>
    <row r="317" ht="15.75" customHeight="1">
      <c r="C317" s="52"/>
      <c r="H317" s="42"/>
      <c r="K317" s="44"/>
      <c r="T317" s="46"/>
      <c r="AA317" s="42"/>
      <c r="AF317" s="44"/>
      <c r="AG317" s="47"/>
      <c r="AJ317" s="1"/>
    </row>
    <row r="318" ht="15.75" customHeight="1">
      <c r="C318" s="52"/>
      <c r="H318" s="42"/>
      <c r="K318" s="44"/>
      <c r="T318" s="46"/>
      <c r="AA318" s="42"/>
      <c r="AF318" s="44"/>
      <c r="AG318" s="47"/>
      <c r="AJ318" s="1"/>
    </row>
    <row r="319" ht="15.75" customHeight="1">
      <c r="C319" s="52"/>
      <c r="H319" s="42"/>
      <c r="K319" s="44"/>
      <c r="T319" s="46"/>
      <c r="AA319" s="42"/>
      <c r="AF319" s="44"/>
      <c r="AG319" s="47"/>
      <c r="AJ319" s="1"/>
    </row>
    <row r="320" ht="15.75" customHeight="1">
      <c r="C320" s="52"/>
      <c r="H320" s="42"/>
      <c r="K320" s="44"/>
      <c r="T320" s="46"/>
      <c r="AA320" s="42"/>
      <c r="AF320" s="44"/>
      <c r="AG320" s="47"/>
      <c r="AJ320" s="1"/>
    </row>
    <row r="321" ht="15.75" customHeight="1">
      <c r="C321" s="52"/>
      <c r="H321" s="42"/>
      <c r="K321" s="44"/>
      <c r="T321" s="46"/>
      <c r="AA321" s="42"/>
      <c r="AF321" s="44"/>
      <c r="AG321" s="47"/>
      <c r="AJ321" s="1"/>
    </row>
    <row r="322" ht="15.75" customHeight="1">
      <c r="C322" s="52"/>
      <c r="H322" s="42"/>
      <c r="K322" s="44"/>
      <c r="T322" s="46"/>
      <c r="AA322" s="42"/>
      <c r="AF322" s="44"/>
      <c r="AG322" s="47"/>
      <c r="AJ322" s="1"/>
    </row>
    <row r="323" ht="15.75" customHeight="1">
      <c r="C323" s="52"/>
      <c r="H323" s="42"/>
      <c r="K323" s="44"/>
      <c r="T323" s="46"/>
      <c r="AA323" s="42"/>
      <c r="AF323" s="44"/>
      <c r="AG323" s="47"/>
      <c r="AJ323" s="1"/>
    </row>
    <row r="324" ht="15.75" customHeight="1">
      <c r="C324" s="52"/>
      <c r="H324" s="42"/>
      <c r="K324" s="44"/>
      <c r="T324" s="46"/>
      <c r="AA324" s="42"/>
      <c r="AF324" s="44"/>
      <c r="AG324" s="47"/>
      <c r="AJ324" s="1"/>
    </row>
    <row r="325" ht="15.75" customHeight="1">
      <c r="C325" s="52"/>
      <c r="H325" s="42"/>
      <c r="K325" s="44"/>
      <c r="T325" s="46"/>
      <c r="AA325" s="42"/>
      <c r="AF325" s="44"/>
      <c r="AG325" s="47"/>
      <c r="AJ325" s="1"/>
    </row>
    <row r="326" ht="15.75" customHeight="1">
      <c r="C326" s="52"/>
      <c r="H326" s="42"/>
      <c r="K326" s="44"/>
      <c r="T326" s="46"/>
      <c r="AA326" s="42"/>
      <c r="AF326" s="44"/>
      <c r="AG326" s="47"/>
      <c r="AJ326" s="1"/>
    </row>
    <row r="327" ht="15.75" customHeight="1">
      <c r="C327" s="52"/>
      <c r="H327" s="42"/>
      <c r="K327" s="44"/>
      <c r="T327" s="46"/>
      <c r="AA327" s="42"/>
      <c r="AF327" s="44"/>
      <c r="AG327" s="47"/>
      <c r="AJ327" s="1"/>
    </row>
    <row r="328" ht="15.75" customHeight="1">
      <c r="C328" s="52"/>
      <c r="H328" s="42"/>
      <c r="K328" s="44"/>
      <c r="T328" s="46"/>
      <c r="AA328" s="42"/>
      <c r="AF328" s="44"/>
      <c r="AG328" s="47"/>
      <c r="AJ328" s="1"/>
    </row>
    <row r="329" ht="15.75" customHeight="1">
      <c r="C329" s="52"/>
      <c r="H329" s="42"/>
      <c r="K329" s="44"/>
      <c r="T329" s="46"/>
      <c r="AA329" s="42"/>
      <c r="AF329" s="44"/>
      <c r="AG329" s="47"/>
      <c r="AJ329" s="1"/>
    </row>
    <row r="330" ht="15.75" customHeight="1">
      <c r="C330" s="52"/>
      <c r="H330" s="42"/>
      <c r="K330" s="44"/>
      <c r="T330" s="46"/>
      <c r="AA330" s="42"/>
      <c r="AF330" s="44"/>
      <c r="AG330" s="47"/>
      <c r="AJ330" s="1"/>
    </row>
    <row r="331" ht="15.75" customHeight="1">
      <c r="C331" s="52"/>
      <c r="H331" s="42"/>
      <c r="K331" s="44"/>
      <c r="T331" s="46"/>
      <c r="AA331" s="42"/>
      <c r="AF331" s="44"/>
      <c r="AG331" s="47"/>
      <c r="AJ331" s="1"/>
    </row>
    <row r="332" ht="15.75" customHeight="1">
      <c r="C332" s="52"/>
      <c r="H332" s="42"/>
      <c r="K332" s="44"/>
      <c r="T332" s="46"/>
      <c r="AA332" s="42"/>
      <c r="AF332" s="44"/>
      <c r="AG332" s="47"/>
      <c r="AJ332" s="1"/>
    </row>
    <row r="333" ht="15.75" customHeight="1">
      <c r="C333" s="52"/>
      <c r="H333" s="42"/>
      <c r="K333" s="44"/>
      <c r="T333" s="46"/>
      <c r="AA333" s="42"/>
      <c r="AF333" s="44"/>
      <c r="AG333" s="47"/>
      <c r="AJ333" s="1"/>
    </row>
    <row r="334" ht="15.75" customHeight="1">
      <c r="C334" s="52"/>
      <c r="H334" s="42"/>
      <c r="K334" s="44"/>
      <c r="T334" s="46"/>
      <c r="AA334" s="42"/>
      <c r="AF334" s="44"/>
      <c r="AG334" s="47"/>
      <c r="AJ334" s="1"/>
    </row>
    <row r="335" ht="15.75" customHeight="1">
      <c r="C335" s="52"/>
      <c r="H335" s="42"/>
      <c r="K335" s="44"/>
      <c r="T335" s="46"/>
      <c r="AA335" s="42"/>
      <c r="AF335" s="44"/>
      <c r="AG335" s="47"/>
      <c r="AJ335" s="1"/>
    </row>
    <row r="336" ht="15.75" customHeight="1">
      <c r="C336" s="52"/>
      <c r="H336" s="42"/>
      <c r="K336" s="44"/>
      <c r="T336" s="46"/>
      <c r="AA336" s="42"/>
      <c r="AF336" s="44"/>
      <c r="AG336" s="47"/>
      <c r="AJ336" s="1"/>
    </row>
    <row r="337" ht="15.75" customHeight="1">
      <c r="C337" s="52"/>
      <c r="H337" s="42"/>
      <c r="K337" s="44"/>
      <c r="T337" s="46"/>
      <c r="AA337" s="42"/>
      <c r="AF337" s="44"/>
      <c r="AG337" s="47"/>
      <c r="AJ337" s="1"/>
    </row>
    <row r="338" ht="15.75" customHeight="1">
      <c r="C338" s="52"/>
      <c r="H338" s="42"/>
      <c r="K338" s="44"/>
      <c r="T338" s="46"/>
      <c r="AA338" s="42"/>
      <c r="AF338" s="44"/>
      <c r="AG338" s="47"/>
      <c r="AJ338" s="1"/>
    </row>
    <row r="339" ht="15.75" customHeight="1">
      <c r="C339" s="52"/>
      <c r="H339" s="42"/>
      <c r="K339" s="44"/>
      <c r="T339" s="46"/>
      <c r="AA339" s="42"/>
      <c r="AF339" s="44"/>
      <c r="AG339" s="47"/>
      <c r="AJ339" s="1"/>
    </row>
    <row r="340" ht="15.75" customHeight="1">
      <c r="C340" s="52"/>
      <c r="H340" s="42"/>
      <c r="K340" s="44"/>
      <c r="T340" s="46"/>
      <c r="AA340" s="42"/>
      <c r="AF340" s="44"/>
      <c r="AG340" s="47"/>
      <c r="AJ340" s="1"/>
    </row>
    <row r="341" ht="15.75" customHeight="1">
      <c r="C341" s="52"/>
      <c r="H341" s="42"/>
      <c r="K341" s="44"/>
      <c r="T341" s="46"/>
      <c r="AA341" s="42"/>
      <c r="AF341" s="44"/>
      <c r="AG341" s="47"/>
      <c r="AJ341" s="1"/>
    </row>
    <row r="342" ht="15.75" customHeight="1">
      <c r="C342" s="52"/>
      <c r="H342" s="42"/>
      <c r="K342" s="44"/>
      <c r="T342" s="46"/>
      <c r="AA342" s="42"/>
      <c r="AF342" s="44"/>
      <c r="AG342" s="47"/>
      <c r="AJ342" s="1"/>
    </row>
    <row r="343" ht="15.75" customHeight="1">
      <c r="C343" s="52"/>
      <c r="H343" s="42"/>
      <c r="K343" s="44"/>
      <c r="T343" s="46"/>
      <c r="AA343" s="42"/>
      <c r="AF343" s="44"/>
      <c r="AG343" s="47"/>
      <c r="AJ343" s="1"/>
    </row>
    <row r="344" ht="15.75" customHeight="1">
      <c r="C344" s="52"/>
      <c r="H344" s="42"/>
      <c r="K344" s="44"/>
      <c r="T344" s="46"/>
      <c r="AA344" s="42"/>
      <c r="AF344" s="44"/>
      <c r="AG344" s="47"/>
      <c r="AJ344" s="1"/>
    </row>
    <row r="345" ht="15.75" customHeight="1">
      <c r="C345" s="52"/>
      <c r="H345" s="42"/>
      <c r="K345" s="44"/>
      <c r="T345" s="46"/>
      <c r="AA345" s="42"/>
      <c r="AF345" s="44"/>
      <c r="AG345" s="47"/>
      <c r="AJ345" s="1"/>
    </row>
    <row r="346" ht="15.75" customHeight="1">
      <c r="C346" s="52"/>
      <c r="H346" s="42"/>
      <c r="K346" s="44"/>
      <c r="T346" s="46"/>
      <c r="AA346" s="42"/>
      <c r="AF346" s="44"/>
      <c r="AG346" s="47"/>
      <c r="AJ346" s="1"/>
    </row>
    <row r="347" ht="15.75" customHeight="1">
      <c r="C347" s="52"/>
      <c r="H347" s="42"/>
      <c r="K347" s="44"/>
      <c r="T347" s="46"/>
      <c r="AA347" s="42"/>
      <c r="AF347" s="44"/>
      <c r="AG347" s="47"/>
      <c r="AJ347" s="1"/>
    </row>
    <row r="348" ht="15.75" customHeight="1">
      <c r="C348" s="52"/>
      <c r="H348" s="42"/>
      <c r="K348" s="44"/>
      <c r="T348" s="46"/>
      <c r="AA348" s="42"/>
      <c r="AF348" s="44"/>
      <c r="AG348" s="47"/>
      <c r="AJ348" s="1"/>
    </row>
    <row r="349" ht="15.75" customHeight="1">
      <c r="C349" s="52"/>
      <c r="H349" s="42"/>
      <c r="K349" s="44"/>
      <c r="T349" s="46"/>
      <c r="AA349" s="42"/>
      <c r="AF349" s="44"/>
      <c r="AG349" s="47"/>
      <c r="AJ349" s="1"/>
    </row>
    <row r="350" ht="15.75" customHeight="1">
      <c r="C350" s="52"/>
      <c r="H350" s="42"/>
      <c r="K350" s="44"/>
      <c r="T350" s="46"/>
      <c r="AA350" s="42"/>
      <c r="AF350" s="44"/>
      <c r="AG350" s="47"/>
      <c r="AJ350" s="1"/>
    </row>
    <row r="351" ht="15.75" customHeight="1">
      <c r="C351" s="52"/>
      <c r="H351" s="42"/>
      <c r="K351" s="44"/>
      <c r="T351" s="46"/>
      <c r="AA351" s="42"/>
      <c r="AF351" s="44"/>
      <c r="AG351" s="47"/>
      <c r="AJ351" s="1"/>
    </row>
    <row r="352" ht="15.75" customHeight="1">
      <c r="C352" s="52"/>
      <c r="H352" s="42"/>
      <c r="K352" s="44"/>
      <c r="T352" s="46"/>
      <c r="AA352" s="42"/>
      <c r="AF352" s="44"/>
      <c r="AG352" s="47"/>
      <c r="AJ352" s="1"/>
    </row>
    <row r="353" ht="15.75" customHeight="1">
      <c r="C353" s="52"/>
      <c r="H353" s="42"/>
      <c r="K353" s="44"/>
      <c r="T353" s="46"/>
      <c r="AA353" s="42"/>
      <c r="AF353" s="44"/>
      <c r="AG353" s="47"/>
      <c r="AJ353" s="1"/>
    </row>
    <row r="354" ht="15.75" customHeight="1">
      <c r="C354" s="52"/>
      <c r="H354" s="42"/>
      <c r="K354" s="44"/>
      <c r="T354" s="46"/>
      <c r="AA354" s="42"/>
      <c r="AF354" s="44"/>
      <c r="AG354" s="47"/>
      <c r="AJ354" s="1"/>
    </row>
    <row r="355" ht="15.75" customHeight="1">
      <c r="C355" s="52"/>
      <c r="H355" s="42"/>
      <c r="K355" s="44"/>
      <c r="T355" s="46"/>
      <c r="AA355" s="42"/>
      <c r="AF355" s="44"/>
      <c r="AG355" s="47"/>
      <c r="AJ355" s="1"/>
    </row>
    <row r="356" ht="15.75" customHeight="1">
      <c r="C356" s="52"/>
      <c r="H356" s="42"/>
      <c r="K356" s="44"/>
      <c r="T356" s="46"/>
      <c r="AA356" s="42"/>
      <c r="AF356" s="44"/>
      <c r="AG356" s="47"/>
      <c r="AJ356" s="1"/>
    </row>
    <row r="357" ht="15.75" customHeight="1">
      <c r="C357" s="52"/>
      <c r="H357" s="42"/>
      <c r="K357" s="44"/>
      <c r="T357" s="46"/>
      <c r="AA357" s="42"/>
      <c r="AF357" s="44"/>
      <c r="AG357" s="47"/>
      <c r="AJ357" s="1"/>
    </row>
    <row r="358" ht="15.75" customHeight="1">
      <c r="C358" s="52"/>
      <c r="H358" s="42"/>
      <c r="K358" s="44"/>
      <c r="T358" s="46"/>
      <c r="AA358" s="42"/>
      <c r="AF358" s="44"/>
      <c r="AG358" s="47"/>
      <c r="AJ358" s="1"/>
    </row>
    <row r="359" ht="15.75" customHeight="1">
      <c r="C359" s="52"/>
      <c r="H359" s="42"/>
      <c r="K359" s="44"/>
      <c r="T359" s="46"/>
      <c r="AA359" s="42"/>
      <c r="AF359" s="44"/>
      <c r="AG359" s="47"/>
      <c r="AJ359" s="1"/>
    </row>
    <row r="360" ht="15.75" customHeight="1">
      <c r="C360" s="52"/>
      <c r="H360" s="42"/>
      <c r="K360" s="44"/>
      <c r="T360" s="46"/>
      <c r="AA360" s="42"/>
      <c r="AF360" s="44"/>
      <c r="AG360" s="47"/>
      <c r="AJ360" s="1"/>
    </row>
    <row r="361" ht="15.75" customHeight="1">
      <c r="C361" s="52"/>
      <c r="H361" s="42"/>
      <c r="K361" s="44"/>
      <c r="T361" s="46"/>
      <c r="AA361" s="42"/>
      <c r="AF361" s="44"/>
      <c r="AG361" s="47"/>
      <c r="AJ361" s="1"/>
    </row>
    <row r="362" ht="15.75" customHeight="1">
      <c r="C362" s="52"/>
      <c r="H362" s="42"/>
      <c r="K362" s="44"/>
      <c r="T362" s="46"/>
      <c r="AA362" s="42"/>
      <c r="AF362" s="44"/>
      <c r="AG362" s="47"/>
      <c r="AJ362" s="1"/>
    </row>
    <row r="363" ht="15.75" customHeight="1">
      <c r="C363" s="52"/>
      <c r="H363" s="42"/>
      <c r="K363" s="44"/>
      <c r="T363" s="46"/>
      <c r="AA363" s="42"/>
      <c r="AF363" s="44"/>
      <c r="AG363" s="47"/>
      <c r="AJ363" s="1"/>
    </row>
    <row r="364" ht="15.75" customHeight="1">
      <c r="C364" s="52"/>
      <c r="H364" s="42"/>
      <c r="K364" s="44"/>
      <c r="T364" s="46"/>
      <c r="AA364" s="42"/>
      <c r="AF364" s="44"/>
      <c r="AG364" s="47"/>
      <c r="AJ364" s="1"/>
    </row>
    <row r="365" ht="15.75" customHeight="1">
      <c r="C365" s="52"/>
      <c r="H365" s="42"/>
      <c r="K365" s="44"/>
      <c r="T365" s="46"/>
      <c r="AA365" s="42"/>
      <c r="AF365" s="44"/>
      <c r="AG365" s="47"/>
      <c r="AJ365" s="1"/>
    </row>
    <row r="366" ht="15.75" customHeight="1">
      <c r="C366" s="52"/>
      <c r="H366" s="42"/>
      <c r="K366" s="44"/>
      <c r="T366" s="46"/>
      <c r="AA366" s="42"/>
      <c r="AF366" s="44"/>
      <c r="AG366" s="47"/>
      <c r="AJ366" s="1"/>
    </row>
    <row r="367" ht="15.75" customHeight="1">
      <c r="C367" s="52"/>
      <c r="H367" s="42"/>
      <c r="K367" s="44"/>
      <c r="T367" s="46"/>
      <c r="AA367" s="42"/>
      <c r="AF367" s="44"/>
      <c r="AG367" s="47"/>
      <c r="AJ367" s="1"/>
    </row>
    <row r="368" ht="15.75" customHeight="1">
      <c r="C368" s="52"/>
      <c r="H368" s="42"/>
      <c r="K368" s="44"/>
      <c r="T368" s="46"/>
      <c r="AA368" s="42"/>
      <c r="AF368" s="44"/>
      <c r="AG368" s="47"/>
      <c r="AJ368" s="1"/>
    </row>
    <row r="369" ht="15.75" customHeight="1">
      <c r="C369" s="52"/>
      <c r="H369" s="42"/>
      <c r="K369" s="44"/>
      <c r="T369" s="46"/>
      <c r="AA369" s="42"/>
      <c r="AF369" s="44"/>
      <c r="AG369" s="47"/>
      <c r="AJ369" s="1"/>
    </row>
    <row r="370" ht="15.75" customHeight="1">
      <c r="C370" s="52"/>
      <c r="H370" s="42"/>
      <c r="K370" s="44"/>
      <c r="T370" s="46"/>
      <c r="AA370" s="42"/>
      <c r="AF370" s="44"/>
      <c r="AG370" s="47"/>
      <c r="AJ370" s="1"/>
    </row>
    <row r="371" ht="15.75" customHeight="1">
      <c r="C371" s="52"/>
      <c r="H371" s="42"/>
      <c r="K371" s="44"/>
      <c r="T371" s="46"/>
      <c r="AA371" s="42"/>
      <c r="AF371" s="44"/>
      <c r="AG371" s="47"/>
      <c r="AJ371" s="1"/>
    </row>
    <row r="372" ht="15.75" customHeight="1">
      <c r="C372" s="52"/>
      <c r="H372" s="42"/>
      <c r="K372" s="44"/>
      <c r="T372" s="46"/>
      <c r="AA372" s="42"/>
      <c r="AF372" s="44"/>
      <c r="AG372" s="47"/>
      <c r="AJ372" s="1"/>
    </row>
    <row r="373" ht="15.75" customHeight="1">
      <c r="C373" s="52"/>
      <c r="H373" s="42"/>
      <c r="K373" s="44"/>
      <c r="T373" s="46"/>
      <c r="AA373" s="42"/>
      <c r="AF373" s="44"/>
      <c r="AG373" s="47"/>
      <c r="AJ373" s="1"/>
    </row>
    <row r="374" ht="15.75" customHeight="1">
      <c r="C374" s="52"/>
      <c r="H374" s="42"/>
      <c r="K374" s="44"/>
      <c r="T374" s="46"/>
      <c r="AA374" s="42"/>
      <c r="AF374" s="44"/>
      <c r="AG374" s="47"/>
      <c r="AJ374" s="1"/>
    </row>
    <row r="375" ht="15.75" customHeight="1">
      <c r="C375" s="52"/>
      <c r="H375" s="42"/>
      <c r="K375" s="44"/>
      <c r="T375" s="46"/>
      <c r="AA375" s="42"/>
      <c r="AF375" s="44"/>
      <c r="AG375" s="47"/>
      <c r="AJ375" s="1"/>
    </row>
    <row r="376" ht="15.75" customHeight="1">
      <c r="C376" s="52"/>
      <c r="H376" s="42"/>
      <c r="K376" s="44"/>
      <c r="T376" s="46"/>
      <c r="AA376" s="42"/>
      <c r="AF376" s="44"/>
      <c r="AG376" s="47"/>
      <c r="AJ376" s="1"/>
    </row>
    <row r="377" ht="15.75" customHeight="1">
      <c r="C377" s="52"/>
      <c r="H377" s="42"/>
      <c r="K377" s="44"/>
      <c r="T377" s="46"/>
      <c r="AA377" s="42"/>
      <c r="AF377" s="44"/>
      <c r="AG377" s="47"/>
      <c r="AJ377" s="1"/>
    </row>
    <row r="378" ht="15.75" customHeight="1">
      <c r="C378" s="52"/>
      <c r="H378" s="42"/>
      <c r="K378" s="44"/>
      <c r="T378" s="46"/>
      <c r="AA378" s="42"/>
      <c r="AF378" s="44"/>
      <c r="AG378" s="47"/>
      <c r="AJ378" s="1"/>
    </row>
    <row r="379" ht="15.75" customHeight="1">
      <c r="C379" s="52"/>
      <c r="H379" s="42"/>
      <c r="K379" s="44"/>
      <c r="T379" s="46"/>
      <c r="AA379" s="42"/>
      <c r="AF379" s="44"/>
      <c r="AG379" s="47"/>
      <c r="AJ379" s="1"/>
    </row>
    <row r="380" ht="15.75" customHeight="1">
      <c r="C380" s="52"/>
      <c r="H380" s="42"/>
      <c r="K380" s="44"/>
      <c r="T380" s="46"/>
      <c r="AA380" s="42"/>
      <c r="AF380" s="44"/>
      <c r="AG380" s="47"/>
      <c r="AJ380" s="1"/>
    </row>
    <row r="381" ht="15.75" customHeight="1">
      <c r="C381" s="52"/>
      <c r="H381" s="42"/>
      <c r="K381" s="44"/>
      <c r="T381" s="46"/>
      <c r="AA381" s="42"/>
      <c r="AF381" s="44"/>
      <c r="AG381" s="47"/>
      <c r="AJ381" s="1"/>
    </row>
    <row r="382" ht="15.75" customHeight="1">
      <c r="C382" s="52"/>
      <c r="H382" s="42"/>
      <c r="K382" s="44"/>
      <c r="T382" s="46"/>
      <c r="AA382" s="42"/>
      <c r="AF382" s="44"/>
      <c r="AG382" s="47"/>
      <c r="AJ382" s="1"/>
    </row>
    <row r="383" ht="15.75" customHeight="1">
      <c r="C383" s="52"/>
      <c r="H383" s="42"/>
      <c r="K383" s="44"/>
      <c r="T383" s="46"/>
      <c r="AA383" s="42"/>
      <c r="AF383" s="44"/>
      <c r="AG383" s="47"/>
      <c r="AJ383" s="1"/>
    </row>
    <row r="384" ht="15.75" customHeight="1">
      <c r="C384" s="52"/>
      <c r="H384" s="42"/>
      <c r="K384" s="44"/>
      <c r="T384" s="46"/>
      <c r="AA384" s="42"/>
      <c r="AF384" s="44"/>
      <c r="AG384" s="47"/>
      <c r="AJ384" s="1"/>
    </row>
    <row r="385" ht="15.75" customHeight="1">
      <c r="C385" s="52"/>
      <c r="H385" s="42"/>
      <c r="K385" s="44"/>
      <c r="T385" s="46"/>
      <c r="AA385" s="42"/>
      <c r="AF385" s="44"/>
      <c r="AG385" s="47"/>
      <c r="AJ385" s="1"/>
    </row>
    <row r="386" ht="15.75" customHeight="1">
      <c r="C386" s="52"/>
      <c r="H386" s="42"/>
      <c r="K386" s="44"/>
      <c r="T386" s="46"/>
      <c r="AA386" s="42"/>
      <c r="AF386" s="44"/>
      <c r="AG386" s="47"/>
      <c r="AJ386" s="1"/>
    </row>
    <row r="387" ht="15.75" customHeight="1">
      <c r="C387" s="52"/>
      <c r="H387" s="42"/>
      <c r="K387" s="44"/>
      <c r="T387" s="46"/>
      <c r="AA387" s="42"/>
      <c r="AF387" s="44"/>
      <c r="AG387" s="47"/>
      <c r="AJ387" s="1"/>
    </row>
    <row r="388" ht="15.75" customHeight="1">
      <c r="C388" s="52"/>
      <c r="H388" s="42"/>
      <c r="K388" s="44"/>
      <c r="T388" s="46"/>
      <c r="AA388" s="42"/>
      <c r="AF388" s="44"/>
      <c r="AG388" s="47"/>
      <c r="AJ388" s="1"/>
    </row>
    <row r="389" ht="15.75" customHeight="1">
      <c r="C389" s="52"/>
      <c r="H389" s="42"/>
      <c r="K389" s="44"/>
      <c r="T389" s="46"/>
      <c r="AA389" s="42"/>
      <c r="AF389" s="44"/>
      <c r="AG389" s="47"/>
      <c r="AJ389" s="1"/>
    </row>
    <row r="390" ht="15.75" customHeight="1">
      <c r="C390" s="52"/>
      <c r="H390" s="42"/>
      <c r="K390" s="44"/>
      <c r="T390" s="46"/>
      <c r="AA390" s="42"/>
      <c r="AF390" s="44"/>
      <c r="AG390" s="47"/>
      <c r="AJ390" s="1"/>
    </row>
    <row r="391" ht="15.75" customHeight="1">
      <c r="C391" s="52"/>
      <c r="H391" s="42"/>
      <c r="K391" s="44"/>
      <c r="T391" s="46"/>
      <c r="AA391" s="42"/>
      <c r="AF391" s="44"/>
      <c r="AG391" s="47"/>
      <c r="AJ391" s="1"/>
    </row>
    <row r="392" ht="15.75" customHeight="1">
      <c r="C392" s="52"/>
      <c r="H392" s="42"/>
      <c r="K392" s="44"/>
      <c r="T392" s="46"/>
      <c r="AA392" s="42"/>
      <c r="AF392" s="44"/>
      <c r="AG392" s="47"/>
      <c r="AJ392" s="1"/>
    </row>
    <row r="393" ht="15.75" customHeight="1">
      <c r="C393" s="52"/>
      <c r="H393" s="42"/>
      <c r="K393" s="44"/>
      <c r="T393" s="46"/>
      <c r="AA393" s="42"/>
      <c r="AF393" s="44"/>
      <c r="AG393" s="47"/>
      <c r="AJ393" s="1"/>
    </row>
    <row r="394" ht="15.75" customHeight="1">
      <c r="C394" s="52"/>
      <c r="H394" s="42"/>
      <c r="K394" s="44"/>
      <c r="T394" s="46"/>
      <c r="AA394" s="42"/>
      <c r="AF394" s="44"/>
      <c r="AG394" s="47"/>
      <c r="AJ394" s="1"/>
    </row>
    <row r="395" ht="15.75" customHeight="1">
      <c r="C395" s="52"/>
      <c r="H395" s="42"/>
      <c r="K395" s="44"/>
      <c r="T395" s="46"/>
      <c r="AA395" s="42"/>
      <c r="AF395" s="44"/>
      <c r="AG395" s="47"/>
      <c r="AJ395" s="1"/>
    </row>
    <row r="396" ht="15.75" customHeight="1">
      <c r="C396" s="52"/>
      <c r="H396" s="42"/>
      <c r="K396" s="44"/>
      <c r="T396" s="46"/>
      <c r="AA396" s="42"/>
      <c r="AF396" s="44"/>
      <c r="AG396" s="47"/>
      <c r="AJ396" s="1"/>
    </row>
    <row r="397" ht="15.75" customHeight="1">
      <c r="C397" s="52"/>
      <c r="H397" s="42"/>
      <c r="K397" s="44"/>
      <c r="T397" s="46"/>
      <c r="AA397" s="42"/>
      <c r="AF397" s="44"/>
      <c r="AG397" s="47"/>
      <c r="AJ397" s="1"/>
    </row>
    <row r="398" ht="15.75" customHeight="1">
      <c r="C398" s="52"/>
      <c r="H398" s="42"/>
      <c r="K398" s="44"/>
      <c r="T398" s="46"/>
      <c r="AA398" s="42"/>
      <c r="AF398" s="44"/>
      <c r="AG398" s="47"/>
      <c r="AJ398" s="1"/>
    </row>
    <row r="399" ht="15.75" customHeight="1">
      <c r="C399" s="52"/>
      <c r="H399" s="42"/>
      <c r="K399" s="44"/>
      <c r="T399" s="46"/>
      <c r="AA399" s="42"/>
      <c r="AF399" s="44"/>
      <c r="AG399" s="47"/>
      <c r="AJ399" s="1"/>
    </row>
    <row r="400" ht="15.75" customHeight="1">
      <c r="C400" s="52"/>
      <c r="H400" s="42"/>
      <c r="K400" s="44"/>
      <c r="T400" s="46"/>
      <c r="AA400" s="42"/>
      <c r="AF400" s="44"/>
      <c r="AG400" s="47"/>
      <c r="AJ400" s="1"/>
    </row>
    <row r="401" ht="15.75" customHeight="1">
      <c r="C401" s="52"/>
      <c r="H401" s="42"/>
      <c r="K401" s="44"/>
      <c r="T401" s="46"/>
      <c r="AA401" s="42"/>
      <c r="AF401" s="44"/>
      <c r="AG401" s="47"/>
      <c r="AJ401" s="1"/>
    </row>
    <row r="402" ht="15.75" customHeight="1">
      <c r="C402" s="52"/>
      <c r="H402" s="42"/>
      <c r="K402" s="44"/>
      <c r="T402" s="46"/>
      <c r="AA402" s="42"/>
      <c r="AF402" s="44"/>
      <c r="AG402" s="47"/>
      <c r="AJ402" s="1"/>
    </row>
    <row r="403" ht="15.75" customHeight="1">
      <c r="C403" s="52"/>
      <c r="H403" s="42"/>
      <c r="K403" s="44"/>
      <c r="T403" s="46"/>
      <c r="AA403" s="42"/>
      <c r="AF403" s="44"/>
      <c r="AG403" s="47"/>
      <c r="AJ403" s="1"/>
    </row>
    <row r="404" ht="15.75" customHeight="1">
      <c r="C404" s="52"/>
      <c r="H404" s="42"/>
      <c r="K404" s="44"/>
      <c r="T404" s="46"/>
      <c r="AA404" s="42"/>
      <c r="AF404" s="44"/>
      <c r="AG404" s="47"/>
      <c r="AJ404" s="1"/>
    </row>
    <row r="405" ht="15.75" customHeight="1">
      <c r="C405" s="52"/>
      <c r="H405" s="42"/>
      <c r="K405" s="44"/>
      <c r="T405" s="46"/>
      <c r="AA405" s="42"/>
      <c r="AF405" s="44"/>
      <c r="AG405" s="47"/>
      <c r="AJ405" s="1"/>
    </row>
    <row r="406" ht="15.75" customHeight="1">
      <c r="C406" s="52"/>
      <c r="H406" s="42"/>
      <c r="K406" s="44"/>
      <c r="T406" s="46"/>
      <c r="AA406" s="42"/>
      <c r="AF406" s="44"/>
      <c r="AG406" s="47"/>
      <c r="AJ406" s="1"/>
    </row>
    <row r="407" ht="15.75" customHeight="1">
      <c r="C407" s="52"/>
      <c r="H407" s="42"/>
      <c r="K407" s="44"/>
      <c r="T407" s="46"/>
      <c r="AA407" s="42"/>
      <c r="AF407" s="44"/>
      <c r="AG407" s="47"/>
      <c r="AJ407" s="1"/>
    </row>
    <row r="408" ht="15.75" customHeight="1">
      <c r="C408" s="52"/>
      <c r="H408" s="42"/>
      <c r="K408" s="44"/>
      <c r="T408" s="46"/>
      <c r="AA408" s="42"/>
      <c r="AF408" s="44"/>
      <c r="AG408" s="47"/>
      <c r="AJ408" s="1"/>
    </row>
    <row r="409" ht="15.75" customHeight="1">
      <c r="C409" s="52"/>
      <c r="H409" s="42"/>
      <c r="K409" s="44"/>
      <c r="T409" s="46"/>
      <c r="AA409" s="42"/>
      <c r="AF409" s="44"/>
      <c r="AG409" s="47"/>
      <c r="AJ409" s="1"/>
    </row>
    <row r="410" ht="15.75" customHeight="1">
      <c r="C410" s="52"/>
      <c r="H410" s="42"/>
      <c r="K410" s="44"/>
      <c r="T410" s="46"/>
      <c r="AA410" s="42"/>
      <c r="AF410" s="44"/>
      <c r="AG410" s="47"/>
      <c r="AJ410" s="1"/>
    </row>
    <row r="411" ht="15.75" customHeight="1">
      <c r="C411" s="52"/>
      <c r="H411" s="42"/>
      <c r="K411" s="44"/>
      <c r="T411" s="46"/>
      <c r="AA411" s="42"/>
      <c r="AF411" s="44"/>
      <c r="AG411" s="47"/>
      <c r="AJ411" s="1"/>
    </row>
    <row r="412" ht="15.75" customHeight="1">
      <c r="C412" s="52"/>
      <c r="H412" s="42"/>
      <c r="K412" s="44"/>
      <c r="T412" s="46"/>
      <c r="AA412" s="42"/>
      <c r="AF412" s="44"/>
      <c r="AG412" s="47"/>
      <c r="AJ412" s="1"/>
    </row>
    <row r="413" ht="15.75" customHeight="1">
      <c r="C413" s="52"/>
      <c r="H413" s="42"/>
      <c r="K413" s="44"/>
      <c r="T413" s="46"/>
      <c r="AA413" s="42"/>
      <c r="AF413" s="44"/>
      <c r="AG413" s="47"/>
      <c r="AJ413" s="1"/>
    </row>
    <row r="414" ht="15.75" customHeight="1">
      <c r="C414" s="52"/>
      <c r="H414" s="42"/>
      <c r="K414" s="44"/>
      <c r="T414" s="46"/>
      <c r="AA414" s="42"/>
      <c r="AF414" s="44"/>
      <c r="AG414" s="47"/>
      <c r="AJ414" s="1"/>
    </row>
    <row r="415" ht="15.75" customHeight="1">
      <c r="C415" s="52"/>
      <c r="H415" s="42"/>
      <c r="K415" s="44"/>
      <c r="T415" s="46"/>
      <c r="AA415" s="42"/>
      <c r="AF415" s="44"/>
      <c r="AG415" s="47"/>
      <c r="AJ415" s="1"/>
    </row>
    <row r="416" ht="15.75" customHeight="1">
      <c r="C416" s="52"/>
      <c r="H416" s="42"/>
      <c r="K416" s="44"/>
      <c r="T416" s="46"/>
      <c r="AA416" s="42"/>
      <c r="AF416" s="44"/>
      <c r="AG416" s="47"/>
      <c r="AJ416" s="1"/>
    </row>
    <row r="417" ht="15.75" customHeight="1">
      <c r="C417" s="52"/>
      <c r="H417" s="42"/>
      <c r="K417" s="44"/>
      <c r="T417" s="46"/>
      <c r="AA417" s="42"/>
      <c r="AF417" s="44"/>
      <c r="AG417" s="47"/>
      <c r="AJ417" s="1"/>
    </row>
    <row r="418" ht="15.75" customHeight="1">
      <c r="C418" s="52"/>
      <c r="H418" s="42"/>
      <c r="K418" s="44"/>
      <c r="T418" s="46"/>
      <c r="AA418" s="42"/>
      <c r="AF418" s="44"/>
      <c r="AG418" s="47"/>
      <c r="AJ418" s="1"/>
    </row>
    <row r="419" ht="15.75" customHeight="1">
      <c r="C419" s="52"/>
      <c r="H419" s="42"/>
      <c r="K419" s="44"/>
      <c r="T419" s="46"/>
      <c r="AA419" s="42"/>
      <c r="AF419" s="44"/>
      <c r="AG419" s="47"/>
      <c r="AJ419" s="1"/>
    </row>
    <row r="420" ht="15.75" customHeight="1">
      <c r="C420" s="52"/>
      <c r="H420" s="42"/>
      <c r="K420" s="44"/>
      <c r="T420" s="46"/>
      <c r="AA420" s="42"/>
      <c r="AF420" s="44"/>
      <c r="AG420" s="47"/>
      <c r="AJ420" s="1"/>
    </row>
    <row r="421" ht="15.75" customHeight="1">
      <c r="C421" s="52"/>
      <c r="H421" s="42"/>
      <c r="K421" s="44"/>
      <c r="T421" s="46"/>
      <c r="AA421" s="42"/>
      <c r="AF421" s="44"/>
      <c r="AG421" s="47"/>
      <c r="AJ421" s="1"/>
    </row>
    <row r="422" ht="15.75" customHeight="1">
      <c r="C422" s="52"/>
      <c r="H422" s="42"/>
      <c r="K422" s="44"/>
      <c r="T422" s="46"/>
      <c r="AA422" s="42"/>
      <c r="AF422" s="44"/>
      <c r="AG422" s="47"/>
      <c r="AJ422" s="1"/>
    </row>
    <row r="423" ht="15.75" customHeight="1">
      <c r="C423" s="52"/>
      <c r="H423" s="42"/>
      <c r="K423" s="44"/>
      <c r="T423" s="46"/>
      <c r="AA423" s="42"/>
      <c r="AF423" s="44"/>
      <c r="AG423" s="47"/>
      <c r="AJ423" s="1"/>
    </row>
    <row r="424" ht="15.75" customHeight="1">
      <c r="C424" s="52"/>
      <c r="H424" s="42"/>
      <c r="K424" s="44"/>
      <c r="T424" s="46"/>
      <c r="AA424" s="42"/>
      <c r="AF424" s="44"/>
      <c r="AG424" s="47"/>
      <c r="AJ424" s="1"/>
    </row>
    <row r="425" ht="15.75" customHeight="1">
      <c r="C425" s="52"/>
      <c r="H425" s="42"/>
      <c r="K425" s="44"/>
      <c r="T425" s="46"/>
      <c r="AA425" s="42"/>
      <c r="AF425" s="44"/>
      <c r="AG425" s="47"/>
      <c r="AJ425" s="1"/>
    </row>
    <row r="426" ht="15.75" customHeight="1">
      <c r="C426" s="52"/>
      <c r="H426" s="42"/>
      <c r="K426" s="44"/>
      <c r="T426" s="46"/>
      <c r="AA426" s="42"/>
      <c r="AF426" s="44"/>
      <c r="AG426" s="47"/>
      <c r="AJ426" s="1"/>
    </row>
    <row r="427" ht="15.75" customHeight="1">
      <c r="C427" s="52"/>
      <c r="H427" s="42"/>
      <c r="K427" s="44"/>
      <c r="T427" s="46"/>
      <c r="AA427" s="42"/>
      <c r="AF427" s="44"/>
      <c r="AG427" s="47"/>
      <c r="AJ427" s="1"/>
    </row>
    <row r="428" ht="15.75" customHeight="1">
      <c r="C428" s="52"/>
      <c r="H428" s="42"/>
      <c r="K428" s="44"/>
      <c r="T428" s="46"/>
      <c r="AA428" s="42"/>
      <c r="AF428" s="44"/>
      <c r="AG428" s="47"/>
      <c r="AJ428" s="1"/>
    </row>
    <row r="429" ht="15.75" customHeight="1">
      <c r="C429" s="52"/>
      <c r="H429" s="42"/>
      <c r="K429" s="44"/>
      <c r="T429" s="46"/>
      <c r="AA429" s="42"/>
      <c r="AF429" s="44"/>
      <c r="AG429" s="47"/>
      <c r="AJ429" s="1"/>
    </row>
    <row r="430" ht="15.75" customHeight="1">
      <c r="C430" s="52"/>
      <c r="H430" s="42"/>
      <c r="K430" s="44"/>
      <c r="T430" s="46"/>
      <c r="AA430" s="42"/>
      <c r="AF430" s="44"/>
      <c r="AG430" s="47"/>
      <c r="AJ430" s="1"/>
    </row>
    <row r="431" ht="15.75" customHeight="1">
      <c r="C431" s="52"/>
      <c r="H431" s="42"/>
      <c r="K431" s="44"/>
      <c r="T431" s="46"/>
      <c r="AA431" s="42"/>
      <c r="AF431" s="44"/>
      <c r="AG431" s="47"/>
      <c r="AJ431" s="1"/>
    </row>
    <row r="432" ht="15.75" customHeight="1">
      <c r="C432" s="52"/>
      <c r="H432" s="42"/>
      <c r="K432" s="44"/>
      <c r="T432" s="46"/>
      <c r="AA432" s="42"/>
      <c r="AF432" s="44"/>
      <c r="AG432" s="47"/>
      <c r="AJ432" s="1"/>
    </row>
    <row r="433" ht="15.75" customHeight="1">
      <c r="C433" s="52"/>
      <c r="H433" s="42"/>
      <c r="K433" s="44"/>
      <c r="T433" s="46"/>
      <c r="AA433" s="42"/>
      <c r="AF433" s="44"/>
      <c r="AG433" s="47"/>
      <c r="AJ433" s="1"/>
    </row>
    <row r="434" ht="15.75" customHeight="1">
      <c r="C434" s="52"/>
      <c r="H434" s="42"/>
      <c r="K434" s="44"/>
      <c r="T434" s="46"/>
      <c r="AA434" s="42"/>
      <c r="AF434" s="44"/>
      <c r="AG434" s="47"/>
      <c r="AJ434" s="1"/>
    </row>
    <row r="435" ht="15.75" customHeight="1">
      <c r="C435" s="52"/>
      <c r="H435" s="42"/>
      <c r="K435" s="44"/>
      <c r="T435" s="46"/>
      <c r="AA435" s="42"/>
      <c r="AF435" s="44"/>
      <c r="AG435" s="47"/>
      <c r="AJ435" s="1"/>
    </row>
    <row r="436" ht="15.75" customHeight="1">
      <c r="C436" s="52"/>
      <c r="H436" s="42"/>
      <c r="K436" s="44"/>
      <c r="T436" s="46"/>
      <c r="AA436" s="42"/>
      <c r="AF436" s="44"/>
      <c r="AG436" s="47"/>
      <c r="AJ436" s="1"/>
    </row>
    <row r="437" ht="15.75" customHeight="1">
      <c r="C437" s="52"/>
      <c r="H437" s="42"/>
      <c r="K437" s="44"/>
      <c r="T437" s="46"/>
      <c r="AA437" s="42"/>
      <c r="AF437" s="44"/>
      <c r="AG437" s="47"/>
      <c r="AJ437" s="1"/>
    </row>
    <row r="438" ht="15.75" customHeight="1">
      <c r="C438" s="52"/>
      <c r="H438" s="42"/>
      <c r="K438" s="44"/>
      <c r="T438" s="46"/>
      <c r="AA438" s="42"/>
      <c r="AF438" s="44"/>
      <c r="AG438" s="47"/>
      <c r="AJ438" s="1"/>
    </row>
    <row r="439" ht="15.75" customHeight="1">
      <c r="C439" s="52"/>
      <c r="H439" s="42"/>
      <c r="K439" s="44"/>
      <c r="T439" s="46"/>
      <c r="AA439" s="42"/>
      <c r="AF439" s="44"/>
      <c r="AG439" s="47"/>
      <c r="AJ439" s="1"/>
    </row>
    <row r="440" ht="15.75" customHeight="1">
      <c r="C440" s="52"/>
      <c r="H440" s="42"/>
      <c r="K440" s="44"/>
      <c r="T440" s="46"/>
      <c r="AA440" s="42"/>
      <c r="AF440" s="44"/>
      <c r="AG440" s="47"/>
      <c r="AJ440" s="1"/>
    </row>
    <row r="441" ht="15.75" customHeight="1">
      <c r="C441" s="52"/>
      <c r="H441" s="42"/>
      <c r="K441" s="44"/>
      <c r="T441" s="46"/>
      <c r="AA441" s="42"/>
      <c r="AF441" s="44"/>
      <c r="AG441" s="47"/>
      <c r="AJ441" s="1"/>
    </row>
    <row r="442" ht="15.75" customHeight="1">
      <c r="C442" s="52"/>
      <c r="H442" s="42"/>
      <c r="K442" s="44"/>
      <c r="T442" s="46"/>
      <c r="AA442" s="42"/>
      <c r="AF442" s="44"/>
      <c r="AG442" s="47"/>
      <c r="AJ442" s="1"/>
    </row>
    <row r="443" ht="15.75" customHeight="1">
      <c r="C443" s="52"/>
      <c r="H443" s="42"/>
      <c r="K443" s="44"/>
      <c r="T443" s="46"/>
      <c r="AA443" s="42"/>
      <c r="AF443" s="44"/>
      <c r="AG443" s="47"/>
      <c r="AJ443" s="1"/>
    </row>
    <row r="444" ht="15.75" customHeight="1">
      <c r="C444" s="52"/>
      <c r="H444" s="42"/>
      <c r="K444" s="44"/>
      <c r="T444" s="46"/>
      <c r="AA444" s="42"/>
      <c r="AF444" s="44"/>
      <c r="AG444" s="47"/>
      <c r="AJ444" s="1"/>
    </row>
    <row r="445" ht="15.75" customHeight="1">
      <c r="C445" s="52"/>
      <c r="H445" s="42"/>
      <c r="K445" s="44"/>
      <c r="T445" s="46"/>
      <c r="AA445" s="42"/>
      <c r="AF445" s="44"/>
      <c r="AG445" s="47"/>
      <c r="AJ445" s="1"/>
    </row>
    <row r="446" ht="15.75" customHeight="1">
      <c r="C446" s="52"/>
      <c r="H446" s="42"/>
      <c r="K446" s="44"/>
      <c r="T446" s="46"/>
      <c r="AA446" s="42"/>
      <c r="AF446" s="44"/>
      <c r="AG446" s="47"/>
      <c r="AJ446" s="1"/>
    </row>
    <row r="447" ht="15.75" customHeight="1">
      <c r="C447" s="52"/>
      <c r="H447" s="42"/>
      <c r="K447" s="44"/>
      <c r="T447" s="46"/>
      <c r="AA447" s="42"/>
      <c r="AF447" s="44"/>
      <c r="AG447" s="47"/>
      <c r="AJ447" s="1"/>
    </row>
    <row r="448" ht="15.75" customHeight="1">
      <c r="C448" s="52"/>
      <c r="H448" s="42"/>
      <c r="K448" s="44"/>
      <c r="T448" s="46"/>
      <c r="AA448" s="42"/>
      <c r="AF448" s="44"/>
      <c r="AG448" s="47"/>
      <c r="AJ448" s="1"/>
    </row>
    <row r="449" ht="15.75" customHeight="1">
      <c r="C449" s="52"/>
      <c r="H449" s="42"/>
      <c r="K449" s="44"/>
      <c r="T449" s="46"/>
      <c r="AA449" s="42"/>
      <c r="AF449" s="44"/>
      <c r="AG449" s="47"/>
      <c r="AJ449" s="1"/>
    </row>
    <row r="450" ht="15.75" customHeight="1">
      <c r="C450" s="52"/>
      <c r="H450" s="42"/>
      <c r="K450" s="44"/>
      <c r="T450" s="46"/>
      <c r="AA450" s="42"/>
      <c r="AF450" s="44"/>
      <c r="AG450" s="47"/>
      <c r="AJ450" s="1"/>
    </row>
    <row r="451" ht="15.75" customHeight="1">
      <c r="C451" s="52"/>
      <c r="H451" s="42"/>
      <c r="K451" s="44"/>
      <c r="T451" s="46"/>
      <c r="AA451" s="42"/>
      <c r="AF451" s="44"/>
      <c r="AG451" s="47"/>
      <c r="AJ451" s="1"/>
    </row>
    <row r="452" ht="15.75" customHeight="1">
      <c r="C452" s="52"/>
      <c r="H452" s="42"/>
      <c r="K452" s="44"/>
      <c r="T452" s="46"/>
      <c r="AA452" s="42"/>
      <c r="AF452" s="44"/>
      <c r="AG452" s="47"/>
      <c r="AJ452" s="1"/>
    </row>
    <row r="453" ht="15.75" customHeight="1">
      <c r="C453" s="52"/>
      <c r="H453" s="42"/>
      <c r="K453" s="44"/>
      <c r="T453" s="46"/>
      <c r="AA453" s="42"/>
      <c r="AF453" s="44"/>
      <c r="AG453" s="47"/>
      <c r="AJ453" s="1"/>
    </row>
    <row r="454" ht="15.75" customHeight="1">
      <c r="C454" s="52"/>
      <c r="H454" s="42"/>
      <c r="K454" s="44"/>
      <c r="T454" s="46"/>
      <c r="AA454" s="42"/>
      <c r="AF454" s="44"/>
      <c r="AG454" s="47"/>
      <c r="AJ454" s="1"/>
    </row>
    <row r="455" ht="15.75" customHeight="1">
      <c r="C455" s="52"/>
      <c r="H455" s="42"/>
      <c r="K455" s="44"/>
      <c r="T455" s="46"/>
      <c r="AA455" s="42"/>
      <c r="AF455" s="44"/>
      <c r="AG455" s="47"/>
      <c r="AJ455" s="1"/>
    </row>
    <row r="456" ht="15.75" customHeight="1">
      <c r="C456" s="52"/>
      <c r="H456" s="42"/>
      <c r="K456" s="44"/>
      <c r="T456" s="46"/>
      <c r="AA456" s="42"/>
      <c r="AF456" s="44"/>
      <c r="AG456" s="47"/>
      <c r="AJ456" s="1"/>
    </row>
    <row r="457" ht="15.75" customHeight="1">
      <c r="C457" s="52"/>
      <c r="H457" s="42"/>
      <c r="K457" s="44"/>
      <c r="T457" s="46"/>
      <c r="AA457" s="42"/>
      <c r="AF457" s="44"/>
      <c r="AG457" s="47"/>
      <c r="AJ457" s="1"/>
    </row>
    <row r="458" ht="15.75" customHeight="1">
      <c r="C458" s="52"/>
      <c r="H458" s="42"/>
      <c r="K458" s="44"/>
      <c r="T458" s="46"/>
      <c r="AA458" s="42"/>
      <c r="AF458" s="44"/>
      <c r="AG458" s="47"/>
      <c r="AJ458" s="1"/>
    </row>
    <row r="459" ht="15.75" customHeight="1">
      <c r="C459" s="52"/>
      <c r="H459" s="42"/>
      <c r="K459" s="44"/>
      <c r="T459" s="46"/>
      <c r="AA459" s="42"/>
      <c r="AF459" s="44"/>
      <c r="AG459" s="47"/>
      <c r="AJ459" s="1"/>
    </row>
    <row r="460" ht="15.75" customHeight="1">
      <c r="C460" s="52"/>
      <c r="H460" s="42"/>
      <c r="K460" s="44"/>
      <c r="T460" s="46"/>
      <c r="AA460" s="42"/>
      <c r="AF460" s="44"/>
      <c r="AG460" s="47"/>
      <c r="AJ460" s="1"/>
    </row>
    <row r="461" ht="15.75" customHeight="1">
      <c r="C461" s="52"/>
      <c r="H461" s="42"/>
      <c r="K461" s="44"/>
      <c r="T461" s="46"/>
      <c r="AA461" s="42"/>
      <c r="AF461" s="44"/>
      <c r="AG461" s="47"/>
      <c r="AJ461" s="1"/>
    </row>
    <row r="462" ht="15.75" customHeight="1">
      <c r="C462" s="52"/>
      <c r="H462" s="42"/>
      <c r="K462" s="44"/>
      <c r="T462" s="46"/>
      <c r="AA462" s="42"/>
      <c r="AF462" s="44"/>
      <c r="AG462" s="47"/>
      <c r="AJ462" s="1"/>
    </row>
    <row r="463" ht="15.75" customHeight="1">
      <c r="C463" s="52"/>
      <c r="H463" s="42"/>
      <c r="K463" s="44"/>
      <c r="T463" s="46"/>
      <c r="AA463" s="42"/>
      <c r="AF463" s="44"/>
      <c r="AG463" s="47"/>
      <c r="AJ463" s="1"/>
    </row>
    <row r="464" ht="15.75" customHeight="1">
      <c r="C464" s="52"/>
      <c r="H464" s="42"/>
      <c r="K464" s="44"/>
      <c r="T464" s="46"/>
      <c r="AA464" s="42"/>
      <c r="AF464" s="44"/>
      <c r="AG464" s="47"/>
      <c r="AJ464" s="1"/>
    </row>
    <row r="465" ht="15.75" customHeight="1">
      <c r="C465" s="52"/>
      <c r="H465" s="42"/>
      <c r="K465" s="44"/>
      <c r="T465" s="46"/>
      <c r="AA465" s="42"/>
      <c r="AF465" s="44"/>
      <c r="AG465" s="47"/>
      <c r="AJ465" s="1"/>
    </row>
    <row r="466" ht="15.75" customHeight="1">
      <c r="C466" s="52"/>
      <c r="H466" s="42"/>
      <c r="K466" s="44"/>
      <c r="T466" s="46"/>
      <c r="AA466" s="42"/>
      <c r="AF466" s="44"/>
      <c r="AG466" s="47"/>
      <c r="AJ466" s="1"/>
    </row>
    <row r="467" ht="15.75" customHeight="1">
      <c r="C467" s="52"/>
      <c r="H467" s="42"/>
      <c r="K467" s="44"/>
      <c r="T467" s="46"/>
      <c r="AA467" s="42"/>
      <c r="AF467" s="44"/>
      <c r="AG467" s="47"/>
      <c r="AJ467" s="1"/>
    </row>
    <row r="468" ht="15.75" customHeight="1">
      <c r="C468" s="52"/>
      <c r="H468" s="42"/>
      <c r="K468" s="44"/>
      <c r="T468" s="46"/>
      <c r="AA468" s="42"/>
      <c r="AF468" s="44"/>
      <c r="AG468" s="47"/>
      <c r="AJ468" s="1"/>
    </row>
    <row r="469" ht="15.75" customHeight="1">
      <c r="C469" s="52"/>
      <c r="H469" s="42"/>
      <c r="K469" s="44"/>
      <c r="T469" s="46"/>
      <c r="AA469" s="42"/>
      <c r="AF469" s="44"/>
      <c r="AG469" s="47"/>
      <c r="AJ469" s="1"/>
    </row>
    <row r="470" ht="15.75" customHeight="1">
      <c r="C470" s="52"/>
      <c r="H470" s="42"/>
      <c r="K470" s="44"/>
      <c r="T470" s="46"/>
      <c r="AA470" s="42"/>
      <c r="AF470" s="44"/>
      <c r="AG470" s="47"/>
      <c r="AJ470" s="1"/>
    </row>
    <row r="471" ht="15.75" customHeight="1">
      <c r="C471" s="52"/>
      <c r="H471" s="42"/>
      <c r="K471" s="44"/>
      <c r="T471" s="46"/>
      <c r="AA471" s="42"/>
      <c r="AF471" s="44"/>
      <c r="AG471" s="47"/>
      <c r="AJ471" s="1"/>
    </row>
    <row r="472" ht="15.75" customHeight="1">
      <c r="C472" s="52"/>
      <c r="H472" s="42"/>
      <c r="K472" s="44"/>
      <c r="T472" s="46"/>
      <c r="AA472" s="42"/>
      <c r="AF472" s="44"/>
      <c r="AG472" s="47"/>
      <c r="AJ472" s="1"/>
    </row>
    <row r="473" ht="15.75" customHeight="1">
      <c r="C473" s="52"/>
      <c r="H473" s="42"/>
      <c r="K473" s="44"/>
      <c r="T473" s="46"/>
      <c r="AA473" s="42"/>
      <c r="AF473" s="44"/>
      <c r="AG473" s="47"/>
      <c r="AJ473" s="1"/>
    </row>
    <row r="474" ht="15.75" customHeight="1">
      <c r="C474" s="52"/>
      <c r="H474" s="42"/>
      <c r="K474" s="44"/>
      <c r="T474" s="46"/>
      <c r="AA474" s="42"/>
      <c r="AF474" s="44"/>
      <c r="AG474" s="47"/>
      <c r="AJ474" s="1"/>
    </row>
    <row r="475" ht="15.75" customHeight="1">
      <c r="C475" s="52"/>
      <c r="H475" s="42"/>
      <c r="K475" s="44"/>
      <c r="T475" s="46"/>
      <c r="AA475" s="42"/>
      <c r="AF475" s="44"/>
      <c r="AG475" s="47"/>
      <c r="AJ475" s="1"/>
    </row>
    <row r="476" ht="15.75" customHeight="1">
      <c r="C476" s="52"/>
      <c r="H476" s="42"/>
      <c r="K476" s="44"/>
      <c r="T476" s="46"/>
      <c r="AA476" s="42"/>
      <c r="AF476" s="44"/>
      <c r="AG476" s="47"/>
      <c r="AJ476" s="1"/>
    </row>
    <row r="477" ht="15.75" customHeight="1">
      <c r="C477" s="52"/>
      <c r="H477" s="42"/>
      <c r="K477" s="44"/>
      <c r="T477" s="46"/>
      <c r="AA477" s="42"/>
      <c r="AF477" s="44"/>
      <c r="AG477" s="47"/>
      <c r="AJ477" s="1"/>
    </row>
    <row r="478" ht="15.75" customHeight="1">
      <c r="C478" s="52"/>
      <c r="H478" s="42"/>
      <c r="K478" s="44"/>
      <c r="T478" s="46"/>
      <c r="AA478" s="42"/>
      <c r="AF478" s="44"/>
      <c r="AG478" s="47"/>
      <c r="AJ478" s="1"/>
    </row>
    <row r="479" ht="15.75" customHeight="1">
      <c r="C479" s="52"/>
      <c r="H479" s="42"/>
      <c r="K479" s="44"/>
      <c r="T479" s="46"/>
      <c r="AA479" s="42"/>
      <c r="AF479" s="44"/>
      <c r="AG479" s="47"/>
      <c r="AJ479" s="1"/>
    </row>
    <row r="480" ht="15.75" customHeight="1">
      <c r="C480" s="52"/>
      <c r="H480" s="42"/>
      <c r="K480" s="44"/>
      <c r="T480" s="46"/>
      <c r="AA480" s="42"/>
      <c r="AF480" s="44"/>
      <c r="AG480" s="47"/>
      <c r="AJ480" s="1"/>
    </row>
    <row r="481" ht="15.75" customHeight="1">
      <c r="C481" s="52"/>
      <c r="H481" s="42"/>
      <c r="K481" s="44"/>
      <c r="T481" s="46"/>
      <c r="AA481" s="42"/>
      <c r="AF481" s="44"/>
      <c r="AG481" s="47"/>
      <c r="AJ481" s="1"/>
    </row>
    <row r="482" ht="15.75" customHeight="1">
      <c r="C482" s="52"/>
      <c r="H482" s="42"/>
      <c r="K482" s="44"/>
      <c r="T482" s="46"/>
      <c r="AA482" s="42"/>
      <c r="AF482" s="44"/>
      <c r="AG482" s="47"/>
      <c r="AJ482" s="1"/>
    </row>
    <row r="483" ht="15.75" customHeight="1">
      <c r="C483" s="52"/>
      <c r="H483" s="42"/>
      <c r="K483" s="44"/>
      <c r="T483" s="46"/>
      <c r="AA483" s="42"/>
      <c r="AF483" s="44"/>
      <c r="AG483" s="47"/>
      <c r="AJ483" s="1"/>
    </row>
    <row r="484" ht="15.75" customHeight="1">
      <c r="C484" s="52"/>
      <c r="H484" s="42"/>
      <c r="K484" s="44"/>
      <c r="T484" s="46"/>
      <c r="AA484" s="42"/>
      <c r="AF484" s="44"/>
      <c r="AG484" s="47"/>
      <c r="AJ484" s="1"/>
    </row>
    <row r="485" ht="15.75" customHeight="1">
      <c r="C485" s="52"/>
      <c r="H485" s="42"/>
      <c r="K485" s="44"/>
      <c r="T485" s="46"/>
      <c r="AA485" s="42"/>
      <c r="AF485" s="44"/>
      <c r="AG485" s="47"/>
      <c r="AJ485" s="1"/>
    </row>
    <row r="486" ht="15.75" customHeight="1">
      <c r="C486" s="52"/>
      <c r="H486" s="42"/>
      <c r="K486" s="44"/>
      <c r="T486" s="46"/>
      <c r="AA486" s="42"/>
      <c r="AF486" s="44"/>
      <c r="AG486" s="47"/>
      <c r="AJ486" s="1"/>
    </row>
    <row r="487" ht="15.75" customHeight="1">
      <c r="C487" s="52"/>
      <c r="H487" s="42"/>
      <c r="K487" s="44"/>
      <c r="T487" s="46"/>
      <c r="AA487" s="42"/>
      <c r="AF487" s="44"/>
      <c r="AG487" s="47"/>
      <c r="AJ487" s="1"/>
    </row>
    <row r="488" ht="15.75" customHeight="1">
      <c r="C488" s="52"/>
      <c r="H488" s="42"/>
      <c r="K488" s="44"/>
      <c r="T488" s="46"/>
      <c r="AA488" s="42"/>
      <c r="AF488" s="44"/>
      <c r="AG488" s="47"/>
      <c r="AJ488" s="1"/>
    </row>
    <row r="489" ht="15.75" customHeight="1">
      <c r="C489" s="52"/>
      <c r="H489" s="42"/>
      <c r="K489" s="44"/>
      <c r="T489" s="46"/>
      <c r="AA489" s="42"/>
      <c r="AF489" s="44"/>
      <c r="AG489" s="47"/>
      <c r="AJ489" s="1"/>
    </row>
    <row r="490" ht="15.75" customHeight="1">
      <c r="C490" s="52"/>
      <c r="H490" s="42"/>
      <c r="K490" s="44"/>
      <c r="T490" s="46"/>
      <c r="AA490" s="42"/>
      <c r="AF490" s="44"/>
      <c r="AG490" s="47"/>
      <c r="AJ490" s="1"/>
    </row>
    <row r="491" ht="15.75" customHeight="1">
      <c r="C491" s="52"/>
      <c r="H491" s="42"/>
      <c r="K491" s="44"/>
      <c r="T491" s="46"/>
      <c r="AA491" s="42"/>
      <c r="AF491" s="44"/>
      <c r="AG491" s="47"/>
      <c r="AJ491" s="1"/>
    </row>
    <row r="492" ht="15.75" customHeight="1">
      <c r="C492" s="52"/>
      <c r="H492" s="42"/>
      <c r="K492" s="44"/>
      <c r="T492" s="46"/>
      <c r="AA492" s="42"/>
      <c r="AF492" s="44"/>
      <c r="AG492" s="47"/>
      <c r="AJ492" s="1"/>
    </row>
    <row r="493" ht="15.75" customHeight="1">
      <c r="C493" s="52"/>
      <c r="H493" s="42"/>
      <c r="K493" s="44"/>
      <c r="T493" s="46"/>
      <c r="AA493" s="42"/>
      <c r="AF493" s="44"/>
      <c r="AG493" s="47"/>
      <c r="AJ493" s="1"/>
    </row>
    <row r="494" ht="15.75" customHeight="1">
      <c r="C494" s="52"/>
      <c r="H494" s="42"/>
      <c r="K494" s="44"/>
      <c r="T494" s="46"/>
      <c r="AA494" s="42"/>
      <c r="AF494" s="44"/>
      <c r="AG494" s="47"/>
      <c r="AJ494" s="1"/>
    </row>
    <row r="495" ht="15.75" customHeight="1">
      <c r="C495" s="52"/>
      <c r="H495" s="42"/>
      <c r="K495" s="44"/>
      <c r="T495" s="46"/>
      <c r="AA495" s="42"/>
      <c r="AF495" s="44"/>
      <c r="AG495" s="47"/>
      <c r="AJ495" s="1"/>
    </row>
    <row r="496" ht="15.75" customHeight="1">
      <c r="C496" s="52"/>
      <c r="H496" s="42"/>
      <c r="K496" s="44"/>
      <c r="T496" s="46"/>
      <c r="AA496" s="42"/>
      <c r="AF496" s="44"/>
      <c r="AG496" s="47"/>
      <c r="AJ496" s="1"/>
    </row>
    <row r="497" ht="15.75" customHeight="1">
      <c r="C497" s="52"/>
      <c r="H497" s="42"/>
      <c r="K497" s="44"/>
      <c r="T497" s="46"/>
      <c r="AA497" s="42"/>
      <c r="AF497" s="44"/>
      <c r="AG497" s="47"/>
      <c r="AJ497" s="1"/>
    </row>
    <row r="498" ht="15.75" customHeight="1">
      <c r="C498" s="52"/>
      <c r="H498" s="42"/>
      <c r="K498" s="44"/>
      <c r="T498" s="46"/>
      <c r="AA498" s="42"/>
      <c r="AF498" s="44"/>
      <c r="AG498" s="47"/>
      <c r="AJ498" s="1"/>
    </row>
    <row r="499" ht="15.75" customHeight="1">
      <c r="C499" s="52"/>
      <c r="H499" s="42"/>
      <c r="K499" s="44"/>
      <c r="T499" s="46"/>
      <c r="AA499" s="42"/>
      <c r="AF499" s="44"/>
      <c r="AG499" s="47"/>
      <c r="AJ499" s="1"/>
    </row>
    <row r="500" ht="15.75" customHeight="1">
      <c r="C500" s="52"/>
      <c r="H500" s="42"/>
      <c r="K500" s="44"/>
      <c r="T500" s="46"/>
      <c r="AA500" s="42"/>
      <c r="AF500" s="44"/>
      <c r="AG500" s="47"/>
      <c r="AJ500" s="1"/>
    </row>
    <row r="501" ht="15.75" customHeight="1">
      <c r="C501" s="52"/>
      <c r="H501" s="42"/>
      <c r="K501" s="44"/>
      <c r="T501" s="46"/>
      <c r="AA501" s="42"/>
      <c r="AF501" s="44"/>
      <c r="AG501" s="47"/>
      <c r="AJ501" s="1"/>
    </row>
    <row r="502" ht="15.75" customHeight="1">
      <c r="C502" s="52"/>
      <c r="H502" s="42"/>
      <c r="K502" s="44"/>
      <c r="T502" s="46"/>
      <c r="AA502" s="42"/>
      <c r="AF502" s="44"/>
      <c r="AG502" s="47"/>
      <c r="AJ502" s="1"/>
    </row>
    <row r="503" ht="15.75" customHeight="1">
      <c r="C503" s="52"/>
      <c r="H503" s="42"/>
      <c r="K503" s="44"/>
      <c r="T503" s="46"/>
      <c r="AA503" s="42"/>
      <c r="AF503" s="44"/>
      <c r="AG503" s="47"/>
      <c r="AJ503" s="1"/>
    </row>
    <row r="504" ht="15.75" customHeight="1">
      <c r="C504" s="52"/>
      <c r="H504" s="42"/>
      <c r="K504" s="44"/>
      <c r="T504" s="46"/>
      <c r="AA504" s="42"/>
      <c r="AF504" s="44"/>
      <c r="AG504" s="47"/>
      <c r="AJ504" s="1"/>
    </row>
    <row r="505" ht="15.75" customHeight="1">
      <c r="C505" s="52"/>
      <c r="H505" s="42"/>
      <c r="K505" s="44"/>
      <c r="T505" s="46"/>
      <c r="AA505" s="42"/>
      <c r="AF505" s="44"/>
      <c r="AG505" s="47"/>
      <c r="AJ505" s="1"/>
    </row>
    <row r="506" ht="15.75" customHeight="1">
      <c r="C506" s="52"/>
      <c r="H506" s="42"/>
      <c r="K506" s="44"/>
      <c r="T506" s="46"/>
      <c r="AA506" s="42"/>
      <c r="AF506" s="44"/>
      <c r="AG506" s="47"/>
      <c r="AJ506" s="1"/>
    </row>
    <row r="507" ht="15.75" customHeight="1">
      <c r="C507" s="52"/>
      <c r="H507" s="42"/>
      <c r="K507" s="44"/>
      <c r="T507" s="46"/>
      <c r="AA507" s="42"/>
      <c r="AF507" s="44"/>
      <c r="AG507" s="47"/>
      <c r="AJ507" s="1"/>
    </row>
    <row r="508" ht="15.75" customHeight="1">
      <c r="C508" s="52"/>
      <c r="H508" s="42"/>
      <c r="K508" s="44"/>
      <c r="T508" s="46"/>
      <c r="AA508" s="42"/>
      <c r="AF508" s="44"/>
      <c r="AG508" s="47"/>
      <c r="AJ508" s="1"/>
    </row>
    <row r="509" ht="15.75" customHeight="1">
      <c r="C509" s="52"/>
      <c r="H509" s="42"/>
      <c r="K509" s="44"/>
      <c r="T509" s="46"/>
      <c r="AA509" s="42"/>
      <c r="AF509" s="44"/>
      <c r="AG509" s="47"/>
      <c r="AJ509" s="1"/>
    </row>
    <row r="510" ht="15.75" customHeight="1">
      <c r="C510" s="52"/>
      <c r="H510" s="42"/>
      <c r="K510" s="44"/>
      <c r="T510" s="46"/>
      <c r="AA510" s="42"/>
      <c r="AF510" s="44"/>
      <c r="AG510" s="47"/>
      <c r="AJ510" s="1"/>
    </row>
    <row r="511" ht="15.75" customHeight="1">
      <c r="C511" s="52"/>
      <c r="H511" s="42"/>
      <c r="K511" s="44"/>
      <c r="T511" s="46"/>
      <c r="AA511" s="42"/>
      <c r="AF511" s="44"/>
      <c r="AG511" s="47"/>
      <c r="AJ511" s="1"/>
    </row>
    <row r="512" ht="15.75" customHeight="1">
      <c r="C512" s="52"/>
      <c r="H512" s="42"/>
      <c r="K512" s="44"/>
      <c r="T512" s="46"/>
      <c r="AA512" s="42"/>
      <c r="AF512" s="44"/>
      <c r="AG512" s="47"/>
      <c r="AJ512" s="1"/>
    </row>
    <row r="513" ht="15.75" customHeight="1">
      <c r="C513" s="52"/>
      <c r="H513" s="42"/>
      <c r="K513" s="44"/>
      <c r="T513" s="46"/>
      <c r="AA513" s="42"/>
      <c r="AF513" s="44"/>
      <c r="AG513" s="47"/>
      <c r="AJ513" s="1"/>
    </row>
    <row r="514" ht="15.75" customHeight="1">
      <c r="C514" s="52"/>
      <c r="H514" s="42"/>
      <c r="K514" s="44"/>
      <c r="T514" s="46"/>
      <c r="AA514" s="42"/>
      <c r="AF514" s="44"/>
      <c r="AG514" s="47"/>
      <c r="AJ514" s="1"/>
    </row>
    <row r="515" ht="15.75" customHeight="1">
      <c r="C515" s="52"/>
      <c r="H515" s="42"/>
      <c r="K515" s="44"/>
      <c r="T515" s="46"/>
      <c r="AA515" s="42"/>
      <c r="AF515" s="44"/>
      <c r="AG515" s="47"/>
      <c r="AJ515" s="1"/>
    </row>
    <row r="516" ht="15.75" customHeight="1">
      <c r="C516" s="52"/>
      <c r="H516" s="42"/>
      <c r="K516" s="44"/>
      <c r="T516" s="46"/>
      <c r="AA516" s="42"/>
      <c r="AF516" s="44"/>
      <c r="AG516" s="47"/>
      <c r="AJ516" s="1"/>
    </row>
    <row r="517" ht="15.75" customHeight="1">
      <c r="C517" s="52"/>
      <c r="H517" s="42"/>
      <c r="K517" s="44"/>
      <c r="T517" s="46"/>
      <c r="AA517" s="42"/>
      <c r="AF517" s="44"/>
      <c r="AG517" s="47"/>
      <c r="AJ517" s="1"/>
    </row>
    <row r="518" ht="15.75" customHeight="1">
      <c r="C518" s="52"/>
      <c r="H518" s="42"/>
      <c r="K518" s="44"/>
      <c r="T518" s="46"/>
      <c r="AA518" s="42"/>
      <c r="AF518" s="44"/>
      <c r="AG518" s="47"/>
      <c r="AJ518" s="1"/>
    </row>
    <row r="519" ht="15.75" customHeight="1">
      <c r="C519" s="52"/>
      <c r="H519" s="42"/>
      <c r="K519" s="44"/>
      <c r="T519" s="46"/>
      <c r="AA519" s="42"/>
      <c r="AF519" s="44"/>
      <c r="AG519" s="47"/>
      <c r="AJ519" s="1"/>
    </row>
    <row r="520" ht="15.75" customHeight="1">
      <c r="C520" s="52"/>
      <c r="H520" s="42"/>
      <c r="K520" s="44"/>
      <c r="T520" s="46"/>
      <c r="AA520" s="42"/>
      <c r="AF520" s="44"/>
      <c r="AG520" s="47"/>
      <c r="AJ520" s="1"/>
    </row>
    <row r="521" ht="15.75" customHeight="1">
      <c r="C521" s="52"/>
      <c r="H521" s="42"/>
      <c r="K521" s="44"/>
      <c r="T521" s="46"/>
      <c r="AA521" s="42"/>
      <c r="AF521" s="44"/>
      <c r="AG521" s="47"/>
      <c r="AJ521" s="1"/>
    </row>
    <row r="522" ht="15.75" customHeight="1">
      <c r="C522" s="52"/>
      <c r="H522" s="42"/>
      <c r="K522" s="44"/>
      <c r="T522" s="46"/>
      <c r="AA522" s="42"/>
      <c r="AF522" s="44"/>
      <c r="AG522" s="47"/>
      <c r="AJ522" s="1"/>
    </row>
    <row r="523" ht="15.75" customHeight="1">
      <c r="C523" s="52"/>
      <c r="H523" s="42"/>
      <c r="K523" s="44"/>
      <c r="T523" s="46"/>
      <c r="AA523" s="42"/>
      <c r="AF523" s="44"/>
      <c r="AG523" s="47"/>
      <c r="AJ523" s="1"/>
    </row>
    <row r="524" ht="15.75" customHeight="1">
      <c r="C524" s="52"/>
      <c r="H524" s="42"/>
      <c r="K524" s="44"/>
      <c r="T524" s="46"/>
      <c r="AA524" s="42"/>
      <c r="AF524" s="44"/>
      <c r="AG524" s="47"/>
      <c r="AJ524" s="1"/>
    </row>
    <row r="525" ht="15.75" customHeight="1">
      <c r="C525" s="52"/>
      <c r="H525" s="42"/>
      <c r="K525" s="44"/>
      <c r="T525" s="46"/>
      <c r="AA525" s="42"/>
      <c r="AF525" s="44"/>
      <c r="AG525" s="47"/>
      <c r="AJ525" s="1"/>
    </row>
    <row r="526" ht="15.75" customHeight="1">
      <c r="C526" s="52"/>
      <c r="H526" s="42"/>
      <c r="K526" s="44"/>
      <c r="T526" s="46"/>
      <c r="AA526" s="42"/>
      <c r="AF526" s="44"/>
      <c r="AG526" s="47"/>
      <c r="AJ526" s="1"/>
    </row>
    <row r="527" ht="15.75" customHeight="1">
      <c r="C527" s="52"/>
      <c r="H527" s="42"/>
      <c r="K527" s="44"/>
      <c r="T527" s="46"/>
      <c r="AA527" s="42"/>
      <c r="AF527" s="44"/>
      <c r="AG527" s="47"/>
      <c r="AJ527" s="1"/>
    </row>
    <row r="528" ht="15.75" customHeight="1">
      <c r="C528" s="52"/>
      <c r="H528" s="42"/>
      <c r="K528" s="44"/>
      <c r="T528" s="46"/>
      <c r="AA528" s="42"/>
      <c r="AF528" s="44"/>
      <c r="AG528" s="47"/>
      <c r="AJ528" s="1"/>
    </row>
    <row r="529" ht="15.75" customHeight="1">
      <c r="C529" s="52"/>
      <c r="H529" s="42"/>
      <c r="K529" s="44"/>
      <c r="T529" s="46"/>
      <c r="AA529" s="42"/>
      <c r="AF529" s="44"/>
      <c r="AG529" s="47"/>
      <c r="AJ529" s="1"/>
    </row>
    <row r="530" ht="15.75" customHeight="1">
      <c r="C530" s="52"/>
      <c r="H530" s="42"/>
      <c r="K530" s="44"/>
      <c r="T530" s="46"/>
      <c r="AA530" s="42"/>
      <c r="AF530" s="44"/>
      <c r="AG530" s="47"/>
      <c r="AJ530" s="1"/>
    </row>
    <row r="531" ht="15.75" customHeight="1">
      <c r="C531" s="52"/>
      <c r="H531" s="42"/>
      <c r="K531" s="44"/>
      <c r="T531" s="46"/>
      <c r="AA531" s="42"/>
      <c r="AF531" s="44"/>
      <c r="AG531" s="47"/>
      <c r="AJ531" s="1"/>
    </row>
    <row r="532" ht="15.75" customHeight="1">
      <c r="C532" s="52"/>
      <c r="H532" s="42"/>
      <c r="K532" s="44"/>
      <c r="T532" s="46"/>
      <c r="AA532" s="42"/>
      <c r="AF532" s="44"/>
      <c r="AG532" s="47"/>
      <c r="AJ532" s="1"/>
    </row>
    <row r="533" ht="15.75" customHeight="1">
      <c r="C533" s="52"/>
      <c r="H533" s="42"/>
      <c r="K533" s="44"/>
      <c r="T533" s="46"/>
      <c r="AA533" s="42"/>
      <c r="AF533" s="44"/>
      <c r="AG533" s="47"/>
      <c r="AJ533" s="1"/>
    </row>
    <row r="534" ht="15.75" customHeight="1">
      <c r="C534" s="52"/>
      <c r="H534" s="42"/>
      <c r="K534" s="44"/>
      <c r="T534" s="46"/>
      <c r="AA534" s="42"/>
      <c r="AF534" s="44"/>
      <c r="AG534" s="47"/>
      <c r="AJ534" s="1"/>
    </row>
    <row r="535" ht="15.75" customHeight="1">
      <c r="C535" s="52"/>
      <c r="H535" s="42"/>
      <c r="K535" s="44"/>
      <c r="T535" s="46"/>
      <c r="AA535" s="42"/>
      <c r="AF535" s="44"/>
      <c r="AG535" s="47"/>
      <c r="AJ535" s="1"/>
    </row>
    <row r="536" ht="15.75" customHeight="1">
      <c r="C536" s="52"/>
      <c r="H536" s="42"/>
      <c r="K536" s="44"/>
      <c r="T536" s="46"/>
      <c r="AA536" s="42"/>
      <c r="AF536" s="44"/>
      <c r="AG536" s="47"/>
      <c r="AJ536" s="1"/>
    </row>
    <row r="537" ht="15.75" customHeight="1">
      <c r="C537" s="52"/>
      <c r="H537" s="42"/>
      <c r="K537" s="44"/>
      <c r="T537" s="46"/>
      <c r="AA537" s="42"/>
      <c r="AF537" s="44"/>
      <c r="AG537" s="47"/>
      <c r="AJ537" s="1"/>
    </row>
    <row r="538" ht="15.75" customHeight="1">
      <c r="C538" s="52"/>
      <c r="H538" s="42"/>
      <c r="K538" s="44"/>
      <c r="T538" s="46"/>
      <c r="AA538" s="42"/>
      <c r="AF538" s="44"/>
      <c r="AG538" s="47"/>
      <c r="AJ538" s="1"/>
    </row>
    <row r="539" ht="15.75" customHeight="1">
      <c r="C539" s="52"/>
      <c r="H539" s="42"/>
      <c r="K539" s="44"/>
      <c r="T539" s="46"/>
      <c r="AA539" s="42"/>
      <c r="AF539" s="44"/>
      <c r="AG539" s="47"/>
      <c r="AJ539" s="1"/>
    </row>
    <row r="540" ht="15.75" customHeight="1">
      <c r="C540" s="52"/>
      <c r="H540" s="42"/>
      <c r="K540" s="44"/>
      <c r="T540" s="46"/>
      <c r="AA540" s="42"/>
      <c r="AF540" s="44"/>
      <c r="AG540" s="47"/>
      <c r="AJ540" s="1"/>
    </row>
    <row r="541" ht="15.75" customHeight="1">
      <c r="C541" s="52"/>
      <c r="H541" s="42"/>
      <c r="K541" s="44"/>
      <c r="T541" s="46"/>
      <c r="AA541" s="42"/>
      <c r="AF541" s="44"/>
      <c r="AG541" s="47"/>
      <c r="AJ541" s="1"/>
    </row>
    <row r="542" ht="15.75" customHeight="1">
      <c r="C542" s="52"/>
      <c r="H542" s="42"/>
      <c r="K542" s="44"/>
      <c r="T542" s="46"/>
      <c r="AA542" s="42"/>
      <c r="AF542" s="44"/>
      <c r="AG542" s="47"/>
      <c r="AJ542" s="1"/>
    </row>
    <row r="543" ht="15.75" customHeight="1">
      <c r="C543" s="52"/>
      <c r="H543" s="42"/>
      <c r="K543" s="44"/>
      <c r="T543" s="46"/>
      <c r="AA543" s="42"/>
      <c r="AF543" s="44"/>
      <c r="AG543" s="47"/>
      <c r="AJ543" s="1"/>
    </row>
    <row r="544" ht="15.75" customHeight="1">
      <c r="C544" s="52"/>
      <c r="H544" s="42"/>
      <c r="K544" s="44"/>
      <c r="T544" s="46"/>
      <c r="AA544" s="42"/>
      <c r="AF544" s="44"/>
      <c r="AG544" s="47"/>
      <c r="AJ544" s="1"/>
    </row>
    <row r="545" ht="15.75" customHeight="1">
      <c r="C545" s="52"/>
      <c r="H545" s="42"/>
      <c r="K545" s="44"/>
      <c r="T545" s="46"/>
      <c r="AA545" s="42"/>
      <c r="AF545" s="44"/>
      <c r="AG545" s="47"/>
      <c r="AJ545" s="1"/>
    </row>
    <row r="546" ht="15.75" customHeight="1">
      <c r="C546" s="52"/>
      <c r="H546" s="42"/>
      <c r="K546" s="44"/>
      <c r="T546" s="46"/>
      <c r="AA546" s="42"/>
      <c r="AF546" s="44"/>
      <c r="AG546" s="47"/>
      <c r="AJ546" s="1"/>
    </row>
    <row r="547" ht="15.75" customHeight="1">
      <c r="C547" s="52"/>
      <c r="H547" s="42"/>
      <c r="K547" s="44"/>
      <c r="T547" s="46"/>
      <c r="AA547" s="42"/>
      <c r="AF547" s="44"/>
      <c r="AG547" s="47"/>
      <c r="AJ547" s="1"/>
    </row>
    <row r="548" ht="15.75" customHeight="1">
      <c r="C548" s="52"/>
      <c r="H548" s="42"/>
      <c r="K548" s="44"/>
      <c r="T548" s="46"/>
      <c r="AA548" s="42"/>
      <c r="AF548" s="44"/>
      <c r="AG548" s="47"/>
      <c r="AJ548" s="1"/>
    </row>
    <row r="549" ht="15.75" customHeight="1">
      <c r="C549" s="52"/>
      <c r="H549" s="42"/>
      <c r="K549" s="44"/>
      <c r="T549" s="46"/>
      <c r="AA549" s="42"/>
      <c r="AF549" s="44"/>
      <c r="AG549" s="47"/>
      <c r="AJ549" s="1"/>
    </row>
    <row r="550" ht="15.75" customHeight="1">
      <c r="C550" s="52"/>
      <c r="H550" s="42"/>
      <c r="K550" s="44"/>
      <c r="T550" s="46"/>
      <c r="AA550" s="42"/>
      <c r="AF550" s="44"/>
      <c r="AG550" s="47"/>
      <c r="AJ550" s="1"/>
    </row>
    <row r="551" ht="15.75" customHeight="1">
      <c r="C551" s="52"/>
      <c r="H551" s="42"/>
      <c r="K551" s="44"/>
      <c r="T551" s="46"/>
      <c r="AA551" s="42"/>
      <c r="AF551" s="44"/>
      <c r="AG551" s="47"/>
      <c r="AJ551" s="1"/>
    </row>
    <row r="552" ht="15.75" customHeight="1">
      <c r="C552" s="52"/>
      <c r="H552" s="42"/>
      <c r="K552" s="44"/>
      <c r="T552" s="46"/>
      <c r="AA552" s="42"/>
      <c r="AF552" s="44"/>
      <c r="AG552" s="47"/>
      <c r="AJ552" s="1"/>
    </row>
    <row r="553" ht="15.75" customHeight="1">
      <c r="C553" s="52"/>
      <c r="H553" s="42"/>
      <c r="K553" s="44"/>
      <c r="T553" s="46"/>
      <c r="AA553" s="42"/>
      <c r="AF553" s="44"/>
      <c r="AG553" s="47"/>
      <c r="AJ553" s="1"/>
    </row>
    <row r="554" ht="15.75" customHeight="1">
      <c r="C554" s="52"/>
      <c r="H554" s="42"/>
      <c r="K554" s="44"/>
      <c r="T554" s="46"/>
      <c r="AA554" s="42"/>
      <c r="AF554" s="44"/>
      <c r="AG554" s="47"/>
      <c r="AJ554" s="1"/>
    </row>
    <row r="555" ht="15.75" customHeight="1">
      <c r="C555" s="52"/>
      <c r="H555" s="42"/>
      <c r="K555" s="44"/>
      <c r="T555" s="46"/>
      <c r="AA555" s="42"/>
      <c r="AF555" s="44"/>
      <c r="AG555" s="47"/>
      <c r="AJ555" s="1"/>
    </row>
    <row r="556" ht="15.75" customHeight="1">
      <c r="C556" s="52"/>
      <c r="H556" s="42"/>
      <c r="K556" s="44"/>
      <c r="T556" s="46"/>
      <c r="AA556" s="42"/>
      <c r="AF556" s="44"/>
      <c r="AG556" s="47"/>
      <c r="AJ556" s="1"/>
    </row>
    <row r="557" ht="15.75" customHeight="1">
      <c r="C557" s="52"/>
      <c r="H557" s="42"/>
      <c r="K557" s="44"/>
      <c r="T557" s="46"/>
      <c r="AA557" s="42"/>
      <c r="AF557" s="44"/>
      <c r="AG557" s="47"/>
      <c r="AJ557" s="1"/>
    </row>
    <row r="558" ht="15.75" customHeight="1">
      <c r="C558" s="52"/>
      <c r="H558" s="42"/>
      <c r="K558" s="44"/>
      <c r="T558" s="46"/>
      <c r="AA558" s="42"/>
      <c r="AF558" s="44"/>
      <c r="AG558" s="47"/>
      <c r="AJ558" s="1"/>
    </row>
    <row r="559" ht="15.75" customHeight="1">
      <c r="C559" s="52"/>
      <c r="H559" s="42"/>
      <c r="K559" s="44"/>
      <c r="T559" s="46"/>
      <c r="AA559" s="42"/>
      <c r="AF559" s="44"/>
      <c r="AG559" s="47"/>
      <c r="AJ559" s="1"/>
    </row>
    <row r="560" ht="15.75" customHeight="1">
      <c r="C560" s="52"/>
      <c r="H560" s="42"/>
      <c r="K560" s="44"/>
      <c r="T560" s="46"/>
      <c r="AA560" s="42"/>
      <c r="AF560" s="44"/>
      <c r="AG560" s="47"/>
      <c r="AJ560" s="1"/>
    </row>
    <row r="561" ht="15.75" customHeight="1">
      <c r="C561" s="52"/>
      <c r="H561" s="42"/>
      <c r="K561" s="44"/>
      <c r="T561" s="46"/>
      <c r="AA561" s="42"/>
      <c r="AF561" s="44"/>
      <c r="AG561" s="47"/>
      <c r="AJ561" s="1"/>
    </row>
    <row r="562" ht="15.75" customHeight="1">
      <c r="C562" s="52"/>
      <c r="H562" s="42"/>
      <c r="K562" s="44"/>
      <c r="T562" s="46"/>
      <c r="AA562" s="42"/>
      <c r="AF562" s="44"/>
      <c r="AG562" s="47"/>
      <c r="AJ562" s="1"/>
    </row>
    <row r="563" ht="15.75" customHeight="1">
      <c r="C563" s="52"/>
      <c r="H563" s="42"/>
      <c r="K563" s="44"/>
      <c r="T563" s="46"/>
      <c r="AA563" s="42"/>
      <c r="AF563" s="44"/>
      <c r="AG563" s="47"/>
      <c r="AJ563" s="1"/>
    </row>
    <row r="564" ht="15.75" customHeight="1">
      <c r="C564" s="52"/>
      <c r="H564" s="42"/>
      <c r="K564" s="44"/>
      <c r="T564" s="46"/>
      <c r="AA564" s="42"/>
      <c r="AF564" s="44"/>
      <c r="AG564" s="47"/>
      <c r="AJ564" s="1"/>
    </row>
    <row r="565" ht="15.75" customHeight="1">
      <c r="C565" s="52"/>
      <c r="H565" s="42"/>
      <c r="K565" s="44"/>
      <c r="T565" s="46"/>
      <c r="AA565" s="42"/>
      <c r="AF565" s="44"/>
      <c r="AG565" s="47"/>
      <c r="AJ565" s="1"/>
    </row>
    <row r="566" ht="15.75" customHeight="1">
      <c r="C566" s="52"/>
      <c r="H566" s="42"/>
      <c r="K566" s="44"/>
      <c r="T566" s="46"/>
      <c r="AA566" s="42"/>
      <c r="AF566" s="44"/>
      <c r="AG566" s="47"/>
      <c r="AJ566" s="1"/>
    </row>
    <row r="567" ht="15.75" customHeight="1">
      <c r="C567" s="52"/>
      <c r="H567" s="42"/>
      <c r="K567" s="44"/>
      <c r="T567" s="46"/>
      <c r="AA567" s="42"/>
      <c r="AF567" s="44"/>
      <c r="AG567" s="47"/>
      <c r="AJ567" s="1"/>
    </row>
    <row r="568" ht="15.75" customHeight="1">
      <c r="C568" s="52"/>
      <c r="H568" s="42"/>
      <c r="K568" s="44"/>
      <c r="T568" s="46"/>
      <c r="AA568" s="42"/>
      <c r="AF568" s="44"/>
      <c r="AG568" s="47"/>
      <c r="AJ568" s="1"/>
    </row>
    <row r="569" ht="15.75" customHeight="1">
      <c r="C569" s="52"/>
      <c r="H569" s="42"/>
      <c r="K569" s="44"/>
      <c r="T569" s="46"/>
      <c r="AA569" s="42"/>
      <c r="AF569" s="44"/>
      <c r="AG569" s="47"/>
      <c r="AJ569" s="1"/>
    </row>
    <row r="570" ht="15.75" customHeight="1">
      <c r="C570" s="52"/>
      <c r="H570" s="42"/>
      <c r="K570" s="44"/>
      <c r="T570" s="46"/>
      <c r="AA570" s="42"/>
      <c r="AF570" s="44"/>
      <c r="AG570" s="47"/>
      <c r="AJ570" s="1"/>
    </row>
    <row r="571" ht="15.75" customHeight="1">
      <c r="C571" s="52"/>
      <c r="H571" s="42"/>
      <c r="K571" s="44"/>
      <c r="T571" s="46"/>
      <c r="AA571" s="42"/>
      <c r="AF571" s="44"/>
      <c r="AG571" s="47"/>
      <c r="AJ571" s="1"/>
    </row>
    <row r="572" ht="15.75" customHeight="1">
      <c r="C572" s="52"/>
      <c r="H572" s="42"/>
      <c r="K572" s="44"/>
      <c r="T572" s="46"/>
      <c r="AA572" s="42"/>
      <c r="AF572" s="44"/>
      <c r="AG572" s="47"/>
      <c r="AJ572" s="1"/>
    </row>
    <row r="573" ht="15.75" customHeight="1">
      <c r="C573" s="52"/>
      <c r="H573" s="42"/>
      <c r="K573" s="44"/>
      <c r="T573" s="46"/>
      <c r="AA573" s="42"/>
      <c r="AF573" s="44"/>
      <c r="AG573" s="47"/>
      <c r="AJ573" s="1"/>
    </row>
    <row r="574" ht="15.75" customHeight="1">
      <c r="C574" s="52"/>
      <c r="H574" s="42"/>
      <c r="K574" s="44"/>
      <c r="T574" s="46"/>
      <c r="AA574" s="42"/>
      <c r="AF574" s="44"/>
      <c r="AG574" s="47"/>
      <c r="AJ574" s="1"/>
    </row>
    <row r="575" ht="15.75" customHeight="1">
      <c r="C575" s="52"/>
      <c r="H575" s="42"/>
      <c r="K575" s="44"/>
      <c r="T575" s="46"/>
      <c r="AA575" s="42"/>
      <c r="AF575" s="44"/>
      <c r="AG575" s="47"/>
      <c r="AJ575" s="1"/>
    </row>
    <row r="576" ht="15.75" customHeight="1">
      <c r="C576" s="52"/>
      <c r="H576" s="42"/>
      <c r="K576" s="44"/>
      <c r="T576" s="46"/>
      <c r="AA576" s="42"/>
      <c r="AF576" s="44"/>
      <c r="AG576" s="47"/>
      <c r="AJ576" s="1"/>
    </row>
    <row r="577" ht="15.75" customHeight="1">
      <c r="C577" s="52"/>
      <c r="H577" s="42"/>
      <c r="K577" s="44"/>
      <c r="T577" s="46"/>
      <c r="AA577" s="42"/>
      <c r="AF577" s="44"/>
      <c r="AG577" s="47"/>
      <c r="AJ577" s="1"/>
    </row>
    <row r="578" ht="15.75" customHeight="1">
      <c r="C578" s="52"/>
      <c r="H578" s="42"/>
      <c r="K578" s="44"/>
      <c r="T578" s="46"/>
      <c r="AA578" s="42"/>
      <c r="AF578" s="44"/>
      <c r="AG578" s="47"/>
      <c r="AJ578" s="1"/>
    </row>
    <row r="579" ht="15.75" customHeight="1">
      <c r="C579" s="52"/>
      <c r="H579" s="42"/>
      <c r="K579" s="44"/>
      <c r="T579" s="46"/>
      <c r="AA579" s="42"/>
      <c r="AF579" s="44"/>
      <c r="AG579" s="47"/>
      <c r="AJ579" s="1"/>
    </row>
    <row r="580" ht="15.75" customHeight="1">
      <c r="C580" s="52"/>
      <c r="H580" s="42"/>
      <c r="K580" s="44"/>
      <c r="T580" s="46"/>
      <c r="AA580" s="42"/>
      <c r="AF580" s="44"/>
      <c r="AG580" s="47"/>
      <c r="AJ580" s="1"/>
    </row>
    <row r="581" ht="15.75" customHeight="1">
      <c r="C581" s="52"/>
      <c r="H581" s="42"/>
      <c r="K581" s="44"/>
      <c r="T581" s="46"/>
      <c r="AA581" s="42"/>
      <c r="AF581" s="44"/>
      <c r="AG581" s="47"/>
      <c r="AJ581" s="1"/>
    </row>
    <row r="582" ht="15.75" customHeight="1">
      <c r="C582" s="52"/>
      <c r="H582" s="42"/>
      <c r="K582" s="44"/>
      <c r="T582" s="46"/>
      <c r="AA582" s="42"/>
      <c r="AF582" s="44"/>
      <c r="AG582" s="47"/>
      <c r="AJ582" s="1"/>
    </row>
    <row r="583" ht="15.75" customHeight="1">
      <c r="C583" s="52"/>
      <c r="H583" s="42"/>
      <c r="K583" s="44"/>
      <c r="T583" s="46"/>
      <c r="AA583" s="42"/>
      <c r="AF583" s="44"/>
      <c r="AG583" s="47"/>
      <c r="AJ583" s="1"/>
    </row>
    <row r="584" ht="15.75" customHeight="1">
      <c r="C584" s="52"/>
      <c r="H584" s="42"/>
      <c r="K584" s="44"/>
      <c r="T584" s="46"/>
      <c r="AA584" s="42"/>
      <c r="AF584" s="44"/>
      <c r="AG584" s="47"/>
      <c r="AJ584" s="1"/>
    </row>
    <row r="585" ht="15.75" customHeight="1">
      <c r="C585" s="52"/>
      <c r="H585" s="42"/>
      <c r="K585" s="44"/>
      <c r="T585" s="46"/>
      <c r="AA585" s="42"/>
      <c r="AF585" s="44"/>
      <c r="AG585" s="47"/>
      <c r="AJ585" s="1"/>
    </row>
    <row r="586" ht="15.75" customHeight="1">
      <c r="C586" s="52"/>
      <c r="H586" s="42"/>
      <c r="K586" s="44"/>
      <c r="T586" s="46"/>
      <c r="AA586" s="42"/>
      <c r="AF586" s="44"/>
      <c r="AG586" s="47"/>
      <c r="AJ586" s="1"/>
    </row>
    <row r="587" ht="15.75" customHeight="1">
      <c r="C587" s="52"/>
      <c r="H587" s="42"/>
      <c r="K587" s="44"/>
      <c r="T587" s="46"/>
      <c r="AA587" s="42"/>
      <c r="AF587" s="44"/>
      <c r="AG587" s="47"/>
      <c r="AJ587" s="1"/>
    </row>
    <row r="588" ht="15.75" customHeight="1">
      <c r="C588" s="52"/>
      <c r="H588" s="42"/>
      <c r="K588" s="44"/>
      <c r="T588" s="46"/>
      <c r="AA588" s="42"/>
      <c r="AF588" s="44"/>
      <c r="AG588" s="47"/>
      <c r="AJ588" s="1"/>
    </row>
    <row r="589" ht="15.75" customHeight="1">
      <c r="C589" s="52"/>
      <c r="H589" s="42"/>
      <c r="K589" s="44"/>
      <c r="T589" s="46"/>
      <c r="AA589" s="42"/>
      <c r="AF589" s="44"/>
      <c r="AG589" s="47"/>
      <c r="AJ589" s="1"/>
    </row>
    <row r="590" ht="15.75" customHeight="1">
      <c r="C590" s="52"/>
      <c r="H590" s="42"/>
      <c r="K590" s="44"/>
      <c r="T590" s="46"/>
      <c r="AA590" s="42"/>
      <c r="AF590" s="44"/>
      <c r="AG590" s="47"/>
      <c r="AJ590" s="1"/>
    </row>
    <row r="591" ht="15.75" customHeight="1">
      <c r="C591" s="52"/>
      <c r="H591" s="42"/>
      <c r="K591" s="44"/>
      <c r="T591" s="46"/>
      <c r="AA591" s="42"/>
      <c r="AF591" s="44"/>
      <c r="AG591" s="47"/>
      <c r="AJ591" s="1"/>
    </row>
    <row r="592" ht="15.75" customHeight="1">
      <c r="C592" s="52"/>
      <c r="H592" s="42"/>
      <c r="K592" s="44"/>
      <c r="T592" s="46"/>
      <c r="AA592" s="42"/>
      <c r="AF592" s="44"/>
      <c r="AG592" s="47"/>
      <c r="AJ592" s="1"/>
    </row>
    <row r="593" ht="15.75" customHeight="1">
      <c r="C593" s="52"/>
      <c r="H593" s="42"/>
      <c r="K593" s="44"/>
      <c r="T593" s="46"/>
      <c r="AA593" s="42"/>
      <c r="AF593" s="44"/>
      <c r="AG593" s="47"/>
      <c r="AJ593" s="1"/>
    </row>
    <row r="594" ht="15.75" customHeight="1">
      <c r="C594" s="52"/>
      <c r="H594" s="42"/>
      <c r="K594" s="44"/>
      <c r="T594" s="46"/>
      <c r="AA594" s="42"/>
      <c r="AF594" s="44"/>
      <c r="AG594" s="47"/>
      <c r="AJ594" s="1"/>
    </row>
    <row r="595" ht="15.75" customHeight="1">
      <c r="C595" s="52"/>
      <c r="H595" s="42"/>
      <c r="K595" s="44"/>
      <c r="T595" s="46"/>
      <c r="AA595" s="42"/>
      <c r="AF595" s="44"/>
      <c r="AG595" s="47"/>
      <c r="AJ595" s="1"/>
    </row>
    <row r="596" ht="15.75" customHeight="1">
      <c r="C596" s="52"/>
      <c r="H596" s="42"/>
      <c r="K596" s="44"/>
      <c r="T596" s="46"/>
      <c r="AA596" s="42"/>
      <c r="AF596" s="44"/>
      <c r="AG596" s="47"/>
      <c r="AJ596" s="1"/>
    </row>
    <row r="597" ht="15.75" customHeight="1">
      <c r="C597" s="52"/>
      <c r="H597" s="42"/>
      <c r="K597" s="44"/>
      <c r="T597" s="46"/>
      <c r="AA597" s="42"/>
      <c r="AF597" s="44"/>
      <c r="AG597" s="47"/>
      <c r="AJ597" s="1"/>
    </row>
    <row r="598" ht="15.75" customHeight="1">
      <c r="C598" s="52"/>
      <c r="H598" s="42"/>
      <c r="K598" s="44"/>
      <c r="T598" s="46"/>
      <c r="AA598" s="42"/>
      <c r="AF598" s="44"/>
      <c r="AG598" s="47"/>
      <c r="AJ598" s="1"/>
    </row>
    <row r="599" ht="15.75" customHeight="1">
      <c r="C599" s="52"/>
      <c r="H599" s="42"/>
      <c r="K599" s="44"/>
      <c r="T599" s="46"/>
      <c r="AA599" s="42"/>
      <c r="AF599" s="44"/>
      <c r="AG599" s="47"/>
      <c r="AJ599" s="1"/>
    </row>
    <row r="600" ht="15.75" customHeight="1">
      <c r="C600" s="52"/>
      <c r="H600" s="42"/>
      <c r="K600" s="44"/>
      <c r="T600" s="46"/>
      <c r="AA600" s="42"/>
      <c r="AF600" s="44"/>
      <c r="AG600" s="47"/>
      <c r="AJ600" s="1"/>
    </row>
    <row r="601" ht="15.75" customHeight="1">
      <c r="C601" s="52"/>
      <c r="H601" s="42"/>
      <c r="K601" s="44"/>
      <c r="T601" s="46"/>
      <c r="AA601" s="42"/>
      <c r="AF601" s="44"/>
      <c r="AG601" s="47"/>
      <c r="AJ601" s="1"/>
    </row>
    <row r="602" ht="15.75" customHeight="1">
      <c r="C602" s="52"/>
      <c r="H602" s="42"/>
      <c r="K602" s="44"/>
      <c r="T602" s="46"/>
      <c r="AA602" s="42"/>
      <c r="AF602" s="44"/>
      <c r="AG602" s="47"/>
      <c r="AJ602" s="1"/>
    </row>
    <row r="603" ht="15.75" customHeight="1">
      <c r="C603" s="52"/>
      <c r="H603" s="42"/>
      <c r="K603" s="44"/>
      <c r="T603" s="46"/>
      <c r="AA603" s="42"/>
      <c r="AF603" s="44"/>
      <c r="AG603" s="47"/>
      <c r="AJ603" s="1"/>
    </row>
    <row r="604" ht="15.75" customHeight="1">
      <c r="C604" s="52"/>
      <c r="H604" s="42"/>
      <c r="K604" s="44"/>
      <c r="T604" s="46"/>
      <c r="AA604" s="42"/>
      <c r="AF604" s="44"/>
      <c r="AG604" s="47"/>
      <c r="AJ604" s="1"/>
    </row>
    <row r="605" ht="15.75" customHeight="1">
      <c r="C605" s="52"/>
      <c r="H605" s="42"/>
      <c r="K605" s="44"/>
      <c r="T605" s="46"/>
      <c r="AA605" s="42"/>
      <c r="AF605" s="44"/>
      <c r="AG605" s="47"/>
      <c r="AJ605" s="1"/>
    </row>
    <row r="606" ht="15.75" customHeight="1">
      <c r="C606" s="52"/>
      <c r="H606" s="42"/>
      <c r="K606" s="44"/>
      <c r="T606" s="46"/>
      <c r="AA606" s="42"/>
      <c r="AF606" s="44"/>
      <c r="AG606" s="47"/>
      <c r="AJ606" s="1"/>
    </row>
    <row r="607" ht="15.75" customHeight="1">
      <c r="C607" s="52"/>
      <c r="H607" s="42"/>
      <c r="K607" s="44"/>
      <c r="T607" s="46"/>
      <c r="AA607" s="42"/>
      <c r="AF607" s="44"/>
      <c r="AG607" s="47"/>
      <c r="AJ607" s="1"/>
    </row>
    <row r="608" ht="15.75" customHeight="1">
      <c r="C608" s="52"/>
      <c r="H608" s="42"/>
      <c r="K608" s="44"/>
      <c r="T608" s="46"/>
      <c r="AA608" s="42"/>
      <c r="AF608" s="44"/>
      <c r="AG608" s="47"/>
      <c r="AJ608" s="1"/>
    </row>
    <row r="609" ht="15.75" customHeight="1">
      <c r="C609" s="52"/>
      <c r="H609" s="42"/>
      <c r="K609" s="44"/>
      <c r="T609" s="46"/>
      <c r="AA609" s="42"/>
      <c r="AF609" s="44"/>
      <c r="AG609" s="47"/>
      <c r="AJ609" s="1"/>
    </row>
    <row r="610" ht="15.75" customHeight="1">
      <c r="C610" s="52"/>
      <c r="H610" s="42"/>
      <c r="K610" s="44"/>
      <c r="T610" s="46"/>
      <c r="AA610" s="42"/>
      <c r="AF610" s="44"/>
      <c r="AG610" s="47"/>
      <c r="AJ610" s="1"/>
    </row>
    <row r="611" ht="15.75" customHeight="1">
      <c r="C611" s="52"/>
      <c r="H611" s="42"/>
      <c r="K611" s="44"/>
      <c r="T611" s="46"/>
      <c r="AA611" s="42"/>
      <c r="AF611" s="44"/>
      <c r="AG611" s="47"/>
      <c r="AJ611" s="1"/>
    </row>
    <row r="612" ht="15.75" customHeight="1">
      <c r="C612" s="52"/>
      <c r="H612" s="42"/>
      <c r="K612" s="44"/>
      <c r="T612" s="46"/>
      <c r="AA612" s="42"/>
      <c r="AF612" s="44"/>
      <c r="AG612" s="47"/>
      <c r="AJ612" s="1"/>
    </row>
    <row r="613" ht="15.75" customHeight="1">
      <c r="C613" s="52"/>
      <c r="H613" s="42"/>
      <c r="K613" s="44"/>
      <c r="T613" s="46"/>
      <c r="AA613" s="42"/>
      <c r="AF613" s="44"/>
      <c r="AG613" s="47"/>
      <c r="AJ613" s="1"/>
    </row>
    <row r="614" ht="15.75" customHeight="1">
      <c r="C614" s="52"/>
      <c r="H614" s="42"/>
      <c r="K614" s="44"/>
      <c r="T614" s="46"/>
      <c r="AA614" s="42"/>
      <c r="AF614" s="44"/>
      <c r="AG614" s="47"/>
      <c r="AJ614" s="1"/>
    </row>
    <row r="615" ht="15.75" customHeight="1">
      <c r="C615" s="52"/>
      <c r="H615" s="42"/>
      <c r="K615" s="44"/>
      <c r="T615" s="46"/>
      <c r="AA615" s="42"/>
      <c r="AF615" s="44"/>
      <c r="AG615" s="47"/>
      <c r="AJ615" s="1"/>
    </row>
    <row r="616" ht="15.75" customHeight="1">
      <c r="C616" s="52"/>
      <c r="H616" s="42"/>
      <c r="K616" s="44"/>
      <c r="T616" s="46"/>
      <c r="AA616" s="42"/>
      <c r="AF616" s="44"/>
      <c r="AG616" s="47"/>
      <c r="AJ616" s="1"/>
    </row>
    <row r="617" ht="15.75" customHeight="1">
      <c r="C617" s="52"/>
      <c r="H617" s="42"/>
      <c r="K617" s="44"/>
      <c r="T617" s="46"/>
      <c r="AA617" s="42"/>
      <c r="AF617" s="44"/>
      <c r="AG617" s="47"/>
      <c r="AJ617" s="1"/>
    </row>
    <row r="618" ht="15.75" customHeight="1">
      <c r="C618" s="52"/>
      <c r="H618" s="42"/>
      <c r="K618" s="44"/>
      <c r="T618" s="46"/>
      <c r="AA618" s="42"/>
      <c r="AF618" s="44"/>
      <c r="AG618" s="47"/>
      <c r="AJ618" s="1"/>
    </row>
    <row r="619" ht="15.75" customHeight="1">
      <c r="C619" s="52"/>
      <c r="H619" s="42"/>
      <c r="K619" s="44"/>
      <c r="T619" s="46"/>
      <c r="AA619" s="42"/>
      <c r="AF619" s="44"/>
      <c r="AG619" s="47"/>
      <c r="AJ619" s="1"/>
    </row>
    <row r="620" ht="15.75" customHeight="1">
      <c r="C620" s="52"/>
      <c r="H620" s="42"/>
      <c r="K620" s="44"/>
      <c r="T620" s="46"/>
      <c r="AA620" s="42"/>
      <c r="AF620" s="44"/>
      <c r="AG620" s="47"/>
      <c r="AJ620" s="1"/>
    </row>
    <row r="621" ht="15.75" customHeight="1">
      <c r="C621" s="52"/>
      <c r="H621" s="42"/>
      <c r="K621" s="44"/>
      <c r="T621" s="46"/>
      <c r="AA621" s="42"/>
      <c r="AF621" s="44"/>
      <c r="AG621" s="47"/>
      <c r="AJ621" s="1"/>
    </row>
    <row r="622" ht="15.75" customHeight="1">
      <c r="C622" s="52"/>
      <c r="H622" s="42"/>
      <c r="K622" s="44"/>
      <c r="T622" s="46"/>
      <c r="AA622" s="42"/>
      <c r="AF622" s="44"/>
      <c r="AG622" s="47"/>
      <c r="AJ622" s="1"/>
    </row>
    <row r="623" ht="15.75" customHeight="1">
      <c r="C623" s="52"/>
      <c r="H623" s="42"/>
      <c r="K623" s="44"/>
      <c r="T623" s="46"/>
      <c r="AA623" s="42"/>
      <c r="AF623" s="44"/>
      <c r="AG623" s="47"/>
      <c r="AJ623" s="1"/>
    </row>
    <row r="624" ht="15.75" customHeight="1">
      <c r="C624" s="52"/>
      <c r="H624" s="42"/>
      <c r="K624" s="44"/>
      <c r="T624" s="46"/>
      <c r="AA624" s="42"/>
      <c r="AF624" s="44"/>
      <c r="AG624" s="47"/>
      <c r="AJ624" s="1"/>
    </row>
    <row r="625" ht="15.75" customHeight="1">
      <c r="C625" s="52"/>
      <c r="H625" s="42"/>
      <c r="K625" s="44"/>
      <c r="T625" s="46"/>
      <c r="AA625" s="42"/>
      <c r="AF625" s="44"/>
      <c r="AG625" s="47"/>
      <c r="AJ625" s="1"/>
    </row>
    <row r="626" ht="15.75" customHeight="1">
      <c r="C626" s="52"/>
      <c r="H626" s="42"/>
      <c r="K626" s="44"/>
      <c r="T626" s="46"/>
      <c r="AA626" s="42"/>
      <c r="AF626" s="44"/>
      <c r="AG626" s="47"/>
      <c r="AJ626" s="1"/>
    </row>
    <row r="627" ht="15.75" customHeight="1">
      <c r="C627" s="52"/>
      <c r="H627" s="42"/>
      <c r="K627" s="44"/>
      <c r="T627" s="46"/>
      <c r="AA627" s="42"/>
      <c r="AF627" s="44"/>
      <c r="AG627" s="47"/>
      <c r="AJ627" s="1"/>
    </row>
    <row r="628" ht="15.75" customHeight="1">
      <c r="C628" s="52"/>
      <c r="H628" s="42"/>
      <c r="K628" s="44"/>
      <c r="T628" s="46"/>
      <c r="AA628" s="42"/>
      <c r="AF628" s="44"/>
      <c r="AG628" s="47"/>
      <c r="AJ628" s="1"/>
    </row>
    <row r="629" ht="15.75" customHeight="1">
      <c r="C629" s="52"/>
      <c r="H629" s="42"/>
      <c r="K629" s="44"/>
      <c r="T629" s="46"/>
      <c r="AA629" s="42"/>
      <c r="AF629" s="44"/>
      <c r="AG629" s="47"/>
      <c r="AJ629" s="1"/>
    </row>
    <row r="630" ht="15.75" customHeight="1">
      <c r="C630" s="52"/>
      <c r="H630" s="42"/>
      <c r="K630" s="44"/>
      <c r="T630" s="46"/>
      <c r="AA630" s="42"/>
      <c r="AF630" s="44"/>
      <c r="AG630" s="47"/>
      <c r="AJ630" s="1"/>
    </row>
    <row r="631" ht="15.75" customHeight="1">
      <c r="C631" s="52"/>
      <c r="H631" s="42"/>
      <c r="K631" s="44"/>
      <c r="T631" s="46"/>
      <c r="AA631" s="42"/>
      <c r="AF631" s="44"/>
      <c r="AG631" s="47"/>
      <c r="AJ631" s="1"/>
    </row>
    <row r="632" ht="15.75" customHeight="1">
      <c r="C632" s="52"/>
      <c r="H632" s="42"/>
      <c r="K632" s="44"/>
      <c r="T632" s="46"/>
      <c r="AA632" s="42"/>
      <c r="AF632" s="44"/>
      <c r="AG632" s="47"/>
      <c r="AJ632" s="1"/>
    </row>
    <row r="633" ht="15.75" customHeight="1">
      <c r="C633" s="52"/>
      <c r="H633" s="42"/>
      <c r="K633" s="44"/>
      <c r="T633" s="46"/>
      <c r="AA633" s="42"/>
      <c r="AF633" s="44"/>
      <c r="AG633" s="47"/>
      <c r="AJ633" s="1"/>
    </row>
    <row r="634" ht="15.75" customHeight="1">
      <c r="C634" s="52"/>
      <c r="H634" s="42"/>
      <c r="K634" s="44"/>
      <c r="T634" s="46"/>
      <c r="AA634" s="42"/>
      <c r="AF634" s="44"/>
      <c r="AG634" s="47"/>
      <c r="AJ634" s="1"/>
    </row>
    <row r="635" ht="15.75" customHeight="1">
      <c r="C635" s="52"/>
      <c r="H635" s="42"/>
      <c r="K635" s="44"/>
      <c r="T635" s="46"/>
      <c r="AA635" s="42"/>
      <c r="AF635" s="44"/>
      <c r="AG635" s="47"/>
      <c r="AJ635" s="1"/>
    </row>
    <row r="636" ht="15.75" customHeight="1">
      <c r="C636" s="52"/>
      <c r="H636" s="42"/>
      <c r="K636" s="44"/>
      <c r="T636" s="46"/>
      <c r="AA636" s="42"/>
      <c r="AF636" s="44"/>
      <c r="AG636" s="47"/>
      <c r="AJ636" s="1"/>
    </row>
    <row r="637" ht="15.75" customHeight="1">
      <c r="C637" s="52"/>
      <c r="H637" s="42"/>
      <c r="K637" s="44"/>
      <c r="T637" s="46"/>
      <c r="AA637" s="42"/>
      <c r="AF637" s="44"/>
      <c r="AG637" s="47"/>
      <c r="AJ637" s="1"/>
    </row>
    <row r="638" ht="15.75" customHeight="1">
      <c r="C638" s="52"/>
      <c r="H638" s="42"/>
      <c r="K638" s="44"/>
      <c r="T638" s="46"/>
      <c r="AA638" s="42"/>
      <c r="AF638" s="44"/>
      <c r="AG638" s="47"/>
      <c r="AJ638" s="1"/>
    </row>
    <row r="639" ht="15.75" customHeight="1">
      <c r="C639" s="52"/>
      <c r="H639" s="42"/>
      <c r="K639" s="44"/>
      <c r="T639" s="46"/>
      <c r="AA639" s="42"/>
      <c r="AF639" s="44"/>
      <c r="AG639" s="47"/>
      <c r="AJ639" s="1"/>
    </row>
    <row r="640" ht="15.75" customHeight="1">
      <c r="C640" s="52"/>
      <c r="H640" s="42"/>
      <c r="K640" s="44"/>
      <c r="T640" s="46"/>
      <c r="AA640" s="42"/>
      <c r="AF640" s="44"/>
      <c r="AG640" s="47"/>
      <c r="AJ640" s="1"/>
    </row>
    <row r="641" ht="15.75" customHeight="1">
      <c r="C641" s="52"/>
      <c r="H641" s="42"/>
      <c r="K641" s="44"/>
      <c r="T641" s="46"/>
      <c r="AA641" s="42"/>
      <c r="AF641" s="44"/>
      <c r="AG641" s="47"/>
      <c r="AJ641" s="1"/>
    </row>
    <row r="642" ht="15.75" customHeight="1">
      <c r="C642" s="52"/>
      <c r="H642" s="42"/>
      <c r="K642" s="44"/>
      <c r="T642" s="46"/>
      <c r="AA642" s="42"/>
      <c r="AF642" s="44"/>
      <c r="AG642" s="47"/>
      <c r="AJ642" s="1"/>
    </row>
    <row r="643" ht="15.75" customHeight="1">
      <c r="C643" s="52"/>
      <c r="H643" s="42"/>
      <c r="K643" s="44"/>
      <c r="T643" s="46"/>
      <c r="AA643" s="42"/>
      <c r="AF643" s="44"/>
      <c r="AG643" s="47"/>
      <c r="AJ643" s="1"/>
    </row>
    <row r="644" ht="15.75" customHeight="1">
      <c r="C644" s="52"/>
      <c r="H644" s="42"/>
      <c r="K644" s="44"/>
      <c r="T644" s="46"/>
      <c r="AA644" s="42"/>
      <c r="AF644" s="44"/>
      <c r="AG644" s="47"/>
      <c r="AJ644" s="1"/>
    </row>
    <row r="645" ht="15.75" customHeight="1">
      <c r="C645" s="52"/>
      <c r="H645" s="42"/>
      <c r="K645" s="44"/>
      <c r="T645" s="46"/>
      <c r="AA645" s="42"/>
      <c r="AF645" s="44"/>
      <c r="AG645" s="47"/>
      <c r="AJ645" s="1"/>
    </row>
    <row r="646" ht="15.75" customHeight="1">
      <c r="C646" s="52"/>
      <c r="H646" s="42"/>
      <c r="K646" s="44"/>
      <c r="T646" s="46"/>
      <c r="AA646" s="42"/>
      <c r="AF646" s="44"/>
      <c r="AG646" s="47"/>
      <c r="AJ646" s="1"/>
    </row>
    <row r="647" ht="15.75" customHeight="1">
      <c r="C647" s="52"/>
      <c r="H647" s="42"/>
      <c r="K647" s="44"/>
      <c r="T647" s="46"/>
      <c r="AA647" s="42"/>
      <c r="AF647" s="44"/>
      <c r="AG647" s="47"/>
      <c r="AJ647" s="1"/>
    </row>
    <row r="648" ht="15.75" customHeight="1">
      <c r="C648" s="52"/>
      <c r="H648" s="42"/>
      <c r="K648" s="44"/>
      <c r="T648" s="46"/>
      <c r="AA648" s="42"/>
      <c r="AF648" s="44"/>
      <c r="AG648" s="47"/>
      <c r="AJ648" s="1"/>
    </row>
    <row r="649" ht="15.75" customHeight="1">
      <c r="C649" s="52"/>
      <c r="H649" s="42"/>
      <c r="K649" s="44"/>
      <c r="T649" s="46"/>
      <c r="AA649" s="42"/>
      <c r="AF649" s="44"/>
      <c r="AG649" s="47"/>
      <c r="AJ649" s="1"/>
    </row>
    <row r="650" ht="15.75" customHeight="1">
      <c r="C650" s="52"/>
      <c r="H650" s="42"/>
      <c r="K650" s="44"/>
      <c r="T650" s="46"/>
      <c r="AA650" s="42"/>
      <c r="AF650" s="44"/>
      <c r="AG650" s="47"/>
      <c r="AJ650" s="1"/>
    </row>
    <row r="651" ht="15.75" customHeight="1">
      <c r="C651" s="52"/>
      <c r="H651" s="42"/>
      <c r="K651" s="44"/>
      <c r="T651" s="46"/>
      <c r="AA651" s="42"/>
      <c r="AF651" s="44"/>
      <c r="AG651" s="47"/>
      <c r="AJ651" s="1"/>
    </row>
    <row r="652" ht="15.75" customHeight="1">
      <c r="C652" s="52"/>
      <c r="H652" s="42"/>
      <c r="K652" s="44"/>
      <c r="T652" s="46"/>
      <c r="AA652" s="42"/>
      <c r="AF652" s="44"/>
      <c r="AG652" s="47"/>
      <c r="AJ652" s="1"/>
    </row>
    <row r="653" ht="15.75" customHeight="1">
      <c r="C653" s="52"/>
      <c r="H653" s="42"/>
      <c r="K653" s="44"/>
      <c r="T653" s="46"/>
      <c r="AA653" s="42"/>
      <c r="AF653" s="44"/>
      <c r="AG653" s="47"/>
      <c r="AJ653" s="1"/>
    </row>
    <row r="654" ht="15.75" customHeight="1">
      <c r="C654" s="52"/>
      <c r="H654" s="42"/>
      <c r="K654" s="44"/>
      <c r="T654" s="46"/>
      <c r="AA654" s="42"/>
      <c r="AF654" s="44"/>
      <c r="AG654" s="47"/>
      <c r="AJ654" s="1"/>
    </row>
    <row r="655" ht="15.75" customHeight="1">
      <c r="C655" s="52"/>
      <c r="H655" s="42"/>
      <c r="K655" s="44"/>
      <c r="T655" s="46"/>
      <c r="AA655" s="42"/>
      <c r="AF655" s="44"/>
      <c r="AG655" s="47"/>
      <c r="AJ655" s="1"/>
    </row>
    <row r="656" ht="15.75" customHeight="1">
      <c r="C656" s="52"/>
      <c r="H656" s="42"/>
      <c r="K656" s="44"/>
      <c r="T656" s="46"/>
      <c r="AA656" s="42"/>
      <c r="AF656" s="44"/>
      <c r="AG656" s="47"/>
      <c r="AJ656" s="1"/>
    </row>
    <row r="657" ht="15.75" customHeight="1">
      <c r="C657" s="52"/>
      <c r="H657" s="42"/>
      <c r="K657" s="44"/>
      <c r="T657" s="46"/>
      <c r="AA657" s="42"/>
      <c r="AF657" s="44"/>
      <c r="AG657" s="47"/>
      <c r="AJ657" s="1"/>
    </row>
    <row r="658" ht="15.75" customHeight="1">
      <c r="C658" s="52"/>
      <c r="H658" s="42"/>
      <c r="K658" s="44"/>
      <c r="T658" s="46"/>
      <c r="AA658" s="42"/>
      <c r="AF658" s="44"/>
      <c r="AG658" s="47"/>
      <c r="AJ658" s="1"/>
    </row>
    <row r="659" ht="15.75" customHeight="1">
      <c r="C659" s="52"/>
      <c r="H659" s="42"/>
      <c r="K659" s="44"/>
      <c r="T659" s="46"/>
      <c r="AA659" s="42"/>
      <c r="AF659" s="44"/>
      <c r="AG659" s="47"/>
      <c r="AJ659" s="1"/>
    </row>
    <row r="660" ht="15.75" customHeight="1">
      <c r="C660" s="52"/>
      <c r="H660" s="42"/>
      <c r="K660" s="44"/>
      <c r="T660" s="46"/>
      <c r="AA660" s="42"/>
      <c r="AF660" s="44"/>
      <c r="AG660" s="47"/>
      <c r="AJ660" s="1"/>
    </row>
    <row r="661" ht="15.75" customHeight="1">
      <c r="C661" s="52"/>
      <c r="H661" s="42"/>
      <c r="K661" s="44"/>
      <c r="T661" s="46"/>
      <c r="AA661" s="42"/>
      <c r="AF661" s="44"/>
      <c r="AG661" s="47"/>
      <c r="AJ661" s="1"/>
    </row>
    <row r="662" ht="15.75" customHeight="1">
      <c r="C662" s="52"/>
      <c r="H662" s="42"/>
      <c r="K662" s="44"/>
      <c r="T662" s="46"/>
      <c r="AA662" s="42"/>
      <c r="AF662" s="44"/>
      <c r="AG662" s="47"/>
      <c r="AJ662" s="1"/>
    </row>
    <row r="663" ht="15.75" customHeight="1">
      <c r="C663" s="52"/>
      <c r="H663" s="42"/>
      <c r="K663" s="44"/>
      <c r="T663" s="46"/>
      <c r="AA663" s="42"/>
      <c r="AF663" s="44"/>
      <c r="AG663" s="47"/>
      <c r="AJ663" s="1"/>
    </row>
    <row r="664" ht="15.75" customHeight="1">
      <c r="C664" s="52"/>
      <c r="H664" s="42"/>
      <c r="K664" s="44"/>
      <c r="T664" s="46"/>
      <c r="AA664" s="42"/>
      <c r="AF664" s="44"/>
      <c r="AG664" s="47"/>
      <c r="AJ664" s="1"/>
    </row>
    <row r="665" ht="15.75" customHeight="1">
      <c r="C665" s="52"/>
      <c r="H665" s="42"/>
      <c r="K665" s="44"/>
      <c r="T665" s="46"/>
      <c r="AA665" s="42"/>
      <c r="AF665" s="44"/>
      <c r="AG665" s="47"/>
      <c r="AJ665" s="1"/>
    </row>
    <row r="666" ht="15.75" customHeight="1">
      <c r="C666" s="52"/>
      <c r="H666" s="42"/>
      <c r="K666" s="44"/>
      <c r="T666" s="46"/>
      <c r="AA666" s="42"/>
      <c r="AF666" s="44"/>
      <c r="AG666" s="47"/>
      <c r="AJ666" s="1"/>
    </row>
    <row r="667" ht="15.75" customHeight="1">
      <c r="C667" s="52"/>
      <c r="H667" s="42"/>
      <c r="K667" s="44"/>
      <c r="T667" s="46"/>
      <c r="AA667" s="42"/>
      <c r="AF667" s="44"/>
      <c r="AG667" s="47"/>
      <c r="AJ667" s="1"/>
    </row>
    <row r="668" ht="15.75" customHeight="1">
      <c r="C668" s="52"/>
      <c r="H668" s="42"/>
      <c r="K668" s="44"/>
      <c r="T668" s="46"/>
      <c r="AA668" s="42"/>
      <c r="AF668" s="44"/>
      <c r="AG668" s="47"/>
      <c r="AJ668" s="1"/>
    </row>
    <row r="669" ht="15.75" customHeight="1">
      <c r="C669" s="52"/>
      <c r="H669" s="42"/>
      <c r="K669" s="44"/>
      <c r="T669" s="46"/>
      <c r="AA669" s="42"/>
      <c r="AF669" s="44"/>
      <c r="AG669" s="47"/>
      <c r="AJ669" s="1"/>
    </row>
    <row r="670" ht="15.75" customHeight="1">
      <c r="C670" s="52"/>
      <c r="H670" s="42"/>
      <c r="K670" s="44"/>
      <c r="T670" s="46"/>
      <c r="AA670" s="42"/>
      <c r="AF670" s="44"/>
      <c r="AG670" s="47"/>
      <c r="AJ670" s="1"/>
    </row>
    <row r="671" ht="15.75" customHeight="1">
      <c r="C671" s="52"/>
      <c r="H671" s="42"/>
      <c r="K671" s="44"/>
      <c r="T671" s="46"/>
      <c r="AA671" s="42"/>
      <c r="AF671" s="44"/>
      <c r="AG671" s="47"/>
      <c r="AJ671" s="1"/>
    </row>
    <row r="672" ht="15.75" customHeight="1">
      <c r="C672" s="52"/>
      <c r="H672" s="42"/>
      <c r="K672" s="44"/>
      <c r="T672" s="46"/>
      <c r="AA672" s="42"/>
      <c r="AF672" s="44"/>
      <c r="AG672" s="47"/>
      <c r="AJ672" s="1"/>
    </row>
    <row r="673" ht="15.75" customHeight="1">
      <c r="C673" s="52"/>
      <c r="H673" s="42"/>
      <c r="K673" s="44"/>
      <c r="T673" s="46"/>
      <c r="AA673" s="42"/>
      <c r="AF673" s="44"/>
      <c r="AG673" s="47"/>
      <c r="AJ673" s="1"/>
    </row>
    <row r="674" ht="15.75" customHeight="1">
      <c r="C674" s="52"/>
      <c r="H674" s="42"/>
      <c r="K674" s="44"/>
      <c r="T674" s="46"/>
      <c r="AA674" s="42"/>
      <c r="AF674" s="44"/>
      <c r="AG674" s="47"/>
      <c r="AJ674" s="1"/>
    </row>
    <row r="675" ht="15.75" customHeight="1">
      <c r="C675" s="52"/>
      <c r="H675" s="42"/>
      <c r="K675" s="44"/>
      <c r="T675" s="46"/>
      <c r="AA675" s="42"/>
      <c r="AF675" s="44"/>
      <c r="AG675" s="47"/>
      <c r="AJ675" s="1"/>
    </row>
    <row r="676" ht="15.75" customHeight="1">
      <c r="C676" s="52"/>
      <c r="H676" s="42"/>
      <c r="K676" s="44"/>
      <c r="T676" s="46"/>
      <c r="AA676" s="42"/>
      <c r="AF676" s="44"/>
      <c r="AG676" s="47"/>
      <c r="AJ676" s="1"/>
    </row>
    <row r="677" ht="15.75" customHeight="1">
      <c r="C677" s="52"/>
      <c r="H677" s="42"/>
      <c r="K677" s="44"/>
      <c r="T677" s="46"/>
      <c r="AA677" s="42"/>
      <c r="AF677" s="44"/>
      <c r="AG677" s="47"/>
      <c r="AJ677" s="1"/>
    </row>
    <row r="678" ht="15.75" customHeight="1">
      <c r="C678" s="52"/>
      <c r="H678" s="42"/>
      <c r="K678" s="44"/>
      <c r="T678" s="46"/>
      <c r="AA678" s="42"/>
      <c r="AF678" s="44"/>
      <c r="AG678" s="47"/>
      <c r="AJ678" s="1"/>
    </row>
    <row r="679" ht="15.75" customHeight="1">
      <c r="C679" s="52"/>
      <c r="H679" s="42"/>
      <c r="K679" s="44"/>
      <c r="T679" s="46"/>
      <c r="AA679" s="42"/>
      <c r="AF679" s="44"/>
      <c r="AG679" s="47"/>
      <c r="AJ679" s="1"/>
    </row>
    <row r="680" ht="15.75" customHeight="1">
      <c r="C680" s="52"/>
      <c r="H680" s="42"/>
      <c r="K680" s="44"/>
      <c r="T680" s="46"/>
      <c r="AA680" s="42"/>
      <c r="AF680" s="44"/>
      <c r="AG680" s="47"/>
      <c r="AJ680" s="1"/>
    </row>
    <row r="681" ht="15.75" customHeight="1">
      <c r="C681" s="52"/>
      <c r="H681" s="42"/>
      <c r="K681" s="44"/>
      <c r="T681" s="46"/>
      <c r="AA681" s="42"/>
      <c r="AF681" s="44"/>
      <c r="AG681" s="47"/>
      <c r="AJ681" s="1"/>
    </row>
    <row r="682" ht="15.75" customHeight="1">
      <c r="C682" s="52"/>
      <c r="H682" s="42"/>
      <c r="K682" s="44"/>
      <c r="T682" s="46"/>
      <c r="AA682" s="42"/>
      <c r="AF682" s="44"/>
      <c r="AG682" s="47"/>
      <c r="AJ682" s="1"/>
    </row>
    <row r="683" ht="15.75" customHeight="1">
      <c r="C683" s="52"/>
      <c r="H683" s="42"/>
      <c r="K683" s="44"/>
      <c r="T683" s="46"/>
      <c r="AA683" s="42"/>
      <c r="AF683" s="44"/>
      <c r="AG683" s="47"/>
      <c r="AJ683" s="1"/>
    </row>
    <row r="684" ht="15.75" customHeight="1">
      <c r="C684" s="52"/>
      <c r="H684" s="42"/>
      <c r="K684" s="44"/>
      <c r="T684" s="46"/>
      <c r="AA684" s="42"/>
      <c r="AF684" s="44"/>
      <c r="AG684" s="47"/>
      <c r="AJ684" s="1"/>
    </row>
    <row r="685" ht="15.75" customHeight="1">
      <c r="C685" s="52"/>
      <c r="H685" s="42"/>
      <c r="K685" s="44"/>
      <c r="T685" s="46"/>
      <c r="AA685" s="42"/>
      <c r="AF685" s="44"/>
      <c r="AG685" s="47"/>
      <c r="AJ685" s="1"/>
    </row>
    <row r="686" ht="15.75" customHeight="1">
      <c r="C686" s="52"/>
      <c r="H686" s="42"/>
      <c r="K686" s="44"/>
      <c r="T686" s="46"/>
      <c r="AA686" s="42"/>
      <c r="AF686" s="44"/>
      <c r="AG686" s="47"/>
      <c r="AJ686" s="1"/>
    </row>
    <row r="687" ht="15.75" customHeight="1">
      <c r="C687" s="52"/>
      <c r="H687" s="42"/>
      <c r="K687" s="44"/>
      <c r="T687" s="46"/>
      <c r="AA687" s="42"/>
      <c r="AF687" s="44"/>
      <c r="AG687" s="47"/>
      <c r="AJ687" s="1"/>
    </row>
    <row r="688" ht="15.75" customHeight="1">
      <c r="C688" s="52"/>
      <c r="H688" s="42"/>
      <c r="K688" s="44"/>
      <c r="T688" s="46"/>
      <c r="AA688" s="42"/>
      <c r="AF688" s="44"/>
      <c r="AG688" s="47"/>
      <c r="AJ688" s="1"/>
    </row>
    <row r="689" ht="15.75" customHeight="1">
      <c r="C689" s="52"/>
      <c r="H689" s="42"/>
      <c r="K689" s="44"/>
      <c r="T689" s="46"/>
      <c r="AA689" s="42"/>
      <c r="AF689" s="44"/>
      <c r="AG689" s="47"/>
      <c r="AJ689" s="1"/>
    </row>
    <row r="690" ht="15.75" customHeight="1">
      <c r="C690" s="52"/>
      <c r="H690" s="42"/>
      <c r="K690" s="44"/>
      <c r="T690" s="46"/>
      <c r="AA690" s="42"/>
      <c r="AF690" s="44"/>
      <c r="AG690" s="47"/>
      <c r="AJ690" s="1"/>
    </row>
    <row r="691" ht="15.75" customHeight="1">
      <c r="C691" s="52"/>
      <c r="H691" s="42"/>
      <c r="K691" s="44"/>
      <c r="T691" s="46"/>
      <c r="AA691" s="42"/>
      <c r="AF691" s="44"/>
      <c r="AG691" s="47"/>
      <c r="AJ691" s="1"/>
    </row>
    <row r="692" ht="15.75" customHeight="1">
      <c r="C692" s="52"/>
      <c r="H692" s="42"/>
      <c r="K692" s="44"/>
      <c r="T692" s="46"/>
      <c r="AA692" s="42"/>
      <c r="AF692" s="44"/>
      <c r="AG692" s="47"/>
      <c r="AJ692" s="1"/>
    </row>
    <row r="693" ht="15.75" customHeight="1">
      <c r="C693" s="52"/>
      <c r="H693" s="42"/>
      <c r="K693" s="44"/>
      <c r="T693" s="46"/>
      <c r="AA693" s="42"/>
      <c r="AF693" s="44"/>
      <c r="AG693" s="47"/>
      <c r="AJ693" s="1"/>
    </row>
    <row r="694" ht="15.75" customHeight="1">
      <c r="C694" s="52"/>
      <c r="H694" s="42"/>
      <c r="K694" s="44"/>
      <c r="T694" s="46"/>
      <c r="AA694" s="42"/>
      <c r="AF694" s="44"/>
      <c r="AG694" s="47"/>
      <c r="AJ694" s="1"/>
    </row>
    <row r="695" ht="15.75" customHeight="1">
      <c r="C695" s="52"/>
      <c r="H695" s="42"/>
      <c r="K695" s="44"/>
      <c r="T695" s="46"/>
      <c r="AA695" s="42"/>
      <c r="AF695" s="44"/>
      <c r="AG695" s="47"/>
      <c r="AJ695" s="1"/>
    </row>
    <row r="696" ht="15.75" customHeight="1">
      <c r="C696" s="52"/>
      <c r="H696" s="42"/>
      <c r="K696" s="44"/>
      <c r="T696" s="46"/>
      <c r="AA696" s="42"/>
      <c r="AF696" s="44"/>
      <c r="AG696" s="47"/>
      <c r="AJ696" s="1"/>
    </row>
    <row r="697" ht="15.75" customHeight="1">
      <c r="C697" s="52"/>
      <c r="H697" s="42"/>
      <c r="K697" s="44"/>
      <c r="T697" s="46"/>
      <c r="AA697" s="42"/>
      <c r="AF697" s="44"/>
      <c r="AG697" s="47"/>
      <c r="AJ697" s="1"/>
    </row>
    <row r="698" ht="15.75" customHeight="1">
      <c r="C698" s="52"/>
      <c r="H698" s="42"/>
      <c r="K698" s="44"/>
      <c r="T698" s="46"/>
      <c r="AA698" s="42"/>
      <c r="AF698" s="44"/>
      <c r="AG698" s="47"/>
      <c r="AJ698" s="1"/>
    </row>
    <row r="699" ht="15.75" customHeight="1">
      <c r="C699" s="52"/>
      <c r="H699" s="42"/>
      <c r="K699" s="44"/>
      <c r="T699" s="46"/>
      <c r="AA699" s="42"/>
      <c r="AF699" s="44"/>
      <c r="AG699" s="47"/>
      <c r="AJ699" s="1"/>
    </row>
    <row r="700" ht="15.75" customHeight="1">
      <c r="C700" s="52"/>
      <c r="H700" s="42"/>
      <c r="K700" s="44"/>
      <c r="T700" s="46"/>
      <c r="AA700" s="42"/>
      <c r="AF700" s="44"/>
      <c r="AG700" s="47"/>
      <c r="AJ700" s="1"/>
    </row>
    <row r="701" ht="15.75" customHeight="1">
      <c r="C701" s="52"/>
      <c r="H701" s="42"/>
      <c r="K701" s="44"/>
      <c r="T701" s="46"/>
      <c r="AA701" s="42"/>
      <c r="AF701" s="44"/>
      <c r="AG701" s="47"/>
      <c r="AJ701" s="1"/>
    </row>
    <row r="702" ht="15.75" customHeight="1">
      <c r="C702" s="52"/>
      <c r="H702" s="42"/>
      <c r="K702" s="44"/>
      <c r="T702" s="46"/>
      <c r="AA702" s="42"/>
      <c r="AF702" s="44"/>
      <c r="AG702" s="47"/>
      <c r="AJ702" s="1"/>
    </row>
    <row r="703" ht="15.75" customHeight="1">
      <c r="C703" s="52"/>
      <c r="H703" s="42"/>
      <c r="K703" s="44"/>
      <c r="T703" s="46"/>
      <c r="AA703" s="42"/>
      <c r="AF703" s="44"/>
      <c r="AG703" s="47"/>
      <c r="AJ703" s="1"/>
    </row>
    <row r="704" ht="15.75" customHeight="1">
      <c r="C704" s="52"/>
      <c r="H704" s="42"/>
      <c r="K704" s="44"/>
      <c r="T704" s="46"/>
      <c r="AA704" s="42"/>
      <c r="AF704" s="44"/>
      <c r="AG704" s="47"/>
      <c r="AJ704" s="1"/>
    </row>
    <row r="705" ht="15.75" customHeight="1">
      <c r="C705" s="52"/>
      <c r="H705" s="42"/>
      <c r="K705" s="44"/>
      <c r="T705" s="46"/>
      <c r="AA705" s="42"/>
      <c r="AF705" s="44"/>
      <c r="AG705" s="47"/>
      <c r="AJ705" s="1"/>
    </row>
    <row r="706" ht="15.75" customHeight="1">
      <c r="C706" s="52"/>
      <c r="H706" s="42"/>
      <c r="K706" s="44"/>
      <c r="T706" s="46"/>
      <c r="AA706" s="42"/>
      <c r="AF706" s="44"/>
      <c r="AG706" s="47"/>
      <c r="AJ706" s="1"/>
    </row>
    <row r="707" ht="15.75" customHeight="1">
      <c r="C707" s="52"/>
      <c r="H707" s="42"/>
      <c r="K707" s="44"/>
      <c r="T707" s="46"/>
      <c r="AA707" s="42"/>
      <c r="AF707" s="44"/>
      <c r="AG707" s="47"/>
      <c r="AJ707" s="1"/>
    </row>
    <row r="708" ht="15.75" customHeight="1">
      <c r="C708" s="52"/>
      <c r="H708" s="42"/>
      <c r="K708" s="44"/>
      <c r="T708" s="46"/>
      <c r="AA708" s="42"/>
      <c r="AF708" s="44"/>
      <c r="AG708" s="47"/>
      <c r="AJ708" s="1"/>
    </row>
    <row r="709" ht="15.75" customHeight="1">
      <c r="C709" s="52"/>
      <c r="H709" s="42"/>
      <c r="K709" s="44"/>
      <c r="T709" s="46"/>
      <c r="AA709" s="42"/>
      <c r="AF709" s="44"/>
      <c r="AG709" s="47"/>
      <c r="AJ709" s="1"/>
    </row>
    <row r="710" ht="15.75" customHeight="1">
      <c r="C710" s="52"/>
      <c r="H710" s="42"/>
      <c r="K710" s="44"/>
      <c r="T710" s="46"/>
      <c r="AA710" s="42"/>
      <c r="AF710" s="44"/>
      <c r="AG710" s="47"/>
      <c r="AJ710" s="1"/>
    </row>
    <row r="711" ht="15.75" customHeight="1">
      <c r="C711" s="52"/>
      <c r="H711" s="42"/>
      <c r="K711" s="44"/>
      <c r="T711" s="46"/>
      <c r="AA711" s="42"/>
      <c r="AF711" s="44"/>
      <c r="AG711" s="47"/>
      <c r="AJ711" s="1"/>
    </row>
    <row r="712" ht="15.75" customHeight="1">
      <c r="C712" s="52"/>
      <c r="H712" s="42"/>
      <c r="K712" s="44"/>
      <c r="T712" s="46"/>
      <c r="AA712" s="42"/>
      <c r="AF712" s="44"/>
      <c r="AG712" s="47"/>
      <c r="AJ712" s="1"/>
    </row>
    <row r="713" ht="15.75" customHeight="1">
      <c r="C713" s="52"/>
      <c r="H713" s="42"/>
      <c r="K713" s="44"/>
      <c r="T713" s="46"/>
      <c r="AA713" s="42"/>
      <c r="AF713" s="44"/>
      <c r="AG713" s="47"/>
      <c r="AJ713" s="1"/>
    </row>
    <row r="714" ht="15.75" customHeight="1">
      <c r="C714" s="52"/>
      <c r="H714" s="42"/>
      <c r="K714" s="44"/>
      <c r="T714" s="46"/>
      <c r="AA714" s="42"/>
      <c r="AF714" s="44"/>
      <c r="AG714" s="47"/>
      <c r="AJ714" s="1"/>
    </row>
    <row r="715" ht="15.75" customHeight="1">
      <c r="C715" s="52"/>
      <c r="H715" s="42"/>
      <c r="K715" s="44"/>
      <c r="T715" s="46"/>
      <c r="AA715" s="42"/>
      <c r="AF715" s="44"/>
      <c r="AG715" s="47"/>
      <c r="AJ715" s="1"/>
    </row>
    <row r="716" ht="15.75" customHeight="1">
      <c r="C716" s="52"/>
      <c r="H716" s="42"/>
      <c r="K716" s="44"/>
      <c r="T716" s="46"/>
      <c r="AA716" s="42"/>
      <c r="AF716" s="44"/>
      <c r="AG716" s="47"/>
      <c r="AJ716" s="1"/>
    </row>
    <row r="717" ht="15.75" customHeight="1">
      <c r="C717" s="52"/>
      <c r="H717" s="42"/>
      <c r="K717" s="44"/>
      <c r="T717" s="46"/>
      <c r="AA717" s="42"/>
      <c r="AF717" s="44"/>
      <c r="AG717" s="47"/>
      <c r="AJ717" s="1"/>
    </row>
    <row r="718" ht="15.75" customHeight="1">
      <c r="C718" s="52"/>
      <c r="H718" s="42"/>
      <c r="K718" s="44"/>
      <c r="T718" s="46"/>
      <c r="AA718" s="42"/>
      <c r="AF718" s="44"/>
      <c r="AG718" s="47"/>
      <c r="AJ718" s="1"/>
    </row>
    <row r="719" ht="15.75" customHeight="1">
      <c r="C719" s="52"/>
      <c r="H719" s="42"/>
      <c r="K719" s="44"/>
      <c r="T719" s="46"/>
      <c r="AA719" s="42"/>
      <c r="AF719" s="44"/>
      <c r="AG719" s="47"/>
      <c r="AJ719" s="1"/>
    </row>
    <row r="720" ht="15.75" customHeight="1">
      <c r="C720" s="52"/>
      <c r="H720" s="42"/>
      <c r="K720" s="44"/>
      <c r="T720" s="46"/>
      <c r="AA720" s="42"/>
      <c r="AF720" s="44"/>
      <c r="AG720" s="47"/>
      <c r="AJ720" s="1"/>
    </row>
    <row r="721" ht="15.75" customHeight="1">
      <c r="C721" s="52"/>
      <c r="H721" s="42"/>
      <c r="K721" s="44"/>
      <c r="T721" s="46"/>
      <c r="AA721" s="42"/>
      <c r="AF721" s="44"/>
      <c r="AG721" s="47"/>
      <c r="AJ721" s="1"/>
    </row>
    <row r="722" ht="15.75" customHeight="1">
      <c r="C722" s="52"/>
      <c r="H722" s="42"/>
      <c r="K722" s="44"/>
      <c r="T722" s="46"/>
      <c r="AA722" s="42"/>
      <c r="AF722" s="44"/>
      <c r="AG722" s="47"/>
      <c r="AJ722" s="1"/>
    </row>
    <row r="723" ht="15.75" customHeight="1">
      <c r="C723" s="52"/>
      <c r="H723" s="42"/>
      <c r="K723" s="44"/>
      <c r="T723" s="46"/>
      <c r="AA723" s="42"/>
      <c r="AF723" s="44"/>
      <c r="AG723" s="47"/>
      <c r="AJ723" s="1"/>
    </row>
    <row r="724" ht="15.75" customHeight="1">
      <c r="C724" s="52"/>
      <c r="H724" s="42"/>
      <c r="K724" s="44"/>
      <c r="T724" s="46"/>
      <c r="AA724" s="42"/>
      <c r="AF724" s="44"/>
      <c r="AG724" s="47"/>
      <c r="AJ724" s="1"/>
    </row>
    <row r="725" ht="15.75" customHeight="1">
      <c r="C725" s="52"/>
      <c r="H725" s="42"/>
      <c r="K725" s="44"/>
      <c r="T725" s="46"/>
      <c r="AA725" s="42"/>
      <c r="AF725" s="44"/>
      <c r="AG725" s="47"/>
      <c r="AJ725" s="1"/>
    </row>
    <row r="726" ht="15.75" customHeight="1">
      <c r="C726" s="52"/>
      <c r="H726" s="42"/>
      <c r="K726" s="44"/>
      <c r="T726" s="46"/>
      <c r="AA726" s="42"/>
      <c r="AF726" s="44"/>
      <c r="AG726" s="47"/>
      <c r="AJ726" s="1"/>
    </row>
    <row r="727" ht="15.75" customHeight="1">
      <c r="C727" s="52"/>
      <c r="H727" s="42"/>
      <c r="K727" s="44"/>
      <c r="T727" s="46"/>
      <c r="AA727" s="42"/>
      <c r="AF727" s="44"/>
      <c r="AG727" s="47"/>
      <c r="AJ727" s="1"/>
    </row>
    <row r="728" ht="15.75" customHeight="1">
      <c r="C728" s="52"/>
      <c r="H728" s="42"/>
      <c r="K728" s="44"/>
      <c r="T728" s="46"/>
      <c r="AA728" s="42"/>
      <c r="AF728" s="44"/>
      <c r="AG728" s="47"/>
      <c r="AJ728" s="1"/>
    </row>
    <row r="729" ht="15.75" customHeight="1">
      <c r="C729" s="52"/>
      <c r="H729" s="42"/>
      <c r="K729" s="44"/>
      <c r="T729" s="46"/>
      <c r="AA729" s="42"/>
      <c r="AF729" s="44"/>
      <c r="AG729" s="47"/>
      <c r="AJ729" s="1"/>
    </row>
    <row r="730" ht="15.75" customHeight="1">
      <c r="C730" s="52"/>
      <c r="H730" s="42"/>
      <c r="K730" s="44"/>
      <c r="T730" s="46"/>
      <c r="AA730" s="42"/>
      <c r="AF730" s="44"/>
      <c r="AG730" s="47"/>
      <c r="AJ730" s="1"/>
    </row>
    <row r="731" ht="15.75" customHeight="1">
      <c r="C731" s="52"/>
      <c r="H731" s="42"/>
      <c r="K731" s="44"/>
      <c r="T731" s="46"/>
      <c r="AA731" s="42"/>
      <c r="AF731" s="44"/>
      <c r="AG731" s="47"/>
      <c r="AJ731" s="1"/>
    </row>
    <row r="732" ht="15.75" customHeight="1">
      <c r="C732" s="52"/>
      <c r="H732" s="42"/>
      <c r="K732" s="44"/>
      <c r="T732" s="46"/>
      <c r="AA732" s="42"/>
      <c r="AF732" s="44"/>
      <c r="AG732" s="47"/>
      <c r="AJ732" s="1"/>
    </row>
    <row r="733" ht="15.75" customHeight="1">
      <c r="C733" s="52"/>
      <c r="H733" s="42"/>
      <c r="K733" s="44"/>
      <c r="T733" s="46"/>
      <c r="AA733" s="42"/>
      <c r="AF733" s="44"/>
      <c r="AG733" s="47"/>
      <c r="AJ733" s="1"/>
    </row>
    <row r="734" ht="15.75" customHeight="1">
      <c r="C734" s="52"/>
      <c r="H734" s="42"/>
      <c r="K734" s="44"/>
      <c r="T734" s="46"/>
      <c r="AA734" s="42"/>
      <c r="AF734" s="44"/>
      <c r="AG734" s="47"/>
      <c r="AJ734" s="1"/>
    </row>
    <row r="735" ht="15.75" customHeight="1">
      <c r="C735" s="52"/>
      <c r="H735" s="42"/>
      <c r="K735" s="44"/>
      <c r="T735" s="46"/>
      <c r="AA735" s="42"/>
      <c r="AF735" s="44"/>
      <c r="AG735" s="47"/>
      <c r="AJ735" s="1"/>
    </row>
    <row r="736" ht="15.75" customHeight="1">
      <c r="C736" s="52"/>
      <c r="H736" s="42"/>
      <c r="K736" s="44"/>
      <c r="T736" s="46"/>
      <c r="AA736" s="42"/>
      <c r="AF736" s="44"/>
      <c r="AG736" s="47"/>
      <c r="AJ736" s="1"/>
    </row>
    <row r="737" ht="15.75" customHeight="1">
      <c r="C737" s="52"/>
      <c r="H737" s="42"/>
      <c r="K737" s="44"/>
      <c r="T737" s="46"/>
      <c r="AA737" s="42"/>
      <c r="AF737" s="44"/>
      <c r="AG737" s="47"/>
      <c r="AJ737" s="1"/>
    </row>
    <row r="738" ht="15.75" customHeight="1">
      <c r="C738" s="52"/>
      <c r="H738" s="42"/>
      <c r="K738" s="44"/>
      <c r="T738" s="46"/>
      <c r="AA738" s="42"/>
      <c r="AF738" s="44"/>
      <c r="AG738" s="47"/>
      <c r="AJ738" s="1"/>
    </row>
    <row r="739" ht="15.75" customHeight="1">
      <c r="C739" s="52"/>
      <c r="H739" s="42"/>
      <c r="K739" s="44"/>
      <c r="T739" s="46"/>
      <c r="AA739" s="42"/>
      <c r="AF739" s="44"/>
      <c r="AG739" s="47"/>
      <c r="AJ739" s="1"/>
    </row>
    <row r="740" ht="15.75" customHeight="1">
      <c r="C740" s="52"/>
      <c r="H740" s="42"/>
      <c r="K740" s="44"/>
      <c r="T740" s="46"/>
      <c r="AA740" s="42"/>
      <c r="AF740" s="44"/>
      <c r="AG740" s="47"/>
      <c r="AJ740" s="1"/>
    </row>
    <row r="741" ht="15.75" customHeight="1">
      <c r="C741" s="52"/>
      <c r="H741" s="42"/>
      <c r="K741" s="44"/>
      <c r="T741" s="46"/>
      <c r="AA741" s="42"/>
      <c r="AF741" s="44"/>
      <c r="AG741" s="47"/>
      <c r="AJ741" s="1"/>
    </row>
    <row r="742" ht="15.75" customHeight="1">
      <c r="C742" s="52"/>
      <c r="H742" s="42"/>
      <c r="K742" s="44"/>
      <c r="T742" s="46"/>
      <c r="AA742" s="42"/>
      <c r="AF742" s="44"/>
      <c r="AG742" s="47"/>
      <c r="AJ742" s="1"/>
    </row>
    <row r="743" ht="15.75" customHeight="1">
      <c r="C743" s="52"/>
      <c r="H743" s="42"/>
      <c r="K743" s="44"/>
      <c r="T743" s="46"/>
      <c r="AA743" s="42"/>
      <c r="AF743" s="44"/>
      <c r="AG743" s="47"/>
      <c r="AJ743" s="1"/>
    </row>
    <row r="744" ht="15.75" customHeight="1">
      <c r="C744" s="52"/>
      <c r="H744" s="42"/>
      <c r="K744" s="44"/>
      <c r="T744" s="46"/>
      <c r="AA744" s="42"/>
      <c r="AF744" s="44"/>
      <c r="AG744" s="47"/>
      <c r="AJ744" s="1"/>
    </row>
    <row r="745" ht="15.75" customHeight="1">
      <c r="C745" s="52"/>
      <c r="H745" s="42"/>
      <c r="K745" s="44"/>
      <c r="T745" s="46"/>
      <c r="AA745" s="42"/>
      <c r="AF745" s="44"/>
      <c r="AG745" s="47"/>
      <c r="AJ745" s="1"/>
    </row>
    <row r="746" ht="15.75" customHeight="1">
      <c r="C746" s="52"/>
      <c r="H746" s="42"/>
      <c r="K746" s="44"/>
      <c r="T746" s="46"/>
      <c r="AA746" s="42"/>
      <c r="AF746" s="44"/>
      <c r="AG746" s="47"/>
      <c r="AJ746" s="1"/>
    </row>
    <row r="747" ht="15.75" customHeight="1">
      <c r="C747" s="52"/>
      <c r="H747" s="42"/>
      <c r="K747" s="44"/>
      <c r="T747" s="46"/>
      <c r="AA747" s="42"/>
      <c r="AF747" s="44"/>
      <c r="AG747" s="47"/>
      <c r="AJ747" s="1"/>
    </row>
    <row r="748" ht="15.75" customHeight="1">
      <c r="C748" s="52"/>
      <c r="H748" s="42"/>
      <c r="K748" s="44"/>
      <c r="T748" s="46"/>
      <c r="AA748" s="42"/>
      <c r="AF748" s="44"/>
      <c r="AG748" s="47"/>
      <c r="AJ748" s="1"/>
    </row>
    <row r="749" ht="15.75" customHeight="1">
      <c r="C749" s="52"/>
      <c r="H749" s="42"/>
      <c r="K749" s="44"/>
      <c r="T749" s="46"/>
      <c r="AA749" s="42"/>
      <c r="AF749" s="44"/>
      <c r="AG749" s="47"/>
      <c r="AJ749" s="1"/>
    </row>
    <row r="750" ht="15.75" customHeight="1">
      <c r="C750" s="52"/>
      <c r="H750" s="42"/>
      <c r="K750" s="44"/>
      <c r="T750" s="46"/>
      <c r="AA750" s="42"/>
      <c r="AF750" s="44"/>
      <c r="AG750" s="47"/>
      <c r="AJ750" s="1"/>
    </row>
    <row r="751" ht="15.75" customHeight="1">
      <c r="C751" s="52"/>
      <c r="H751" s="42"/>
      <c r="K751" s="44"/>
      <c r="T751" s="46"/>
      <c r="AA751" s="42"/>
      <c r="AF751" s="44"/>
      <c r="AG751" s="47"/>
      <c r="AJ751" s="1"/>
    </row>
    <row r="752" ht="15.75" customHeight="1">
      <c r="C752" s="52"/>
      <c r="H752" s="42"/>
      <c r="K752" s="44"/>
      <c r="T752" s="46"/>
      <c r="AA752" s="42"/>
      <c r="AF752" s="44"/>
      <c r="AG752" s="47"/>
      <c r="AJ752" s="1"/>
    </row>
    <row r="753" ht="15.75" customHeight="1">
      <c r="C753" s="52"/>
      <c r="H753" s="42"/>
      <c r="K753" s="44"/>
      <c r="T753" s="46"/>
      <c r="AA753" s="42"/>
      <c r="AF753" s="44"/>
      <c r="AG753" s="47"/>
      <c r="AJ753" s="1"/>
    </row>
    <row r="754" ht="15.75" customHeight="1">
      <c r="C754" s="52"/>
      <c r="H754" s="42"/>
      <c r="K754" s="44"/>
      <c r="T754" s="46"/>
      <c r="AA754" s="42"/>
      <c r="AF754" s="44"/>
      <c r="AG754" s="47"/>
      <c r="AJ754" s="1"/>
    </row>
    <row r="755" ht="15.75" customHeight="1">
      <c r="C755" s="52"/>
      <c r="H755" s="42"/>
      <c r="K755" s="44"/>
      <c r="T755" s="46"/>
      <c r="AA755" s="42"/>
      <c r="AF755" s="44"/>
      <c r="AG755" s="47"/>
      <c r="AJ755" s="1"/>
    </row>
    <row r="756" ht="15.75" customHeight="1">
      <c r="C756" s="52"/>
      <c r="H756" s="42"/>
      <c r="K756" s="44"/>
      <c r="T756" s="46"/>
      <c r="AA756" s="42"/>
      <c r="AF756" s="44"/>
      <c r="AG756" s="47"/>
      <c r="AJ756" s="1"/>
    </row>
    <row r="757" ht="15.75" customHeight="1">
      <c r="C757" s="52"/>
      <c r="H757" s="42"/>
      <c r="K757" s="44"/>
      <c r="T757" s="46"/>
      <c r="AA757" s="42"/>
      <c r="AF757" s="44"/>
      <c r="AG757" s="47"/>
      <c r="AJ757" s="1"/>
    </row>
    <row r="758" ht="15.75" customHeight="1">
      <c r="C758" s="52"/>
      <c r="H758" s="42"/>
      <c r="K758" s="44"/>
      <c r="T758" s="46"/>
      <c r="AA758" s="42"/>
      <c r="AF758" s="44"/>
      <c r="AG758" s="47"/>
      <c r="AJ758" s="1"/>
    </row>
    <row r="759" ht="15.75" customHeight="1">
      <c r="C759" s="52"/>
      <c r="H759" s="42"/>
      <c r="K759" s="44"/>
      <c r="T759" s="46"/>
      <c r="AA759" s="42"/>
      <c r="AF759" s="44"/>
      <c r="AG759" s="47"/>
      <c r="AJ759" s="1"/>
    </row>
    <row r="760" ht="15.75" customHeight="1">
      <c r="C760" s="52"/>
      <c r="H760" s="42"/>
      <c r="K760" s="44"/>
      <c r="T760" s="46"/>
      <c r="AA760" s="42"/>
      <c r="AF760" s="44"/>
      <c r="AG760" s="47"/>
      <c r="AJ760" s="1"/>
    </row>
    <row r="761" ht="15.75" customHeight="1">
      <c r="C761" s="52"/>
      <c r="H761" s="42"/>
      <c r="K761" s="44"/>
      <c r="T761" s="46"/>
      <c r="AA761" s="42"/>
      <c r="AF761" s="44"/>
      <c r="AG761" s="47"/>
      <c r="AJ761" s="1"/>
    </row>
    <row r="762" ht="15.75" customHeight="1">
      <c r="C762" s="52"/>
      <c r="H762" s="42"/>
      <c r="K762" s="44"/>
      <c r="T762" s="46"/>
      <c r="AA762" s="42"/>
      <c r="AF762" s="44"/>
      <c r="AG762" s="47"/>
      <c r="AJ762" s="1"/>
    </row>
    <row r="763" ht="15.75" customHeight="1">
      <c r="C763" s="52"/>
      <c r="H763" s="42"/>
      <c r="K763" s="44"/>
      <c r="T763" s="46"/>
      <c r="AA763" s="42"/>
      <c r="AF763" s="44"/>
      <c r="AG763" s="47"/>
      <c r="AJ763" s="1"/>
    </row>
    <row r="764" ht="15.75" customHeight="1">
      <c r="C764" s="52"/>
      <c r="H764" s="42"/>
      <c r="K764" s="44"/>
      <c r="T764" s="46"/>
      <c r="AA764" s="42"/>
      <c r="AF764" s="44"/>
      <c r="AG764" s="47"/>
      <c r="AJ764" s="1"/>
    </row>
    <row r="765" ht="15.75" customHeight="1">
      <c r="C765" s="52"/>
      <c r="H765" s="42"/>
      <c r="K765" s="44"/>
      <c r="T765" s="46"/>
      <c r="AA765" s="42"/>
      <c r="AF765" s="44"/>
      <c r="AG765" s="47"/>
      <c r="AJ765" s="1"/>
    </row>
    <row r="766" ht="15.75" customHeight="1">
      <c r="C766" s="52"/>
      <c r="H766" s="42"/>
      <c r="K766" s="44"/>
      <c r="T766" s="46"/>
      <c r="AA766" s="42"/>
      <c r="AF766" s="44"/>
      <c r="AG766" s="47"/>
      <c r="AJ766" s="1"/>
    </row>
    <row r="767" ht="15.75" customHeight="1">
      <c r="C767" s="52"/>
      <c r="H767" s="42"/>
      <c r="K767" s="44"/>
      <c r="T767" s="46"/>
      <c r="AA767" s="42"/>
      <c r="AF767" s="44"/>
      <c r="AG767" s="47"/>
      <c r="AJ767" s="1"/>
    </row>
    <row r="768" ht="15.75" customHeight="1">
      <c r="C768" s="52"/>
      <c r="H768" s="42"/>
      <c r="K768" s="44"/>
      <c r="T768" s="46"/>
      <c r="AA768" s="42"/>
      <c r="AF768" s="44"/>
      <c r="AG768" s="47"/>
      <c r="AJ768" s="1"/>
    </row>
    <row r="769" ht="15.75" customHeight="1">
      <c r="C769" s="52"/>
      <c r="H769" s="42"/>
      <c r="K769" s="44"/>
      <c r="T769" s="46"/>
      <c r="AA769" s="42"/>
      <c r="AF769" s="44"/>
      <c r="AG769" s="47"/>
      <c r="AJ769" s="1"/>
    </row>
    <row r="770" ht="15.75" customHeight="1">
      <c r="C770" s="52"/>
      <c r="H770" s="42"/>
      <c r="K770" s="44"/>
      <c r="T770" s="46"/>
      <c r="AA770" s="42"/>
      <c r="AF770" s="44"/>
      <c r="AG770" s="47"/>
      <c r="AJ770" s="1"/>
    </row>
    <row r="771" ht="15.75" customHeight="1">
      <c r="C771" s="52"/>
      <c r="H771" s="42"/>
      <c r="K771" s="44"/>
      <c r="T771" s="46"/>
      <c r="AA771" s="42"/>
      <c r="AF771" s="44"/>
      <c r="AG771" s="47"/>
      <c r="AJ771" s="1"/>
    </row>
    <row r="772" ht="15.75" customHeight="1">
      <c r="C772" s="52"/>
      <c r="H772" s="42"/>
      <c r="K772" s="44"/>
      <c r="T772" s="46"/>
      <c r="AA772" s="42"/>
      <c r="AF772" s="44"/>
      <c r="AG772" s="47"/>
      <c r="AJ772" s="1"/>
    </row>
    <row r="773" ht="15.75" customHeight="1">
      <c r="C773" s="52"/>
      <c r="H773" s="42"/>
      <c r="K773" s="44"/>
      <c r="T773" s="46"/>
      <c r="AA773" s="42"/>
      <c r="AF773" s="44"/>
      <c r="AG773" s="47"/>
      <c r="AJ773" s="1"/>
    </row>
    <row r="774" ht="15.75" customHeight="1">
      <c r="C774" s="52"/>
      <c r="H774" s="42"/>
      <c r="K774" s="44"/>
      <c r="T774" s="46"/>
      <c r="AA774" s="42"/>
      <c r="AF774" s="44"/>
      <c r="AG774" s="47"/>
      <c r="AJ774" s="1"/>
    </row>
    <row r="775" ht="15.75" customHeight="1">
      <c r="C775" s="52"/>
      <c r="H775" s="42"/>
      <c r="K775" s="44"/>
      <c r="T775" s="46"/>
      <c r="AA775" s="42"/>
      <c r="AF775" s="44"/>
      <c r="AG775" s="47"/>
      <c r="AJ775" s="1"/>
    </row>
    <row r="776" ht="15.75" customHeight="1">
      <c r="C776" s="52"/>
      <c r="H776" s="42"/>
      <c r="K776" s="44"/>
      <c r="T776" s="46"/>
      <c r="AA776" s="42"/>
      <c r="AF776" s="44"/>
      <c r="AG776" s="47"/>
      <c r="AJ776" s="1"/>
    </row>
    <row r="777" ht="15.75" customHeight="1">
      <c r="C777" s="52"/>
      <c r="H777" s="42"/>
      <c r="K777" s="44"/>
      <c r="T777" s="46"/>
      <c r="AA777" s="42"/>
      <c r="AF777" s="44"/>
      <c r="AG777" s="47"/>
      <c r="AJ777" s="1"/>
    </row>
    <row r="778" ht="15.75" customHeight="1">
      <c r="C778" s="52"/>
      <c r="H778" s="42"/>
      <c r="K778" s="44"/>
      <c r="T778" s="46"/>
      <c r="AA778" s="42"/>
      <c r="AF778" s="44"/>
      <c r="AG778" s="47"/>
      <c r="AJ778" s="1"/>
    </row>
    <row r="779" ht="15.75" customHeight="1">
      <c r="C779" s="52"/>
      <c r="H779" s="42"/>
      <c r="K779" s="44"/>
      <c r="T779" s="46"/>
      <c r="AA779" s="42"/>
      <c r="AF779" s="44"/>
      <c r="AG779" s="47"/>
      <c r="AJ779" s="1"/>
    </row>
    <row r="780" ht="15.75" customHeight="1">
      <c r="C780" s="52"/>
      <c r="H780" s="42"/>
      <c r="K780" s="44"/>
      <c r="T780" s="46"/>
      <c r="AA780" s="42"/>
      <c r="AF780" s="44"/>
      <c r="AG780" s="47"/>
      <c r="AJ780" s="1"/>
    </row>
    <row r="781" ht="15.75" customHeight="1">
      <c r="C781" s="52"/>
      <c r="H781" s="42"/>
      <c r="K781" s="44"/>
      <c r="T781" s="46"/>
      <c r="AA781" s="42"/>
      <c r="AF781" s="44"/>
      <c r="AG781" s="47"/>
      <c r="AJ781" s="1"/>
    </row>
    <row r="782" ht="15.75" customHeight="1">
      <c r="C782" s="52"/>
      <c r="H782" s="42"/>
      <c r="K782" s="44"/>
      <c r="T782" s="46"/>
      <c r="AA782" s="42"/>
      <c r="AF782" s="44"/>
      <c r="AG782" s="47"/>
      <c r="AJ782" s="1"/>
    </row>
    <row r="783" ht="15.75" customHeight="1">
      <c r="C783" s="52"/>
      <c r="H783" s="42"/>
      <c r="K783" s="44"/>
      <c r="T783" s="46"/>
      <c r="AA783" s="42"/>
      <c r="AF783" s="44"/>
      <c r="AG783" s="47"/>
      <c r="AJ783" s="1"/>
    </row>
    <row r="784" ht="15.75" customHeight="1">
      <c r="C784" s="52"/>
      <c r="H784" s="42"/>
      <c r="K784" s="44"/>
      <c r="T784" s="46"/>
      <c r="AA784" s="42"/>
      <c r="AF784" s="44"/>
      <c r="AG784" s="47"/>
      <c r="AJ784" s="1"/>
    </row>
    <row r="785" ht="15.75" customHeight="1">
      <c r="C785" s="52"/>
      <c r="H785" s="42"/>
      <c r="K785" s="44"/>
      <c r="T785" s="46"/>
      <c r="AA785" s="42"/>
      <c r="AF785" s="44"/>
      <c r="AG785" s="47"/>
      <c r="AJ785" s="1"/>
    </row>
    <row r="786" ht="15.75" customHeight="1">
      <c r="C786" s="52"/>
      <c r="H786" s="42"/>
      <c r="K786" s="44"/>
      <c r="T786" s="46"/>
      <c r="AA786" s="42"/>
      <c r="AF786" s="44"/>
      <c r="AG786" s="47"/>
      <c r="AJ786" s="1"/>
    </row>
    <row r="787" ht="15.75" customHeight="1">
      <c r="C787" s="52"/>
      <c r="H787" s="42"/>
      <c r="K787" s="44"/>
      <c r="T787" s="46"/>
      <c r="AA787" s="42"/>
      <c r="AF787" s="44"/>
      <c r="AG787" s="47"/>
      <c r="AJ787" s="1"/>
    </row>
    <row r="788" ht="15.75" customHeight="1">
      <c r="C788" s="52"/>
      <c r="H788" s="42"/>
      <c r="K788" s="44"/>
      <c r="T788" s="46"/>
      <c r="AA788" s="42"/>
      <c r="AF788" s="44"/>
      <c r="AG788" s="47"/>
      <c r="AJ788" s="1"/>
    </row>
    <row r="789" ht="15.75" customHeight="1">
      <c r="C789" s="52"/>
      <c r="H789" s="42"/>
      <c r="K789" s="44"/>
      <c r="T789" s="46"/>
      <c r="AA789" s="42"/>
      <c r="AF789" s="44"/>
      <c r="AG789" s="47"/>
      <c r="AJ789" s="1"/>
    </row>
    <row r="790" ht="15.75" customHeight="1">
      <c r="C790" s="52"/>
      <c r="H790" s="42"/>
      <c r="K790" s="44"/>
      <c r="T790" s="46"/>
      <c r="AA790" s="42"/>
      <c r="AF790" s="44"/>
      <c r="AG790" s="47"/>
      <c r="AJ790" s="1"/>
    </row>
    <row r="791" ht="15.75" customHeight="1">
      <c r="C791" s="52"/>
      <c r="H791" s="42"/>
      <c r="K791" s="44"/>
      <c r="T791" s="46"/>
      <c r="AA791" s="42"/>
      <c r="AF791" s="44"/>
      <c r="AG791" s="47"/>
      <c r="AJ791" s="1"/>
    </row>
    <row r="792" ht="15.75" customHeight="1">
      <c r="C792" s="52"/>
      <c r="H792" s="42"/>
      <c r="K792" s="44"/>
      <c r="T792" s="46"/>
      <c r="AA792" s="42"/>
      <c r="AF792" s="44"/>
      <c r="AG792" s="47"/>
      <c r="AJ792" s="1"/>
    </row>
    <row r="793" ht="15.75" customHeight="1">
      <c r="C793" s="52"/>
      <c r="H793" s="42"/>
      <c r="K793" s="44"/>
      <c r="T793" s="46"/>
      <c r="AA793" s="42"/>
      <c r="AF793" s="44"/>
      <c r="AG793" s="47"/>
      <c r="AJ793" s="1"/>
    </row>
    <row r="794" ht="15.75" customHeight="1">
      <c r="C794" s="52"/>
      <c r="H794" s="42"/>
      <c r="K794" s="44"/>
      <c r="T794" s="46"/>
      <c r="AA794" s="42"/>
      <c r="AF794" s="44"/>
      <c r="AG794" s="47"/>
      <c r="AJ794" s="1"/>
    </row>
    <row r="795" ht="15.75" customHeight="1">
      <c r="C795" s="52"/>
      <c r="H795" s="42"/>
      <c r="K795" s="44"/>
      <c r="T795" s="46"/>
      <c r="AA795" s="42"/>
      <c r="AF795" s="44"/>
      <c r="AG795" s="47"/>
      <c r="AJ795" s="1"/>
    </row>
    <row r="796" ht="15.75" customHeight="1">
      <c r="C796" s="52"/>
      <c r="H796" s="42"/>
      <c r="K796" s="44"/>
      <c r="T796" s="46"/>
      <c r="AA796" s="42"/>
      <c r="AF796" s="44"/>
      <c r="AG796" s="47"/>
      <c r="AJ796" s="1"/>
    </row>
    <row r="797" ht="15.75" customHeight="1">
      <c r="C797" s="52"/>
      <c r="H797" s="42"/>
      <c r="K797" s="44"/>
      <c r="T797" s="46"/>
      <c r="AA797" s="42"/>
      <c r="AF797" s="44"/>
      <c r="AG797" s="47"/>
      <c r="AJ797" s="1"/>
    </row>
    <row r="798" ht="15.75" customHeight="1">
      <c r="C798" s="52"/>
      <c r="H798" s="42"/>
      <c r="K798" s="44"/>
      <c r="T798" s="46"/>
      <c r="AA798" s="42"/>
      <c r="AF798" s="44"/>
      <c r="AG798" s="47"/>
      <c r="AJ798" s="1"/>
    </row>
    <row r="799" ht="15.75" customHeight="1">
      <c r="C799" s="52"/>
      <c r="H799" s="42"/>
      <c r="K799" s="44"/>
      <c r="T799" s="46"/>
      <c r="AA799" s="42"/>
      <c r="AF799" s="44"/>
      <c r="AG799" s="47"/>
      <c r="AJ799" s="1"/>
    </row>
    <row r="800" ht="15.75" customHeight="1">
      <c r="C800" s="52"/>
      <c r="H800" s="42"/>
      <c r="K800" s="44"/>
      <c r="T800" s="46"/>
      <c r="AA800" s="42"/>
      <c r="AF800" s="44"/>
      <c r="AG800" s="47"/>
      <c r="AJ800" s="1"/>
    </row>
    <row r="801" ht="15.75" customHeight="1">
      <c r="C801" s="52"/>
      <c r="H801" s="42"/>
      <c r="K801" s="44"/>
      <c r="T801" s="46"/>
      <c r="AA801" s="42"/>
      <c r="AF801" s="44"/>
      <c r="AG801" s="47"/>
      <c r="AJ801" s="1"/>
    </row>
    <row r="802" ht="15.75" customHeight="1">
      <c r="C802" s="52"/>
      <c r="H802" s="42"/>
      <c r="K802" s="44"/>
      <c r="T802" s="46"/>
      <c r="AA802" s="42"/>
      <c r="AF802" s="44"/>
      <c r="AG802" s="47"/>
      <c r="AJ802" s="1"/>
    </row>
    <row r="803" ht="15.75" customHeight="1">
      <c r="C803" s="52"/>
      <c r="H803" s="42"/>
      <c r="K803" s="44"/>
      <c r="T803" s="46"/>
      <c r="AA803" s="42"/>
      <c r="AF803" s="44"/>
      <c r="AG803" s="47"/>
      <c r="AJ803" s="1"/>
    </row>
    <row r="804" ht="15.75" customHeight="1">
      <c r="C804" s="52"/>
      <c r="H804" s="42"/>
      <c r="K804" s="44"/>
      <c r="T804" s="46"/>
      <c r="AA804" s="42"/>
      <c r="AF804" s="44"/>
      <c r="AG804" s="47"/>
      <c r="AJ804" s="1"/>
    </row>
    <row r="805" ht="15.75" customHeight="1">
      <c r="C805" s="52"/>
      <c r="H805" s="42"/>
      <c r="K805" s="44"/>
      <c r="T805" s="46"/>
      <c r="AA805" s="42"/>
      <c r="AF805" s="44"/>
      <c r="AG805" s="47"/>
      <c r="AJ805" s="1"/>
    </row>
    <row r="806" ht="15.75" customHeight="1">
      <c r="C806" s="52"/>
      <c r="H806" s="42"/>
      <c r="K806" s="44"/>
      <c r="T806" s="46"/>
      <c r="AA806" s="42"/>
      <c r="AF806" s="44"/>
      <c r="AG806" s="47"/>
      <c r="AJ806" s="1"/>
    </row>
    <row r="807" ht="15.75" customHeight="1">
      <c r="C807" s="52"/>
      <c r="H807" s="42"/>
      <c r="K807" s="44"/>
      <c r="T807" s="46"/>
      <c r="AA807" s="42"/>
      <c r="AF807" s="44"/>
      <c r="AG807" s="47"/>
      <c r="AJ807" s="1"/>
    </row>
    <row r="808" ht="15.75" customHeight="1">
      <c r="C808" s="52"/>
      <c r="H808" s="42"/>
      <c r="K808" s="44"/>
      <c r="T808" s="46"/>
      <c r="AA808" s="42"/>
      <c r="AF808" s="44"/>
      <c r="AG808" s="47"/>
      <c r="AJ808" s="1"/>
    </row>
    <row r="809" ht="15.75" customHeight="1">
      <c r="C809" s="52"/>
      <c r="H809" s="42"/>
      <c r="K809" s="44"/>
      <c r="T809" s="46"/>
      <c r="AA809" s="42"/>
      <c r="AF809" s="44"/>
      <c r="AG809" s="47"/>
      <c r="AJ809" s="1"/>
    </row>
    <row r="810" ht="15.75" customHeight="1">
      <c r="C810" s="52"/>
      <c r="H810" s="42"/>
      <c r="K810" s="44"/>
      <c r="T810" s="46"/>
      <c r="AA810" s="42"/>
      <c r="AF810" s="44"/>
      <c r="AG810" s="47"/>
      <c r="AJ810" s="1"/>
    </row>
    <row r="811" ht="15.75" customHeight="1">
      <c r="C811" s="52"/>
      <c r="H811" s="42"/>
      <c r="K811" s="44"/>
      <c r="T811" s="46"/>
      <c r="AA811" s="42"/>
      <c r="AF811" s="44"/>
      <c r="AG811" s="47"/>
      <c r="AJ811" s="1"/>
    </row>
    <row r="812" ht="15.75" customHeight="1">
      <c r="C812" s="52"/>
      <c r="H812" s="42"/>
      <c r="K812" s="44"/>
      <c r="T812" s="46"/>
      <c r="AA812" s="42"/>
      <c r="AF812" s="44"/>
      <c r="AG812" s="47"/>
      <c r="AJ812" s="1"/>
    </row>
    <row r="813" ht="15.75" customHeight="1">
      <c r="C813" s="52"/>
      <c r="H813" s="42"/>
      <c r="K813" s="44"/>
      <c r="T813" s="46"/>
      <c r="AA813" s="42"/>
      <c r="AF813" s="44"/>
      <c r="AG813" s="47"/>
      <c r="AJ813" s="1"/>
    </row>
    <row r="814" ht="15.75" customHeight="1">
      <c r="C814" s="52"/>
      <c r="H814" s="42"/>
      <c r="K814" s="44"/>
      <c r="T814" s="46"/>
      <c r="AA814" s="42"/>
      <c r="AF814" s="44"/>
      <c r="AG814" s="47"/>
      <c r="AJ814" s="1"/>
    </row>
    <row r="815" ht="15.75" customHeight="1">
      <c r="C815" s="52"/>
      <c r="H815" s="42"/>
      <c r="K815" s="44"/>
      <c r="T815" s="46"/>
      <c r="AA815" s="42"/>
      <c r="AF815" s="44"/>
      <c r="AG815" s="47"/>
      <c r="AJ815" s="1"/>
    </row>
    <row r="816" ht="15.75" customHeight="1">
      <c r="C816" s="52"/>
      <c r="H816" s="42"/>
      <c r="K816" s="44"/>
      <c r="T816" s="46"/>
      <c r="AA816" s="42"/>
      <c r="AF816" s="44"/>
      <c r="AG816" s="47"/>
      <c r="AJ816" s="1"/>
    </row>
    <row r="817" ht="15.75" customHeight="1">
      <c r="C817" s="52"/>
      <c r="H817" s="42"/>
      <c r="K817" s="44"/>
      <c r="T817" s="46"/>
      <c r="AA817" s="42"/>
      <c r="AF817" s="44"/>
      <c r="AG817" s="47"/>
      <c r="AJ817" s="1"/>
    </row>
    <row r="818" ht="15.75" customHeight="1">
      <c r="C818" s="52"/>
      <c r="H818" s="42"/>
      <c r="K818" s="44"/>
      <c r="T818" s="46"/>
      <c r="AA818" s="42"/>
      <c r="AF818" s="44"/>
      <c r="AG818" s="47"/>
      <c r="AJ818" s="1"/>
    </row>
    <row r="819" ht="15.75" customHeight="1">
      <c r="C819" s="52"/>
      <c r="H819" s="42"/>
      <c r="K819" s="44"/>
      <c r="T819" s="46"/>
      <c r="AA819" s="42"/>
      <c r="AF819" s="44"/>
      <c r="AG819" s="47"/>
      <c r="AJ819" s="1"/>
    </row>
    <row r="820" ht="15.75" customHeight="1">
      <c r="C820" s="52"/>
      <c r="H820" s="42"/>
      <c r="K820" s="44"/>
      <c r="T820" s="46"/>
      <c r="AA820" s="42"/>
      <c r="AF820" s="44"/>
      <c r="AG820" s="47"/>
      <c r="AJ820" s="1"/>
    </row>
    <row r="821" ht="15.75" customHeight="1">
      <c r="C821" s="52"/>
      <c r="H821" s="42"/>
      <c r="K821" s="44"/>
      <c r="T821" s="46"/>
      <c r="AA821" s="42"/>
      <c r="AF821" s="44"/>
      <c r="AG821" s="47"/>
      <c r="AJ821" s="1"/>
    </row>
    <row r="822" ht="15.75" customHeight="1">
      <c r="C822" s="52"/>
      <c r="H822" s="42"/>
      <c r="K822" s="44"/>
      <c r="T822" s="46"/>
      <c r="AA822" s="42"/>
      <c r="AF822" s="44"/>
      <c r="AG822" s="47"/>
      <c r="AJ822" s="1"/>
    </row>
    <row r="823" ht="15.75" customHeight="1">
      <c r="C823" s="52"/>
      <c r="H823" s="42"/>
      <c r="K823" s="44"/>
      <c r="T823" s="46"/>
      <c r="AA823" s="42"/>
      <c r="AF823" s="44"/>
      <c r="AG823" s="47"/>
      <c r="AJ823" s="1"/>
    </row>
    <row r="824" ht="15.75" customHeight="1">
      <c r="C824" s="52"/>
      <c r="H824" s="42"/>
      <c r="K824" s="44"/>
      <c r="T824" s="46"/>
      <c r="AA824" s="42"/>
      <c r="AF824" s="44"/>
      <c r="AG824" s="47"/>
      <c r="AJ824" s="1"/>
    </row>
    <row r="825" ht="15.75" customHeight="1">
      <c r="C825" s="52"/>
      <c r="H825" s="42"/>
      <c r="K825" s="44"/>
      <c r="T825" s="46"/>
      <c r="AA825" s="42"/>
      <c r="AF825" s="44"/>
      <c r="AG825" s="47"/>
      <c r="AJ825" s="1"/>
    </row>
    <row r="826" ht="15.75" customHeight="1">
      <c r="C826" s="52"/>
      <c r="H826" s="42"/>
      <c r="K826" s="44"/>
      <c r="T826" s="46"/>
      <c r="AA826" s="42"/>
      <c r="AF826" s="44"/>
      <c r="AG826" s="47"/>
      <c r="AJ826" s="1"/>
    </row>
    <row r="827" ht="15.75" customHeight="1">
      <c r="C827" s="52"/>
      <c r="H827" s="42"/>
      <c r="K827" s="44"/>
      <c r="T827" s="46"/>
      <c r="AA827" s="42"/>
      <c r="AF827" s="44"/>
      <c r="AG827" s="47"/>
      <c r="AJ827" s="1"/>
    </row>
    <row r="828" ht="15.75" customHeight="1">
      <c r="C828" s="52"/>
      <c r="H828" s="42"/>
      <c r="K828" s="44"/>
      <c r="T828" s="46"/>
      <c r="AA828" s="42"/>
      <c r="AF828" s="44"/>
      <c r="AG828" s="47"/>
      <c r="AJ828" s="1"/>
    </row>
    <row r="829" ht="15.75" customHeight="1">
      <c r="C829" s="52"/>
      <c r="H829" s="42"/>
      <c r="K829" s="44"/>
      <c r="T829" s="46"/>
      <c r="AA829" s="42"/>
      <c r="AF829" s="44"/>
      <c r="AG829" s="47"/>
      <c r="AJ829" s="1"/>
    </row>
    <row r="830" ht="15.75" customHeight="1">
      <c r="C830" s="52"/>
      <c r="H830" s="42"/>
      <c r="K830" s="44"/>
      <c r="T830" s="46"/>
      <c r="AA830" s="42"/>
      <c r="AF830" s="44"/>
      <c r="AG830" s="47"/>
      <c r="AJ830" s="1"/>
    </row>
    <row r="831" ht="15.75" customHeight="1">
      <c r="C831" s="52"/>
      <c r="H831" s="42"/>
      <c r="K831" s="44"/>
      <c r="T831" s="46"/>
      <c r="AA831" s="42"/>
      <c r="AF831" s="44"/>
      <c r="AG831" s="47"/>
      <c r="AJ831" s="1"/>
    </row>
    <row r="832" ht="15.75" customHeight="1">
      <c r="C832" s="52"/>
      <c r="H832" s="42"/>
      <c r="K832" s="44"/>
      <c r="T832" s="46"/>
      <c r="AA832" s="42"/>
      <c r="AF832" s="44"/>
      <c r="AG832" s="47"/>
      <c r="AJ832" s="1"/>
    </row>
    <row r="833" ht="15.75" customHeight="1">
      <c r="C833" s="52"/>
      <c r="H833" s="42"/>
      <c r="K833" s="44"/>
      <c r="T833" s="46"/>
      <c r="AA833" s="42"/>
      <c r="AF833" s="44"/>
      <c r="AG833" s="47"/>
      <c r="AJ833" s="1"/>
    </row>
    <row r="834" ht="15.75" customHeight="1">
      <c r="C834" s="52"/>
      <c r="H834" s="42"/>
      <c r="K834" s="44"/>
      <c r="T834" s="46"/>
      <c r="AA834" s="42"/>
      <c r="AF834" s="44"/>
      <c r="AG834" s="47"/>
      <c r="AJ834" s="1"/>
    </row>
    <row r="835" ht="15.75" customHeight="1">
      <c r="C835" s="52"/>
      <c r="H835" s="42"/>
      <c r="K835" s="44"/>
      <c r="T835" s="46"/>
      <c r="AA835" s="42"/>
      <c r="AF835" s="44"/>
      <c r="AG835" s="47"/>
      <c r="AJ835" s="1"/>
    </row>
    <row r="836" ht="15.75" customHeight="1">
      <c r="C836" s="52"/>
      <c r="H836" s="42"/>
      <c r="K836" s="44"/>
      <c r="T836" s="46"/>
      <c r="AA836" s="42"/>
      <c r="AF836" s="44"/>
      <c r="AG836" s="47"/>
      <c r="AJ836" s="1"/>
    </row>
    <row r="837" ht="15.75" customHeight="1">
      <c r="C837" s="52"/>
      <c r="H837" s="42"/>
      <c r="K837" s="44"/>
      <c r="T837" s="46"/>
      <c r="AA837" s="42"/>
      <c r="AF837" s="44"/>
      <c r="AG837" s="47"/>
      <c r="AJ837" s="1"/>
    </row>
    <row r="838" ht="15.75" customHeight="1">
      <c r="C838" s="52"/>
      <c r="H838" s="42"/>
      <c r="K838" s="44"/>
      <c r="T838" s="46"/>
      <c r="AA838" s="42"/>
      <c r="AF838" s="44"/>
      <c r="AG838" s="47"/>
      <c r="AJ838" s="1"/>
    </row>
    <row r="839" ht="15.75" customHeight="1">
      <c r="C839" s="52"/>
      <c r="H839" s="42"/>
      <c r="K839" s="44"/>
      <c r="T839" s="46"/>
      <c r="AA839" s="42"/>
      <c r="AF839" s="44"/>
      <c r="AG839" s="47"/>
      <c r="AJ839" s="1"/>
    </row>
    <row r="840" ht="15.75" customHeight="1">
      <c r="C840" s="52"/>
      <c r="H840" s="42"/>
      <c r="K840" s="44"/>
      <c r="T840" s="46"/>
      <c r="AA840" s="42"/>
      <c r="AF840" s="44"/>
      <c r="AG840" s="47"/>
      <c r="AJ840" s="1"/>
    </row>
    <row r="841" ht="15.75" customHeight="1">
      <c r="C841" s="52"/>
      <c r="H841" s="42"/>
      <c r="K841" s="44"/>
      <c r="T841" s="46"/>
      <c r="AA841" s="42"/>
      <c r="AF841" s="44"/>
      <c r="AG841" s="47"/>
      <c r="AJ841" s="1"/>
    </row>
    <row r="842" ht="15.75" customHeight="1">
      <c r="C842" s="52"/>
      <c r="H842" s="42"/>
      <c r="K842" s="44"/>
      <c r="T842" s="46"/>
      <c r="AA842" s="42"/>
      <c r="AF842" s="44"/>
      <c r="AG842" s="47"/>
      <c r="AJ842" s="1"/>
    </row>
    <row r="843" ht="15.75" customHeight="1">
      <c r="C843" s="52"/>
      <c r="H843" s="42"/>
      <c r="K843" s="44"/>
      <c r="T843" s="46"/>
      <c r="AA843" s="42"/>
      <c r="AF843" s="44"/>
      <c r="AG843" s="47"/>
      <c r="AJ843" s="1"/>
    </row>
    <row r="844" ht="15.75" customHeight="1">
      <c r="C844" s="52"/>
      <c r="H844" s="42"/>
      <c r="K844" s="44"/>
      <c r="T844" s="46"/>
      <c r="AA844" s="42"/>
      <c r="AF844" s="44"/>
      <c r="AG844" s="47"/>
      <c r="AJ844" s="1"/>
    </row>
    <row r="845" ht="15.75" customHeight="1">
      <c r="C845" s="52"/>
      <c r="H845" s="42"/>
      <c r="K845" s="44"/>
      <c r="T845" s="46"/>
      <c r="AA845" s="42"/>
      <c r="AF845" s="44"/>
      <c r="AG845" s="47"/>
      <c r="AJ845" s="1"/>
    </row>
    <row r="846" ht="15.75" customHeight="1">
      <c r="C846" s="52"/>
      <c r="H846" s="42"/>
      <c r="K846" s="44"/>
      <c r="T846" s="46"/>
      <c r="AA846" s="42"/>
      <c r="AF846" s="44"/>
      <c r="AG846" s="47"/>
      <c r="AJ846" s="1"/>
    </row>
    <row r="847" ht="15.75" customHeight="1">
      <c r="C847" s="52"/>
      <c r="H847" s="42"/>
      <c r="K847" s="44"/>
      <c r="T847" s="46"/>
      <c r="AA847" s="42"/>
      <c r="AF847" s="44"/>
      <c r="AG847" s="47"/>
      <c r="AJ847" s="1"/>
    </row>
    <row r="848" ht="15.75" customHeight="1">
      <c r="C848" s="52"/>
      <c r="H848" s="42"/>
      <c r="K848" s="44"/>
      <c r="T848" s="46"/>
      <c r="AA848" s="42"/>
      <c r="AF848" s="44"/>
      <c r="AG848" s="47"/>
      <c r="AJ848" s="1"/>
    </row>
    <row r="849" ht="15.75" customHeight="1">
      <c r="C849" s="52"/>
      <c r="H849" s="42"/>
      <c r="K849" s="44"/>
      <c r="T849" s="46"/>
      <c r="AA849" s="42"/>
      <c r="AF849" s="44"/>
      <c r="AG849" s="47"/>
      <c r="AJ849" s="1"/>
    </row>
    <row r="850" ht="15.75" customHeight="1">
      <c r="C850" s="52"/>
      <c r="H850" s="42"/>
      <c r="K850" s="44"/>
      <c r="T850" s="46"/>
      <c r="AA850" s="42"/>
      <c r="AF850" s="44"/>
      <c r="AG850" s="47"/>
      <c r="AJ850" s="1"/>
    </row>
    <row r="851" ht="15.75" customHeight="1">
      <c r="C851" s="52"/>
      <c r="H851" s="42"/>
      <c r="K851" s="44"/>
      <c r="T851" s="46"/>
      <c r="AA851" s="42"/>
      <c r="AF851" s="44"/>
      <c r="AG851" s="47"/>
      <c r="AJ851" s="1"/>
    </row>
    <row r="852" ht="15.75" customHeight="1">
      <c r="C852" s="52"/>
      <c r="H852" s="42"/>
      <c r="K852" s="44"/>
      <c r="T852" s="46"/>
      <c r="AA852" s="42"/>
      <c r="AF852" s="44"/>
      <c r="AG852" s="47"/>
      <c r="AJ852" s="1"/>
    </row>
    <row r="853" ht="15.75" customHeight="1">
      <c r="C853" s="52"/>
      <c r="H853" s="42"/>
      <c r="K853" s="44"/>
      <c r="T853" s="46"/>
      <c r="AA853" s="42"/>
      <c r="AF853" s="44"/>
      <c r="AG853" s="47"/>
      <c r="AJ853" s="1"/>
    </row>
    <row r="854" ht="15.75" customHeight="1">
      <c r="C854" s="52"/>
      <c r="H854" s="42"/>
      <c r="K854" s="44"/>
      <c r="T854" s="46"/>
      <c r="AA854" s="42"/>
      <c r="AF854" s="44"/>
      <c r="AG854" s="47"/>
      <c r="AJ854" s="1"/>
    </row>
    <row r="855" ht="15.75" customHeight="1">
      <c r="C855" s="52"/>
      <c r="H855" s="42"/>
      <c r="K855" s="44"/>
      <c r="T855" s="46"/>
      <c r="AA855" s="42"/>
      <c r="AF855" s="44"/>
      <c r="AG855" s="47"/>
      <c r="AJ855" s="1"/>
    </row>
    <row r="856" ht="15.75" customHeight="1">
      <c r="C856" s="52"/>
      <c r="H856" s="42"/>
      <c r="K856" s="44"/>
      <c r="T856" s="46"/>
      <c r="AA856" s="42"/>
      <c r="AF856" s="44"/>
      <c r="AG856" s="47"/>
      <c r="AJ856" s="1"/>
    </row>
    <row r="857" ht="15.75" customHeight="1">
      <c r="C857" s="52"/>
      <c r="H857" s="42"/>
      <c r="K857" s="44"/>
      <c r="T857" s="46"/>
      <c r="AA857" s="42"/>
      <c r="AF857" s="44"/>
      <c r="AG857" s="47"/>
      <c r="AJ857" s="1"/>
    </row>
    <row r="858" ht="15.75" customHeight="1">
      <c r="C858" s="52"/>
      <c r="H858" s="42"/>
      <c r="K858" s="44"/>
      <c r="T858" s="46"/>
      <c r="AA858" s="42"/>
      <c r="AF858" s="44"/>
      <c r="AG858" s="47"/>
      <c r="AJ858" s="1"/>
    </row>
    <row r="859" ht="15.75" customHeight="1">
      <c r="C859" s="52"/>
      <c r="H859" s="42"/>
      <c r="K859" s="44"/>
      <c r="T859" s="46"/>
      <c r="AA859" s="42"/>
      <c r="AF859" s="44"/>
      <c r="AG859" s="47"/>
      <c r="AJ859" s="1"/>
    </row>
    <row r="860" ht="15.75" customHeight="1">
      <c r="C860" s="52"/>
      <c r="H860" s="42"/>
      <c r="K860" s="44"/>
      <c r="T860" s="46"/>
      <c r="AA860" s="42"/>
      <c r="AF860" s="44"/>
      <c r="AG860" s="47"/>
      <c r="AJ860" s="1"/>
    </row>
    <row r="861" ht="15.75" customHeight="1">
      <c r="C861" s="52"/>
      <c r="H861" s="42"/>
      <c r="K861" s="44"/>
      <c r="T861" s="46"/>
      <c r="AA861" s="42"/>
      <c r="AF861" s="44"/>
      <c r="AG861" s="47"/>
      <c r="AJ861" s="1"/>
    </row>
    <row r="862" ht="15.75" customHeight="1">
      <c r="C862" s="52"/>
      <c r="H862" s="42"/>
      <c r="K862" s="44"/>
      <c r="T862" s="46"/>
      <c r="AA862" s="42"/>
      <c r="AF862" s="44"/>
      <c r="AG862" s="47"/>
      <c r="AJ862" s="1"/>
    </row>
    <row r="863" ht="15.75" customHeight="1">
      <c r="C863" s="52"/>
      <c r="H863" s="42"/>
      <c r="K863" s="44"/>
      <c r="T863" s="46"/>
      <c r="AA863" s="42"/>
      <c r="AF863" s="44"/>
      <c r="AG863" s="47"/>
      <c r="AJ863" s="1"/>
    </row>
    <row r="864" ht="15.75" customHeight="1">
      <c r="C864" s="52"/>
      <c r="H864" s="42"/>
      <c r="K864" s="44"/>
      <c r="T864" s="46"/>
      <c r="AA864" s="42"/>
      <c r="AF864" s="44"/>
      <c r="AG864" s="47"/>
      <c r="AJ864" s="1"/>
    </row>
    <row r="865" ht="15.75" customHeight="1">
      <c r="C865" s="52"/>
      <c r="H865" s="42"/>
      <c r="K865" s="44"/>
      <c r="T865" s="46"/>
      <c r="AA865" s="42"/>
      <c r="AF865" s="44"/>
      <c r="AG865" s="47"/>
      <c r="AJ865" s="1"/>
    </row>
    <row r="866" ht="15.75" customHeight="1">
      <c r="C866" s="52"/>
      <c r="H866" s="42"/>
      <c r="K866" s="44"/>
      <c r="T866" s="46"/>
      <c r="AA866" s="42"/>
      <c r="AF866" s="44"/>
      <c r="AG866" s="47"/>
      <c r="AJ866" s="1"/>
    </row>
    <row r="867" ht="15.75" customHeight="1">
      <c r="C867" s="52"/>
      <c r="H867" s="42"/>
      <c r="K867" s="44"/>
      <c r="T867" s="46"/>
      <c r="AA867" s="42"/>
      <c r="AF867" s="44"/>
      <c r="AG867" s="47"/>
      <c r="AJ867" s="1"/>
    </row>
    <row r="868" ht="15.75" customHeight="1">
      <c r="C868" s="52"/>
      <c r="H868" s="42"/>
      <c r="K868" s="44"/>
      <c r="T868" s="46"/>
      <c r="AA868" s="42"/>
      <c r="AF868" s="44"/>
      <c r="AG868" s="47"/>
      <c r="AJ868" s="1"/>
    </row>
    <row r="869" ht="15.75" customHeight="1">
      <c r="C869" s="52"/>
      <c r="H869" s="42"/>
      <c r="K869" s="44"/>
      <c r="T869" s="46"/>
      <c r="AA869" s="42"/>
      <c r="AF869" s="44"/>
      <c r="AG869" s="47"/>
      <c r="AJ869" s="1"/>
    </row>
    <row r="870" ht="15.75" customHeight="1">
      <c r="C870" s="52"/>
      <c r="H870" s="42"/>
      <c r="K870" s="44"/>
      <c r="T870" s="46"/>
      <c r="AA870" s="42"/>
      <c r="AF870" s="44"/>
      <c r="AG870" s="47"/>
      <c r="AJ870" s="1"/>
    </row>
    <row r="871" ht="15.75" customHeight="1">
      <c r="C871" s="52"/>
      <c r="H871" s="42"/>
      <c r="K871" s="44"/>
      <c r="T871" s="46"/>
      <c r="AA871" s="42"/>
      <c r="AF871" s="44"/>
      <c r="AG871" s="47"/>
      <c r="AJ871" s="1"/>
    </row>
    <row r="872" ht="15.75" customHeight="1">
      <c r="C872" s="52"/>
      <c r="H872" s="42"/>
      <c r="K872" s="44"/>
      <c r="T872" s="46"/>
      <c r="AA872" s="42"/>
      <c r="AF872" s="44"/>
      <c r="AG872" s="47"/>
      <c r="AJ872" s="1"/>
    </row>
    <row r="873" ht="15.75" customHeight="1">
      <c r="C873" s="52"/>
      <c r="H873" s="42"/>
      <c r="K873" s="44"/>
      <c r="T873" s="46"/>
      <c r="AA873" s="42"/>
      <c r="AF873" s="44"/>
      <c r="AG873" s="47"/>
      <c r="AJ873" s="1"/>
    </row>
    <row r="874" ht="15.75" customHeight="1">
      <c r="C874" s="52"/>
      <c r="H874" s="42"/>
      <c r="K874" s="44"/>
      <c r="T874" s="46"/>
      <c r="AA874" s="42"/>
      <c r="AF874" s="44"/>
      <c r="AG874" s="47"/>
      <c r="AJ874" s="1"/>
    </row>
    <row r="875" ht="15.75" customHeight="1">
      <c r="C875" s="52"/>
      <c r="H875" s="42"/>
      <c r="K875" s="44"/>
      <c r="T875" s="46"/>
      <c r="AA875" s="42"/>
      <c r="AF875" s="44"/>
      <c r="AG875" s="47"/>
      <c r="AJ875" s="1"/>
    </row>
    <row r="876" ht="15.75" customHeight="1">
      <c r="C876" s="52"/>
      <c r="H876" s="42"/>
      <c r="K876" s="44"/>
      <c r="T876" s="46"/>
      <c r="AA876" s="42"/>
      <c r="AF876" s="44"/>
      <c r="AG876" s="47"/>
      <c r="AJ876" s="1"/>
    </row>
    <row r="877" ht="15.75" customHeight="1">
      <c r="C877" s="52"/>
      <c r="H877" s="42"/>
      <c r="K877" s="44"/>
      <c r="T877" s="46"/>
      <c r="AA877" s="42"/>
      <c r="AF877" s="44"/>
      <c r="AG877" s="47"/>
      <c r="AJ877" s="1"/>
    </row>
    <row r="878" ht="15.75" customHeight="1">
      <c r="C878" s="52"/>
      <c r="H878" s="42"/>
      <c r="K878" s="44"/>
      <c r="T878" s="46"/>
      <c r="AA878" s="42"/>
      <c r="AF878" s="44"/>
      <c r="AG878" s="47"/>
      <c r="AJ878" s="1"/>
    </row>
    <row r="879" ht="15.75" customHeight="1">
      <c r="C879" s="52"/>
      <c r="H879" s="42"/>
      <c r="K879" s="44"/>
      <c r="T879" s="46"/>
      <c r="AA879" s="42"/>
      <c r="AF879" s="44"/>
      <c r="AG879" s="47"/>
      <c r="AJ879" s="1"/>
    </row>
    <row r="880" ht="15.75" customHeight="1">
      <c r="C880" s="52"/>
      <c r="H880" s="42"/>
      <c r="K880" s="44"/>
      <c r="T880" s="46"/>
      <c r="AA880" s="42"/>
      <c r="AF880" s="44"/>
      <c r="AG880" s="47"/>
      <c r="AJ880" s="1"/>
    </row>
    <row r="881" ht="15.75" customHeight="1">
      <c r="C881" s="52"/>
      <c r="H881" s="42"/>
      <c r="K881" s="44"/>
      <c r="T881" s="46"/>
      <c r="AA881" s="42"/>
      <c r="AF881" s="44"/>
      <c r="AG881" s="47"/>
      <c r="AJ881" s="1"/>
    </row>
    <row r="882" ht="15.75" customHeight="1">
      <c r="C882" s="52"/>
      <c r="H882" s="42"/>
      <c r="K882" s="44"/>
      <c r="T882" s="46"/>
      <c r="AA882" s="42"/>
      <c r="AF882" s="44"/>
      <c r="AG882" s="47"/>
      <c r="AJ882" s="1"/>
    </row>
    <row r="883" ht="15.75" customHeight="1">
      <c r="C883" s="52"/>
      <c r="H883" s="42"/>
      <c r="K883" s="44"/>
      <c r="T883" s="46"/>
      <c r="AA883" s="42"/>
      <c r="AF883" s="44"/>
      <c r="AG883" s="47"/>
      <c r="AJ883" s="1"/>
    </row>
    <row r="884" ht="15.75" customHeight="1">
      <c r="C884" s="52"/>
      <c r="H884" s="42"/>
      <c r="K884" s="44"/>
      <c r="T884" s="46"/>
      <c r="AA884" s="42"/>
      <c r="AF884" s="44"/>
      <c r="AG884" s="47"/>
      <c r="AJ884" s="1"/>
    </row>
    <row r="885" ht="15.75" customHeight="1">
      <c r="C885" s="52"/>
      <c r="H885" s="42"/>
      <c r="K885" s="44"/>
      <c r="T885" s="46"/>
      <c r="AA885" s="42"/>
      <c r="AF885" s="44"/>
      <c r="AG885" s="47"/>
      <c r="AJ885" s="1"/>
    </row>
    <row r="886" ht="15.75" customHeight="1">
      <c r="C886" s="52"/>
      <c r="H886" s="42"/>
      <c r="K886" s="44"/>
      <c r="T886" s="46"/>
      <c r="AA886" s="42"/>
      <c r="AF886" s="44"/>
      <c r="AG886" s="47"/>
      <c r="AJ886" s="1"/>
    </row>
    <row r="887" ht="15.75" customHeight="1">
      <c r="C887" s="52"/>
      <c r="H887" s="42"/>
      <c r="K887" s="44"/>
      <c r="T887" s="46"/>
      <c r="AA887" s="42"/>
      <c r="AF887" s="44"/>
      <c r="AG887" s="47"/>
      <c r="AJ887" s="1"/>
    </row>
    <row r="888" ht="15.75" customHeight="1">
      <c r="C888" s="52"/>
      <c r="H888" s="42"/>
      <c r="K888" s="44"/>
      <c r="T888" s="46"/>
      <c r="AA888" s="42"/>
      <c r="AF888" s="44"/>
      <c r="AG888" s="47"/>
      <c r="AJ888" s="1"/>
    </row>
    <row r="889" ht="15.75" customHeight="1">
      <c r="C889" s="52"/>
      <c r="H889" s="42"/>
      <c r="K889" s="44"/>
      <c r="T889" s="46"/>
      <c r="AA889" s="42"/>
      <c r="AF889" s="44"/>
      <c r="AG889" s="47"/>
      <c r="AJ889" s="1"/>
    </row>
    <row r="890" ht="15.75" customHeight="1">
      <c r="C890" s="52"/>
      <c r="H890" s="42"/>
      <c r="K890" s="44"/>
      <c r="T890" s="46"/>
      <c r="AA890" s="42"/>
      <c r="AF890" s="44"/>
      <c r="AG890" s="47"/>
      <c r="AJ890" s="1"/>
    </row>
    <row r="891" ht="15.75" customHeight="1">
      <c r="C891" s="52"/>
      <c r="H891" s="42"/>
      <c r="K891" s="44"/>
      <c r="T891" s="46"/>
      <c r="AA891" s="42"/>
      <c r="AF891" s="44"/>
      <c r="AG891" s="47"/>
      <c r="AJ891" s="1"/>
    </row>
    <row r="892" ht="15.75" customHeight="1">
      <c r="C892" s="52"/>
      <c r="H892" s="42"/>
      <c r="K892" s="44"/>
      <c r="T892" s="46"/>
      <c r="AA892" s="42"/>
      <c r="AF892" s="44"/>
      <c r="AG892" s="47"/>
      <c r="AJ892" s="1"/>
    </row>
    <row r="893" ht="15.75" customHeight="1">
      <c r="C893" s="52"/>
      <c r="H893" s="42"/>
      <c r="K893" s="44"/>
      <c r="T893" s="46"/>
      <c r="AA893" s="42"/>
      <c r="AF893" s="44"/>
      <c r="AG893" s="47"/>
      <c r="AJ893" s="1"/>
    </row>
    <row r="894" ht="15.75" customHeight="1">
      <c r="C894" s="52"/>
      <c r="H894" s="42"/>
      <c r="K894" s="44"/>
      <c r="T894" s="46"/>
      <c r="AA894" s="42"/>
      <c r="AF894" s="44"/>
      <c r="AG894" s="47"/>
      <c r="AJ894" s="1"/>
    </row>
    <row r="895" ht="15.75" customHeight="1">
      <c r="C895" s="52"/>
      <c r="H895" s="42"/>
      <c r="K895" s="44"/>
      <c r="T895" s="46"/>
      <c r="AA895" s="42"/>
      <c r="AF895" s="44"/>
      <c r="AG895" s="47"/>
      <c r="AJ895" s="1"/>
    </row>
    <row r="896" ht="15.75" customHeight="1">
      <c r="C896" s="52"/>
      <c r="H896" s="42"/>
      <c r="K896" s="44"/>
      <c r="T896" s="46"/>
      <c r="AA896" s="42"/>
      <c r="AF896" s="44"/>
      <c r="AG896" s="47"/>
      <c r="AJ896" s="1"/>
    </row>
    <row r="897" ht="15.75" customHeight="1">
      <c r="C897" s="52"/>
      <c r="H897" s="42"/>
      <c r="K897" s="44"/>
      <c r="T897" s="46"/>
      <c r="AA897" s="42"/>
      <c r="AF897" s="44"/>
      <c r="AG897" s="47"/>
      <c r="AJ897" s="1"/>
    </row>
    <row r="898" ht="15.75" customHeight="1">
      <c r="C898" s="52"/>
      <c r="H898" s="42"/>
      <c r="K898" s="44"/>
      <c r="T898" s="46"/>
      <c r="AA898" s="42"/>
      <c r="AF898" s="44"/>
      <c r="AG898" s="47"/>
      <c r="AJ898" s="1"/>
    </row>
    <row r="899" ht="15.75" customHeight="1">
      <c r="C899" s="52"/>
      <c r="H899" s="42"/>
      <c r="K899" s="44"/>
      <c r="T899" s="46"/>
      <c r="AA899" s="42"/>
      <c r="AF899" s="44"/>
      <c r="AG899" s="47"/>
      <c r="AJ899" s="1"/>
    </row>
    <row r="900" ht="15.75" customHeight="1">
      <c r="C900" s="52"/>
      <c r="H900" s="42"/>
      <c r="K900" s="44"/>
      <c r="T900" s="46"/>
      <c r="AA900" s="42"/>
      <c r="AF900" s="44"/>
      <c r="AG900" s="47"/>
      <c r="AJ900" s="1"/>
    </row>
    <row r="901" ht="15.75" customHeight="1">
      <c r="C901" s="52"/>
      <c r="H901" s="42"/>
      <c r="K901" s="44"/>
      <c r="T901" s="46"/>
      <c r="AA901" s="42"/>
      <c r="AF901" s="44"/>
      <c r="AG901" s="47"/>
      <c r="AJ901" s="1"/>
    </row>
    <row r="902" ht="15.75" customHeight="1">
      <c r="C902" s="52"/>
      <c r="H902" s="42"/>
      <c r="K902" s="44"/>
      <c r="T902" s="46"/>
      <c r="AA902" s="42"/>
      <c r="AF902" s="44"/>
      <c r="AG902" s="47"/>
      <c r="AJ902" s="1"/>
    </row>
    <row r="903" ht="15.75" customHeight="1">
      <c r="C903" s="52"/>
      <c r="H903" s="42"/>
      <c r="K903" s="44"/>
      <c r="T903" s="46"/>
      <c r="AA903" s="42"/>
      <c r="AF903" s="44"/>
      <c r="AG903" s="47"/>
      <c r="AJ903" s="1"/>
    </row>
    <row r="904" ht="15.75" customHeight="1">
      <c r="C904" s="52"/>
      <c r="H904" s="42"/>
      <c r="K904" s="44"/>
      <c r="T904" s="46"/>
      <c r="AA904" s="42"/>
      <c r="AF904" s="44"/>
      <c r="AG904" s="47"/>
      <c r="AJ904" s="1"/>
    </row>
    <row r="905" ht="15.75" customHeight="1">
      <c r="C905" s="52"/>
      <c r="H905" s="42"/>
      <c r="K905" s="44"/>
      <c r="T905" s="46"/>
      <c r="AA905" s="42"/>
      <c r="AF905" s="44"/>
      <c r="AG905" s="47"/>
      <c r="AJ905" s="1"/>
    </row>
    <row r="906" ht="15.75" customHeight="1">
      <c r="C906" s="52"/>
      <c r="H906" s="42"/>
      <c r="K906" s="44"/>
      <c r="T906" s="46"/>
      <c r="AA906" s="42"/>
      <c r="AF906" s="44"/>
      <c r="AG906" s="47"/>
      <c r="AJ906" s="1"/>
    </row>
    <row r="907" ht="15.75" customHeight="1">
      <c r="C907" s="52"/>
      <c r="H907" s="42"/>
      <c r="K907" s="44"/>
      <c r="T907" s="46"/>
      <c r="AA907" s="42"/>
      <c r="AF907" s="44"/>
      <c r="AG907" s="47"/>
      <c r="AJ907" s="1"/>
    </row>
    <row r="908" ht="15.75" customHeight="1">
      <c r="C908" s="52"/>
      <c r="H908" s="42"/>
      <c r="K908" s="44"/>
      <c r="T908" s="46"/>
      <c r="AA908" s="42"/>
      <c r="AF908" s="44"/>
      <c r="AG908" s="47"/>
      <c r="AJ908" s="1"/>
    </row>
    <row r="909" ht="15.75" customHeight="1">
      <c r="C909" s="52"/>
      <c r="H909" s="42"/>
      <c r="K909" s="44"/>
      <c r="T909" s="46"/>
      <c r="AA909" s="42"/>
      <c r="AF909" s="44"/>
      <c r="AG909" s="47"/>
      <c r="AJ909" s="1"/>
    </row>
    <row r="910" ht="15.75" customHeight="1">
      <c r="C910" s="52"/>
      <c r="H910" s="42"/>
      <c r="K910" s="44"/>
      <c r="T910" s="46"/>
      <c r="AA910" s="42"/>
      <c r="AF910" s="44"/>
      <c r="AG910" s="47"/>
      <c r="AJ910" s="1"/>
    </row>
    <row r="911" ht="15.75" customHeight="1">
      <c r="C911" s="52"/>
      <c r="H911" s="42"/>
      <c r="K911" s="44"/>
      <c r="T911" s="46"/>
      <c r="AA911" s="42"/>
      <c r="AF911" s="44"/>
      <c r="AG911" s="47"/>
      <c r="AJ911" s="1"/>
    </row>
    <row r="912" ht="15.75" customHeight="1">
      <c r="C912" s="52"/>
      <c r="H912" s="42"/>
      <c r="K912" s="44"/>
      <c r="T912" s="46"/>
      <c r="AA912" s="42"/>
      <c r="AF912" s="44"/>
      <c r="AG912" s="47"/>
      <c r="AJ912" s="1"/>
    </row>
    <row r="913" ht="15.75" customHeight="1">
      <c r="C913" s="52"/>
      <c r="H913" s="42"/>
      <c r="K913" s="44"/>
      <c r="T913" s="46"/>
      <c r="AA913" s="42"/>
      <c r="AF913" s="44"/>
      <c r="AG913" s="47"/>
      <c r="AJ913" s="1"/>
    </row>
    <row r="914" ht="15.75" customHeight="1">
      <c r="C914" s="52"/>
      <c r="H914" s="42"/>
      <c r="K914" s="44"/>
      <c r="T914" s="46"/>
      <c r="AA914" s="42"/>
      <c r="AF914" s="44"/>
      <c r="AG914" s="47"/>
      <c r="AJ914" s="1"/>
    </row>
    <row r="915" ht="15.75" customHeight="1">
      <c r="C915" s="52"/>
      <c r="H915" s="42"/>
      <c r="K915" s="44"/>
      <c r="T915" s="46"/>
      <c r="AA915" s="42"/>
      <c r="AF915" s="44"/>
      <c r="AG915" s="47"/>
      <c r="AJ915" s="1"/>
    </row>
    <row r="916" ht="15.75" customHeight="1">
      <c r="C916" s="52"/>
      <c r="H916" s="42"/>
      <c r="K916" s="44"/>
      <c r="T916" s="46"/>
      <c r="AA916" s="42"/>
      <c r="AF916" s="44"/>
      <c r="AG916" s="47"/>
      <c r="AJ916" s="1"/>
    </row>
    <row r="917" ht="15.75" customHeight="1">
      <c r="C917" s="52"/>
      <c r="H917" s="42"/>
      <c r="K917" s="44"/>
      <c r="T917" s="46"/>
      <c r="AA917" s="42"/>
      <c r="AF917" s="44"/>
      <c r="AG917" s="47"/>
      <c r="AJ917" s="1"/>
    </row>
    <row r="918" ht="15.75" customHeight="1">
      <c r="C918" s="52"/>
      <c r="H918" s="42"/>
      <c r="K918" s="44"/>
      <c r="T918" s="46"/>
      <c r="AA918" s="42"/>
      <c r="AF918" s="44"/>
      <c r="AG918" s="47"/>
      <c r="AJ918" s="1"/>
    </row>
    <row r="919" ht="15.75" customHeight="1">
      <c r="C919" s="52"/>
      <c r="H919" s="42"/>
      <c r="K919" s="44"/>
      <c r="T919" s="46"/>
      <c r="AA919" s="42"/>
      <c r="AF919" s="44"/>
      <c r="AG919" s="47"/>
      <c r="AJ919" s="1"/>
    </row>
    <row r="920" ht="15.75" customHeight="1">
      <c r="C920" s="52"/>
      <c r="H920" s="42"/>
      <c r="K920" s="44"/>
      <c r="T920" s="46"/>
      <c r="AA920" s="42"/>
      <c r="AF920" s="44"/>
      <c r="AG920" s="47"/>
      <c r="AJ920" s="1"/>
    </row>
    <row r="921" ht="15.75" customHeight="1">
      <c r="C921" s="52"/>
      <c r="H921" s="42"/>
      <c r="K921" s="44"/>
      <c r="T921" s="46"/>
      <c r="AA921" s="42"/>
      <c r="AF921" s="44"/>
      <c r="AG921" s="47"/>
      <c r="AJ921" s="1"/>
    </row>
    <row r="922" ht="15.75" customHeight="1">
      <c r="C922" s="52"/>
      <c r="H922" s="42"/>
      <c r="K922" s="44"/>
      <c r="T922" s="46"/>
      <c r="AA922" s="42"/>
      <c r="AF922" s="44"/>
      <c r="AG922" s="47"/>
      <c r="AJ922" s="1"/>
    </row>
    <row r="923" ht="15.75" customHeight="1">
      <c r="C923" s="52"/>
      <c r="H923" s="42"/>
      <c r="K923" s="44"/>
      <c r="T923" s="46"/>
      <c r="AA923" s="42"/>
      <c r="AF923" s="44"/>
      <c r="AG923" s="47"/>
      <c r="AJ923" s="1"/>
    </row>
    <row r="924" ht="15.75" customHeight="1">
      <c r="C924" s="52"/>
      <c r="H924" s="42"/>
      <c r="K924" s="44"/>
      <c r="T924" s="46"/>
      <c r="AA924" s="42"/>
      <c r="AF924" s="44"/>
      <c r="AG924" s="47"/>
      <c r="AJ924" s="1"/>
    </row>
    <row r="925" ht="15.75" customHeight="1">
      <c r="C925" s="52"/>
      <c r="H925" s="42"/>
      <c r="K925" s="44"/>
      <c r="T925" s="46"/>
      <c r="AA925" s="42"/>
      <c r="AF925" s="44"/>
      <c r="AG925" s="47"/>
      <c r="AJ925" s="1"/>
    </row>
    <row r="926" ht="15.75" customHeight="1">
      <c r="C926" s="52"/>
      <c r="H926" s="42"/>
      <c r="K926" s="44"/>
      <c r="T926" s="46"/>
      <c r="AA926" s="42"/>
      <c r="AF926" s="44"/>
      <c r="AG926" s="47"/>
      <c r="AJ926" s="1"/>
    </row>
    <row r="927" ht="15.75" customHeight="1">
      <c r="C927" s="52"/>
      <c r="H927" s="42"/>
      <c r="K927" s="44"/>
      <c r="T927" s="46"/>
      <c r="AA927" s="42"/>
      <c r="AF927" s="44"/>
      <c r="AG927" s="47"/>
      <c r="AJ927" s="1"/>
    </row>
    <row r="928" ht="15.75" customHeight="1">
      <c r="C928" s="52"/>
      <c r="H928" s="42"/>
      <c r="K928" s="44"/>
      <c r="T928" s="46"/>
      <c r="AA928" s="42"/>
      <c r="AF928" s="44"/>
      <c r="AG928" s="47"/>
      <c r="AJ928" s="1"/>
    </row>
    <row r="929" ht="15.75" customHeight="1">
      <c r="C929" s="52"/>
      <c r="H929" s="42"/>
      <c r="K929" s="44"/>
      <c r="T929" s="46"/>
      <c r="AA929" s="42"/>
      <c r="AF929" s="44"/>
      <c r="AG929" s="47"/>
      <c r="AJ929" s="1"/>
    </row>
    <row r="930" ht="15.75" customHeight="1">
      <c r="C930" s="52"/>
      <c r="H930" s="42"/>
      <c r="K930" s="44"/>
      <c r="T930" s="46"/>
      <c r="AA930" s="42"/>
      <c r="AF930" s="44"/>
      <c r="AG930" s="47"/>
      <c r="AJ930" s="1"/>
    </row>
    <row r="931" ht="15.75" customHeight="1">
      <c r="C931" s="52"/>
      <c r="H931" s="42"/>
      <c r="K931" s="44"/>
      <c r="T931" s="46"/>
      <c r="AA931" s="42"/>
      <c r="AF931" s="44"/>
      <c r="AG931" s="47"/>
      <c r="AJ931" s="1"/>
    </row>
    <row r="932" ht="15.75" customHeight="1">
      <c r="C932" s="52"/>
      <c r="H932" s="42"/>
      <c r="K932" s="44"/>
      <c r="T932" s="46"/>
      <c r="AA932" s="42"/>
      <c r="AF932" s="44"/>
      <c r="AG932" s="47"/>
      <c r="AJ932" s="1"/>
    </row>
    <row r="933" ht="15.75" customHeight="1">
      <c r="C933" s="52"/>
      <c r="H933" s="42"/>
      <c r="K933" s="44"/>
      <c r="T933" s="46"/>
      <c r="AA933" s="42"/>
      <c r="AF933" s="44"/>
      <c r="AG933" s="47"/>
      <c r="AJ933" s="1"/>
    </row>
    <row r="934" ht="15.75" customHeight="1">
      <c r="C934" s="52"/>
      <c r="H934" s="42"/>
      <c r="K934" s="44"/>
      <c r="T934" s="46"/>
      <c r="AA934" s="42"/>
      <c r="AF934" s="44"/>
      <c r="AG934" s="47"/>
      <c r="AJ934" s="1"/>
    </row>
    <row r="935" ht="15.75" customHeight="1">
      <c r="C935" s="52"/>
      <c r="H935" s="42"/>
      <c r="K935" s="44"/>
      <c r="T935" s="46"/>
      <c r="AA935" s="42"/>
      <c r="AF935" s="44"/>
      <c r="AG935" s="47"/>
      <c r="AJ935" s="1"/>
    </row>
    <row r="936" ht="15.75" customHeight="1">
      <c r="C936" s="52"/>
      <c r="H936" s="42"/>
      <c r="K936" s="44"/>
      <c r="T936" s="46"/>
      <c r="AA936" s="42"/>
      <c r="AF936" s="44"/>
      <c r="AG936" s="47"/>
      <c r="AJ936" s="1"/>
    </row>
    <row r="937" ht="15.75" customHeight="1">
      <c r="C937" s="52"/>
      <c r="H937" s="42"/>
      <c r="K937" s="44"/>
      <c r="T937" s="46"/>
      <c r="AA937" s="42"/>
      <c r="AF937" s="44"/>
      <c r="AG937" s="47"/>
      <c r="AJ937" s="1"/>
    </row>
    <row r="938" ht="15.75" customHeight="1">
      <c r="C938" s="52"/>
      <c r="H938" s="42"/>
      <c r="K938" s="44"/>
      <c r="T938" s="46"/>
      <c r="AA938" s="42"/>
      <c r="AF938" s="44"/>
      <c r="AG938" s="47"/>
      <c r="AJ938" s="1"/>
    </row>
    <row r="939" ht="15.75" customHeight="1">
      <c r="C939" s="52"/>
      <c r="H939" s="42"/>
      <c r="K939" s="44"/>
      <c r="T939" s="46"/>
      <c r="AA939" s="42"/>
      <c r="AF939" s="44"/>
      <c r="AG939" s="47"/>
      <c r="AJ939" s="1"/>
    </row>
    <row r="940" ht="15.75" customHeight="1">
      <c r="C940" s="52"/>
      <c r="H940" s="42"/>
      <c r="K940" s="44"/>
      <c r="T940" s="46"/>
      <c r="AA940" s="42"/>
      <c r="AF940" s="44"/>
      <c r="AG940" s="47"/>
      <c r="AJ940" s="1"/>
    </row>
    <row r="941" ht="15.75" customHeight="1">
      <c r="C941" s="52"/>
      <c r="H941" s="42"/>
      <c r="K941" s="44"/>
      <c r="T941" s="46"/>
      <c r="AA941" s="42"/>
      <c r="AF941" s="44"/>
      <c r="AG941" s="47"/>
      <c r="AJ941" s="1"/>
    </row>
    <row r="942" ht="15.75" customHeight="1">
      <c r="C942" s="52"/>
      <c r="H942" s="42"/>
      <c r="K942" s="44"/>
      <c r="T942" s="46"/>
      <c r="AA942" s="42"/>
      <c r="AF942" s="44"/>
      <c r="AG942" s="47"/>
      <c r="AJ942" s="1"/>
    </row>
    <row r="943" ht="15.75" customHeight="1">
      <c r="C943" s="52"/>
      <c r="H943" s="42"/>
      <c r="K943" s="44"/>
      <c r="T943" s="46"/>
      <c r="AA943" s="42"/>
      <c r="AF943" s="44"/>
      <c r="AG943" s="47"/>
      <c r="AJ943" s="1"/>
    </row>
    <row r="944" ht="15.75" customHeight="1">
      <c r="C944" s="52"/>
      <c r="H944" s="42"/>
      <c r="K944" s="44"/>
      <c r="T944" s="46"/>
      <c r="AA944" s="42"/>
      <c r="AF944" s="44"/>
      <c r="AG944" s="47"/>
      <c r="AJ944" s="1"/>
    </row>
    <row r="945" ht="15.75" customHeight="1">
      <c r="C945" s="52"/>
      <c r="H945" s="42"/>
      <c r="K945" s="44"/>
      <c r="T945" s="46"/>
      <c r="AA945" s="42"/>
      <c r="AF945" s="44"/>
      <c r="AG945" s="47"/>
      <c r="AJ945" s="1"/>
    </row>
    <row r="946" ht="15.75" customHeight="1">
      <c r="C946" s="52"/>
      <c r="H946" s="42"/>
      <c r="K946" s="44"/>
      <c r="T946" s="46"/>
      <c r="AA946" s="42"/>
      <c r="AF946" s="44"/>
      <c r="AG946" s="47"/>
      <c r="AJ946" s="1"/>
    </row>
    <row r="947" ht="15.75" customHeight="1">
      <c r="C947" s="52"/>
      <c r="H947" s="42"/>
      <c r="K947" s="44"/>
      <c r="T947" s="46"/>
      <c r="AA947" s="42"/>
      <c r="AF947" s="44"/>
      <c r="AG947" s="47"/>
      <c r="AJ947" s="1"/>
    </row>
    <row r="948" ht="15.75" customHeight="1">
      <c r="C948" s="52"/>
      <c r="H948" s="42"/>
      <c r="K948" s="44"/>
      <c r="T948" s="46"/>
      <c r="AA948" s="42"/>
      <c r="AF948" s="44"/>
      <c r="AG948" s="47"/>
      <c r="AJ948" s="1"/>
    </row>
    <row r="949" ht="15.75" customHeight="1">
      <c r="C949" s="52"/>
      <c r="H949" s="42"/>
      <c r="K949" s="44"/>
      <c r="T949" s="46"/>
      <c r="AA949" s="42"/>
      <c r="AF949" s="44"/>
      <c r="AG949" s="47"/>
      <c r="AJ949" s="1"/>
    </row>
    <row r="950" ht="15.75" customHeight="1">
      <c r="C950" s="52"/>
      <c r="H950" s="42"/>
      <c r="K950" s="44"/>
      <c r="T950" s="46"/>
      <c r="AA950" s="42"/>
      <c r="AF950" s="44"/>
      <c r="AG950" s="47"/>
      <c r="AJ950" s="1"/>
    </row>
    <row r="951" ht="15.75" customHeight="1">
      <c r="C951" s="52"/>
      <c r="H951" s="42"/>
      <c r="K951" s="44"/>
      <c r="T951" s="46"/>
      <c r="AA951" s="42"/>
      <c r="AF951" s="44"/>
      <c r="AG951" s="47"/>
      <c r="AJ951" s="1"/>
    </row>
    <row r="952" ht="15.75" customHeight="1">
      <c r="C952" s="52"/>
      <c r="H952" s="42"/>
      <c r="K952" s="44"/>
      <c r="T952" s="46"/>
      <c r="AA952" s="42"/>
      <c r="AF952" s="44"/>
      <c r="AG952" s="47"/>
      <c r="AJ952" s="1"/>
    </row>
    <row r="953" ht="15.75" customHeight="1">
      <c r="C953" s="52"/>
      <c r="H953" s="42"/>
      <c r="K953" s="44"/>
      <c r="T953" s="46"/>
      <c r="AA953" s="42"/>
      <c r="AF953" s="44"/>
      <c r="AG953" s="47"/>
      <c r="AJ953" s="1"/>
    </row>
    <row r="954" ht="15.75" customHeight="1">
      <c r="C954" s="52"/>
      <c r="H954" s="42"/>
      <c r="K954" s="44"/>
      <c r="T954" s="46"/>
      <c r="AA954" s="42"/>
      <c r="AF954" s="44"/>
      <c r="AG954" s="47"/>
      <c r="AJ954" s="1"/>
    </row>
    <row r="955" ht="15.75" customHeight="1">
      <c r="C955" s="52"/>
      <c r="H955" s="42"/>
      <c r="K955" s="44"/>
      <c r="T955" s="46"/>
      <c r="AA955" s="42"/>
      <c r="AF955" s="44"/>
      <c r="AG955" s="47"/>
      <c r="AJ955" s="1"/>
    </row>
    <row r="956" ht="15.75" customHeight="1">
      <c r="C956" s="52"/>
      <c r="H956" s="42"/>
      <c r="K956" s="44"/>
      <c r="T956" s="46"/>
      <c r="AA956" s="42"/>
      <c r="AF956" s="44"/>
      <c r="AG956" s="47"/>
      <c r="AJ956" s="1"/>
    </row>
    <row r="957" ht="15.75" customHeight="1">
      <c r="C957" s="52"/>
      <c r="H957" s="42"/>
      <c r="K957" s="44"/>
      <c r="T957" s="46"/>
      <c r="AA957" s="42"/>
      <c r="AF957" s="44"/>
      <c r="AG957" s="47"/>
      <c r="AJ957" s="1"/>
    </row>
    <row r="958" ht="15.75" customHeight="1">
      <c r="C958" s="52"/>
      <c r="H958" s="42"/>
      <c r="K958" s="44"/>
      <c r="T958" s="46"/>
      <c r="AA958" s="42"/>
      <c r="AF958" s="44"/>
      <c r="AG958" s="47"/>
      <c r="AJ958" s="1"/>
    </row>
    <row r="959" ht="15.75" customHeight="1">
      <c r="C959" s="52"/>
      <c r="H959" s="42"/>
      <c r="K959" s="44"/>
      <c r="T959" s="46"/>
      <c r="AA959" s="42"/>
      <c r="AF959" s="44"/>
      <c r="AG959" s="47"/>
      <c r="AJ959" s="1"/>
    </row>
    <row r="960" ht="15.75" customHeight="1">
      <c r="C960" s="52"/>
      <c r="H960" s="42"/>
      <c r="K960" s="44"/>
      <c r="T960" s="46"/>
      <c r="AA960" s="42"/>
      <c r="AF960" s="44"/>
      <c r="AG960" s="47"/>
      <c r="AJ960" s="1"/>
    </row>
    <row r="961" ht="15.75" customHeight="1">
      <c r="C961" s="52"/>
      <c r="H961" s="42"/>
      <c r="K961" s="44"/>
      <c r="T961" s="46"/>
      <c r="AA961" s="42"/>
      <c r="AF961" s="44"/>
      <c r="AG961" s="47"/>
      <c r="AJ961" s="1"/>
    </row>
    <row r="962" ht="15.75" customHeight="1">
      <c r="C962" s="52"/>
      <c r="H962" s="42"/>
      <c r="K962" s="44"/>
      <c r="T962" s="46"/>
      <c r="AA962" s="42"/>
      <c r="AF962" s="44"/>
      <c r="AG962" s="47"/>
      <c r="AJ962" s="1"/>
    </row>
    <row r="963" ht="15.75" customHeight="1">
      <c r="C963" s="52"/>
      <c r="H963" s="42"/>
      <c r="K963" s="44"/>
      <c r="T963" s="46"/>
      <c r="AA963" s="42"/>
      <c r="AF963" s="44"/>
      <c r="AG963" s="47"/>
      <c r="AJ963" s="1"/>
    </row>
    <row r="964" ht="15.75" customHeight="1">
      <c r="C964" s="52"/>
      <c r="H964" s="42"/>
      <c r="K964" s="44"/>
      <c r="T964" s="46"/>
      <c r="AA964" s="42"/>
      <c r="AF964" s="44"/>
      <c r="AG964" s="47"/>
      <c r="AJ964" s="1"/>
    </row>
    <row r="965" ht="15.75" customHeight="1">
      <c r="C965" s="52"/>
      <c r="H965" s="42"/>
      <c r="K965" s="44"/>
      <c r="T965" s="46"/>
      <c r="AA965" s="42"/>
      <c r="AF965" s="44"/>
      <c r="AG965" s="47"/>
      <c r="AJ965" s="1"/>
    </row>
    <row r="966" ht="15.75" customHeight="1">
      <c r="C966" s="52"/>
      <c r="H966" s="42"/>
      <c r="K966" s="44"/>
      <c r="T966" s="46"/>
      <c r="AA966" s="42"/>
      <c r="AF966" s="44"/>
      <c r="AG966" s="47"/>
      <c r="AJ966" s="1"/>
    </row>
    <row r="967" ht="15.75" customHeight="1">
      <c r="C967" s="52"/>
      <c r="H967" s="42"/>
      <c r="K967" s="44"/>
      <c r="T967" s="46"/>
      <c r="AA967" s="42"/>
      <c r="AF967" s="44"/>
      <c r="AG967" s="47"/>
      <c r="AJ967" s="1"/>
    </row>
    <row r="968" ht="15.75" customHeight="1">
      <c r="C968" s="52"/>
      <c r="H968" s="42"/>
      <c r="K968" s="44"/>
      <c r="T968" s="46"/>
      <c r="AA968" s="42"/>
      <c r="AF968" s="44"/>
      <c r="AG968" s="47"/>
      <c r="AJ968" s="1"/>
    </row>
    <row r="969" ht="15.75" customHeight="1">
      <c r="C969" s="52"/>
      <c r="H969" s="42"/>
      <c r="K969" s="44"/>
      <c r="T969" s="46"/>
      <c r="AA969" s="42"/>
      <c r="AF969" s="44"/>
      <c r="AG969" s="47"/>
      <c r="AJ969" s="1"/>
    </row>
    <row r="970" ht="15.75" customHeight="1">
      <c r="C970" s="52"/>
      <c r="H970" s="42"/>
      <c r="K970" s="44"/>
      <c r="T970" s="46"/>
      <c r="AA970" s="42"/>
      <c r="AF970" s="44"/>
      <c r="AG970" s="47"/>
      <c r="AJ970" s="1"/>
    </row>
    <row r="971" ht="15.75" customHeight="1">
      <c r="C971" s="52"/>
      <c r="H971" s="42"/>
      <c r="K971" s="44"/>
      <c r="T971" s="46"/>
      <c r="AA971" s="42"/>
      <c r="AF971" s="44"/>
      <c r="AG971" s="47"/>
      <c r="AJ971" s="1"/>
    </row>
    <row r="972" ht="15.75" customHeight="1">
      <c r="C972" s="52"/>
      <c r="H972" s="42"/>
      <c r="K972" s="44"/>
      <c r="T972" s="46"/>
      <c r="AA972" s="42"/>
      <c r="AF972" s="44"/>
      <c r="AG972" s="47"/>
      <c r="AJ972" s="1"/>
    </row>
    <row r="973" ht="15.75" customHeight="1">
      <c r="C973" s="52"/>
      <c r="H973" s="42"/>
      <c r="K973" s="44"/>
      <c r="T973" s="46"/>
      <c r="AA973" s="42"/>
      <c r="AF973" s="44"/>
      <c r="AG973" s="47"/>
      <c r="AJ973" s="1"/>
    </row>
    <row r="974" ht="15.75" customHeight="1">
      <c r="C974" s="52"/>
      <c r="H974" s="42"/>
      <c r="K974" s="44"/>
      <c r="T974" s="46"/>
      <c r="AA974" s="42"/>
      <c r="AF974" s="44"/>
      <c r="AG974" s="47"/>
      <c r="AJ974" s="1"/>
    </row>
    <row r="975" ht="15.75" customHeight="1">
      <c r="C975" s="52"/>
      <c r="H975" s="42"/>
      <c r="K975" s="44"/>
      <c r="T975" s="46"/>
      <c r="AA975" s="42"/>
      <c r="AF975" s="44"/>
      <c r="AG975" s="47"/>
      <c r="AJ975" s="1"/>
    </row>
    <row r="976" ht="15.75" customHeight="1">
      <c r="C976" s="52"/>
      <c r="H976" s="42"/>
      <c r="K976" s="44"/>
      <c r="T976" s="46"/>
      <c r="AA976" s="42"/>
      <c r="AF976" s="44"/>
      <c r="AG976" s="47"/>
      <c r="AJ976" s="1"/>
    </row>
    <row r="977" ht="15.75" customHeight="1">
      <c r="C977" s="52"/>
      <c r="H977" s="42"/>
      <c r="K977" s="44"/>
      <c r="T977" s="46"/>
      <c r="AA977" s="42"/>
      <c r="AF977" s="44"/>
      <c r="AG977" s="47"/>
      <c r="AJ977" s="1"/>
    </row>
    <row r="978" ht="15.75" customHeight="1">
      <c r="C978" s="52"/>
      <c r="H978" s="42"/>
      <c r="K978" s="44"/>
      <c r="T978" s="46"/>
      <c r="AA978" s="42"/>
      <c r="AF978" s="44"/>
      <c r="AG978" s="47"/>
      <c r="AJ978" s="1"/>
    </row>
    <row r="979" ht="15.75" customHeight="1">
      <c r="C979" s="52"/>
      <c r="H979" s="42"/>
      <c r="K979" s="44"/>
      <c r="T979" s="46"/>
      <c r="AA979" s="42"/>
      <c r="AF979" s="44"/>
      <c r="AG979" s="47"/>
      <c r="AJ979" s="1"/>
    </row>
    <row r="980" ht="15.75" customHeight="1">
      <c r="C980" s="52"/>
      <c r="H980" s="42"/>
      <c r="K980" s="44"/>
      <c r="T980" s="46"/>
      <c r="AA980" s="42"/>
      <c r="AF980" s="44"/>
      <c r="AG980" s="47"/>
      <c r="AJ980" s="1"/>
    </row>
    <row r="981" ht="15.75" customHeight="1">
      <c r="C981" s="52"/>
      <c r="H981" s="42"/>
      <c r="K981" s="44"/>
      <c r="T981" s="46"/>
      <c r="AA981" s="42"/>
      <c r="AF981" s="44"/>
      <c r="AG981" s="47"/>
      <c r="AJ981" s="1"/>
    </row>
    <row r="982" ht="15.75" customHeight="1">
      <c r="C982" s="52"/>
      <c r="H982" s="42"/>
      <c r="K982" s="44"/>
      <c r="T982" s="46"/>
      <c r="AA982" s="42"/>
      <c r="AF982" s="44"/>
      <c r="AG982" s="47"/>
      <c r="AJ982" s="1"/>
    </row>
    <row r="983" ht="15.75" customHeight="1">
      <c r="C983" s="52"/>
      <c r="H983" s="42"/>
      <c r="K983" s="44"/>
      <c r="T983" s="46"/>
      <c r="AA983" s="42"/>
      <c r="AF983" s="44"/>
      <c r="AG983" s="47"/>
      <c r="AJ983" s="1"/>
    </row>
    <row r="984" ht="15.75" customHeight="1">
      <c r="C984" s="52"/>
      <c r="H984" s="42"/>
      <c r="K984" s="44"/>
      <c r="T984" s="46"/>
      <c r="AA984" s="42"/>
      <c r="AF984" s="44"/>
      <c r="AG984" s="47"/>
      <c r="AJ984" s="1"/>
    </row>
    <row r="985" ht="15.75" customHeight="1">
      <c r="C985" s="52"/>
      <c r="H985" s="42"/>
      <c r="K985" s="44"/>
      <c r="T985" s="46"/>
      <c r="AA985" s="42"/>
      <c r="AF985" s="44"/>
      <c r="AG985" s="47"/>
      <c r="AJ985" s="1"/>
    </row>
    <row r="986" ht="15.75" customHeight="1">
      <c r="C986" s="52"/>
      <c r="H986" s="42"/>
      <c r="K986" s="44"/>
      <c r="T986" s="46"/>
      <c r="AA986" s="42"/>
      <c r="AF986" s="44"/>
      <c r="AG986" s="47"/>
      <c r="AJ986" s="1"/>
    </row>
    <row r="987" ht="15.75" customHeight="1">
      <c r="C987" s="52"/>
      <c r="H987" s="42"/>
      <c r="K987" s="44"/>
      <c r="T987" s="46"/>
      <c r="AA987" s="42"/>
      <c r="AF987" s="44"/>
      <c r="AG987" s="47"/>
      <c r="AJ987" s="1"/>
    </row>
    <row r="988" ht="15.75" customHeight="1">
      <c r="C988" s="52"/>
      <c r="H988" s="42"/>
      <c r="K988" s="44"/>
      <c r="T988" s="46"/>
      <c r="AA988" s="42"/>
      <c r="AF988" s="44"/>
      <c r="AG988" s="47"/>
      <c r="AJ988" s="1"/>
    </row>
    <row r="989" ht="15.75" customHeight="1">
      <c r="C989" s="52"/>
      <c r="H989" s="42"/>
      <c r="K989" s="44"/>
      <c r="T989" s="46"/>
      <c r="AA989" s="42"/>
      <c r="AF989" s="44"/>
      <c r="AG989" s="47"/>
      <c r="AJ989" s="1"/>
    </row>
    <row r="990" ht="15.75" customHeight="1">
      <c r="C990" s="52"/>
      <c r="H990" s="42"/>
      <c r="K990" s="44"/>
      <c r="T990" s="46"/>
      <c r="AA990" s="42"/>
      <c r="AF990" s="44"/>
      <c r="AG990" s="47"/>
      <c r="AJ990" s="1"/>
    </row>
    <row r="991" ht="15.75" customHeight="1">
      <c r="C991" s="52"/>
      <c r="H991" s="42"/>
      <c r="K991" s="44"/>
      <c r="T991" s="46"/>
      <c r="AA991" s="42"/>
      <c r="AF991" s="44"/>
      <c r="AG991" s="47"/>
      <c r="AJ991" s="1"/>
    </row>
    <row r="992" ht="15.75" customHeight="1">
      <c r="C992" s="52"/>
      <c r="H992" s="42"/>
      <c r="K992" s="44"/>
      <c r="T992" s="46"/>
      <c r="AA992" s="42"/>
      <c r="AF992" s="44"/>
      <c r="AG992" s="47"/>
      <c r="AJ992" s="1"/>
    </row>
    <row r="993" ht="15.75" customHeight="1">
      <c r="C993" s="52"/>
      <c r="H993" s="42"/>
      <c r="K993" s="44"/>
      <c r="T993" s="46"/>
      <c r="AA993" s="42"/>
      <c r="AF993" s="44"/>
      <c r="AG993" s="47"/>
      <c r="AJ993" s="1"/>
    </row>
    <row r="994" ht="15.75" customHeight="1">
      <c r="C994" s="52"/>
      <c r="H994" s="42"/>
      <c r="K994" s="44"/>
      <c r="T994" s="46"/>
      <c r="AA994" s="42"/>
      <c r="AF994" s="44"/>
      <c r="AG994" s="47"/>
      <c r="AJ994" s="1"/>
    </row>
    <row r="995" ht="15.75" customHeight="1">
      <c r="C995" s="52"/>
      <c r="H995" s="42"/>
      <c r="K995" s="44"/>
      <c r="T995" s="46"/>
      <c r="AA995" s="42"/>
      <c r="AF995" s="44"/>
      <c r="AG995" s="47"/>
      <c r="AJ995" s="1"/>
    </row>
    <row r="996" ht="15.75" customHeight="1">
      <c r="C996" s="52"/>
      <c r="H996" s="42"/>
      <c r="K996" s="44"/>
      <c r="T996" s="46"/>
      <c r="AA996" s="42"/>
      <c r="AF996" s="44"/>
      <c r="AG996" s="47"/>
      <c r="AJ996" s="1"/>
    </row>
    <row r="997" ht="15.75" customHeight="1">
      <c r="C997" s="52"/>
      <c r="H997" s="42"/>
      <c r="K997" s="44"/>
      <c r="T997" s="46"/>
      <c r="AA997" s="42"/>
      <c r="AF997" s="44"/>
      <c r="AG997" s="47"/>
      <c r="AJ997" s="1"/>
    </row>
    <row r="998" ht="15.75" customHeight="1">
      <c r="C998" s="52"/>
      <c r="H998" s="42"/>
      <c r="K998" s="44"/>
      <c r="T998" s="46"/>
      <c r="AA998" s="42"/>
      <c r="AF998" s="44"/>
      <c r="AG998" s="47"/>
      <c r="AJ998" s="1"/>
    </row>
    <row r="999" ht="15.75" customHeight="1">
      <c r="C999" s="52"/>
      <c r="H999" s="42"/>
      <c r="K999" s="44"/>
      <c r="T999" s="46"/>
      <c r="AA999" s="42"/>
      <c r="AF999" s="44"/>
      <c r="AG999" s="47"/>
      <c r="AJ999" s="1"/>
    </row>
    <row r="1000" ht="15.75" customHeight="1">
      <c r="C1000" s="52"/>
      <c r="H1000" s="42"/>
      <c r="K1000" s="44"/>
      <c r="T1000" s="46"/>
      <c r="AA1000" s="42"/>
      <c r="AF1000" s="44"/>
      <c r="AG1000" s="47"/>
      <c r="AJ1000" s="1"/>
    </row>
    <row r="1001" ht="15.75" customHeight="1">
      <c r="C1001" s="52"/>
      <c r="H1001" s="42"/>
      <c r="K1001" s="44"/>
      <c r="T1001" s="46"/>
      <c r="AA1001" s="42"/>
      <c r="AF1001" s="44"/>
      <c r="AG1001" s="47"/>
      <c r="AJ1001" s="1"/>
    </row>
    <row r="1002" ht="15.75" customHeight="1">
      <c r="C1002" s="52"/>
      <c r="H1002" s="42"/>
      <c r="K1002" s="44"/>
      <c r="T1002" s="46"/>
      <c r="AA1002" s="42"/>
      <c r="AF1002" s="44"/>
      <c r="AG1002" s="47"/>
      <c r="AJ1002" s="1"/>
    </row>
    <row r="1003" ht="15.75" customHeight="1">
      <c r="C1003" s="52"/>
      <c r="H1003" s="42"/>
      <c r="K1003" s="44"/>
      <c r="T1003" s="46"/>
      <c r="AA1003" s="42"/>
      <c r="AF1003" s="44"/>
      <c r="AG1003" s="47"/>
      <c r="AJ1003" s="1"/>
    </row>
    <row r="1004" ht="15.75" customHeight="1">
      <c r="C1004" s="52"/>
      <c r="H1004" s="42"/>
      <c r="K1004" s="44"/>
      <c r="T1004" s="46"/>
      <c r="AA1004" s="42"/>
      <c r="AF1004" s="44"/>
      <c r="AG1004" s="47"/>
      <c r="AJ1004" s="1"/>
    </row>
    <row r="1005" ht="15.75" customHeight="1">
      <c r="C1005" s="52"/>
      <c r="H1005" s="42"/>
      <c r="K1005" s="44"/>
      <c r="T1005" s="46"/>
      <c r="AA1005" s="42"/>
      <c r="AF1005" s="44"/>
      <c r="AG1005" s="47"/>
      <c r="AJ1005" s="1"/>
    </row>
    <row r="1006" ht="15.75" customHeight="1">
      <c r="C1006" s="52"/>
      <c r="H1006" s="42"/>
      <c r="K1006" s="44"/>
      <c r="T1006" s="46"/>
      <c r="AA1006" s="42"/>
      <c r="AF1006" s="44"/>
      <c r="AG1006" s="47"/>
      <c r="AJ1006" s="1"/>
    </row>
    <row r="1007" ht="15.75" customHeight="1">
      <c r="C1007" s="52"/>
      <c r="H1007" s="42"/>
      <c r="K1007" s="44"/>
      <c r="T1007" s="46"/>
      <c r="AA1007" s="42"/>
      <c r="AF1007" s="44"/>
      <c r="AG1007" s="47"/>
      <c r="AJ1007" s="1"/>
    </row>
    <row r="1008" ht="15.75" customHeight="1">
      <c r="C1008" s="52"/>
      <c r="H1008" s="42"/>
      <c r="K1008" s="44"/>
      <c r="T1008" s="46"/>
      <c r="AA1008" s="42"/>
      <c r="AF1008" s="44"/>
      <c r="AG1008" s="47"/>
      <c r="AJ1008" s="1"/>
    </row>
    <row r="1009" ht="15.75" customHeight="1">
      <c r="C1009" s="52"/>
      <c r="H1009" s="42"/>
      <c r="K1009" s="44"/>
      <c r="T1009" s="46"/>
      <c r="AA1009" s="42"/>
      <c r="AF1009" s="44"/>
      <c r="AG1009" s="47"/>
      <c r="AJ1009" s="1"/>
    </row>
    <row r="1010" ht="15.75" customHeight="1">
      <c r="C1010" s="52"/>
      <c r="H1010" s="42"/>
      <c r="K1010" s="44"/>
      <c r="T1010" s="46"/>
      <c r="AA1010" s="42"/>
      <c r="AF1010" s="44"/>
      <c r="AG1010" s="47"/>
      <c r="AJ1010" s="1"/>
    </row>
    <row r="1011" ht="15.75" customHeight="1">
      <c r="C1011" s="52"/>
      <c r="H1011" s="42"/>
      <c r="K1011" s="44"/>
      <c r="T1011" s="46"/>
      <c r="AA1011" s="42"/>
      <c r="AF1011" s="44"/>
      <c r="AG1011" s="47"/>
      <c r="AJ1011" s="1"/>
    </row>
    <row r="1012" ht="15.75" customHeight="1">
      <c r="C1012" s="52"/>
      <c r="H1012" s="42"/>
      <c r="K1012" s="44"/>
      <c r="T1012" s="46"/>
      <c r="AA1012" s="42"/>
      <c r="AF1012" s="44"/>
      <c r="AG1012" s="47"/>
      <c r="AJ1012" s="1"/>
    </row>
    <row r="1013" ht="15.75" customHeight="1">
      <c r="C1013" s="52"/>
      <c r="H1013" s="42"/>
      <c r="K1013" s="44"/>
      <c r="T1013" s="46"/>
      <c r="AA1013" s="42"/>
      <c r="AF1013" s="44"/>
      <c r="AG1013" s="47"/>
      <c r="AJ1013" s="1"/>
    </row>
    <row r="1014" ht="15.75" customHeight="1">
      <c r="C1014" s="52"/>
      <c r="H1014" s="42"/>
      <c r="K1014" s="44"/>
      <c r="T1014" s="46"/>
      <c r="AA1014" s="42"/>
      <c r="AF1014" s="44"/>
      <c r="AG1014" s="47"/>
      <c r="AJ1014" s="1"/>
    </row>
    <row r="1015" ht="15.75" customHeight="1">
      <c r="C1015" s="52"/>
      <c r="H1015" s="42"/>
      <c r="K1015" s="44"/>
      <c r="T1015" s="46"/>
      <c r="AA1015" s="42"/>
      <c r="AF1015" s="44"/>
      <c r="AG1015" s="47"/>
      <c r="AJ1015" s="1"/>
    </row>
    <row r="1016" ht="15.75" customHeight="1">
      <c r="C1016" s="52"/>
      <c r="H1016" s="42"/>
      <c r="K1016" s="44"/>
      <c r="T1016" s="46"/>
      <c r="AA1016" s="42"/>
      <c r="AF1016" s="44"/>
      <c r="AG1016" s="47"/>
      <c r="AJ1016" s="1"/>
    </row>
    <row r="1017" ht="15.75" customHeight="1">
      <c r="C1017" s="52"/>
      <c r="H1017" s="42"/>
      <c r="K1017" s="44"/>
      <c r="T1017" s="46"/>
      <c r="AA1017" s="42"/>
      <c r="AF1017" s="44"/>
      <c r="AG1017" s="47"/>
      <c r="AJ1017" s="1"/>
    </row>
    <row r="1018" ht="15.75" customHeight="1">
      <c r="C1018" s="52"/>
      <c r="H1018" s="42"/>
      <c r="K1018" s="44"/>
      <c r="T1018" s="46"/>
      <c r="AA1018" s="42"/>
      <c r="AF1018" s="44"/>
      <c r="AG1018" s="47"/>
      <c r="AJ1018" s="1"/>
    </row>
    <row r="1019" ht="15.75" customHeight="1">
      <c r="C1019" s="52"/>
      <c r="H1019" s="42"/>
      <c r="K1019" s="44"/>
      <c r="T1019" s="46"/>
      <c r="AA1019" s="42"/>
      <c r="AF1019" s="44"/>
      <c r="AG1019" s="47"/>
      <c r="AJ1019" s="1"/>
    </row>
    <row r="1020" ht="15.75" customHeight="1">
      <c r="C1020" s="52"/>
      <c r="H1020" s="42"/>
      <c r="K1020" s="44"/>
      <c r="T1020" s="46"/>
      <c r="AA1020" s="42"/>
      <c r="AF1020" s="44"/>
      <c r="AG1020" s="47"/>
      <c r="AJ1020" s="1"/>
    </row>
    <row r="1021" ht="15.75" customHeight="1">
      <c r="C1021" s="52"/>
      <c r="H1021" s="42"/>
      <c r="K1021" s="44"/>
      <c r="T1021" s="46"/>
      <c r="AA1021" s="42"/>
      <c r="AF1021" s="44"/>
      <c r="AG1021" s="47"/>
      <c r="AJ1021" s="1"/>
    </row>
    <row r="1022" ht="15.75" customHeight="1">
      <c r="C1022" s="52"/>
      <c r="H1022" s="42"/>
      <c r="K1022" s="44"/>
      <c r="T1022" s="46"/>
      <c r="AA1022" s="42"/>
      <c r="AF1022" s="44"/>
      <c r="AG1022" s="47"/>
      <c r="AJ1022" s="1"/>
    </row>
    <row r="1023" ht="15.75" customHeight="1">
      <c r="C1023" s="52"/>
      <c r="H1023" s="42"/>
      <c r="K1023" s="44"/>
      <c r="T1023" s="46"/>
      <c r="AA1023" s="42"/>
      <c r="AF1023" s="44"/>
      <c r="AG1023" s="47"/>
      <c r="AJ1023" s="1"/>
    </row>
    <row r="1024" ht="15.75" customHeight="1">
      <c r="C1024" s="52"/>
      <c r="H1024" s="42"/>
      <c r="K1024" s="44"/>
      <c r="T1024" s="46"/>
      <c r="AA1024" s="42"/>
      <c r="AF1024" s="44"/>
      <c r="AG1024" s="47"/>
      <c r="AJ1024" s="1"/>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9.0"/>
    <col customWidth="1" min="3" max="3" width="20.38"/>
    <col customWidth="1" min="4" max="26" width="8.63"/>
  </cols>
  <sheetData>
    <row r="1" ht="14.25" customHeight="1">
      <c r="A1" s="2" t="s">
        <v>3</v>
      </c>
      <c r="B1" s="2" t="s">
        <v>13</v>
      </c>
      <c r="C1" s="7" t="s">
        <v>63</v>
      </c>
    </row>
    <row r="2" ht="14.25" customHeight="1">
      <c r="A2" s="29"/>
      <c r="B2" s="31"/>
      <c r="C2" s="31"/>
    </row>
    <row r="3" ht="14.25" customHeight="1">
      <c r="A3" s="40">
        <v>1976.0</v>
      </c>
      <c r="B3" s="1">
        <v>1.6631036366127887</v>
      </c>
      <c r="C3" s="47">
        <v>-7706430.54257424</v>
      </c>
    </row>
    <row r="4" ht="14.25" customHeight="1">
      <c r="A4" s="40">
        <v>1977.0</v>
      </c>
      <c r="B4" s="1">
        <v>7.254764585835687</v>
      </c>
      <c r="C4" s="47">
        <v>-3.606E7</v>
      </c>
    </row>
    <row r="5" ht="14.25" customHeight="1">
      <c r="A5" s="40">
        <v>1978.0</v>
      </c>
      <c r="B5" s="1">
        <v>5.712532089001883</v>
      </c>
      <c r="C5" s="47">
        <v>1.809E7</v>
      </c>
    </row>
    <row r="6" ht="14.25" customHeight="1">
      <c r="A6" s="40">
        <v>1979.0</v>
      </c>
      <c r="B6" s="1">
        <v>-5.238182702789501</v>
      </c>
      <c r="C6" s="47">
        <v>4.857E7</v>
      </c>
    </row>
    <row r="7" ht="14.25" customHeight="1">
      <c r="A7" s="40">
        <v>1980.0</v>
      </c>
      <c r="B7" s="1">
        <v>6.735821527998496</v>
      </c>
      <c r="C7" s="47">
        <v>7.91599999E7</v>
      </c>
    </row>
    <row r="8" ht="14.25" customHeight="1">
      <c r="A8" s="40">
        <v>1981.0</v>
      </c>
      <c r="B8" s="1">
        <v>6.006203623817669</v>
      </c>
      <c r="C8" s="47">
        <v>9.192E7</v>
      </c>
    </row>
    <row r="9" ht="14.25" customHeight="1">
      <c r="A9" s="40">
        <v>1982.0</v>
      </c>
      <c r="B9" s="1">
        <v>3.4757332403123655</v>
      </c>
      <c r="C9" s="47">
        <v>7.20799999E7</v>
      </c>
    </row>
    <row r="10" ht="14.25" customHeight="1">
      <c r="A10" s="40">
        <v>1983.0</v>
      </c>
      <c r="B10" s="1">
        <v>7.288892901245859</v>
      </c>
      <c r="C10" s="47">
        <v>5639999.9</v>
      </c>
    </row>
    <row r="11" ht="14.25" customHeight="1">
      <c r="A11" s="40">
        <v>1984.0</v>
      </c>
      <c r="B11" s="1">
        <v>3.820737855973505</v>
      </c>
      <c r="C11" s="47">
        <v>1.92399999E7</v>
      </c>
    </row>
    <row r="12" ht="14.25" customHeight="1">
      <c r="A12" s="40">
        <v>1985.0</v>
      </c>
      <c r="B12" s="1">
        <v>5.254299223308891</v>
      </c>
      <c r="C12" s="47">
        <v>1.0609E8</v>
      </c>
    </row>
    <row r="13" ht="14.25" customHeight="1">
      <c r="A13" s="40">
        <v>1986.0</v>
      </c>
      <c r="B13" s="1">
        <v>4.776564170489465</v>
      </c>
      <c r="C13" s="47">
        <v>1.1773E8</v>
      </c>
    </row>
    <row r="14" ht="14.25" customHeight="1">
      <c r="A14" s="40">
        <v>1987.0</v>
      </c>
      <c r="B14" s="1">
        <v>3.9653556339057587</v>
      </c>
      <c r="C14" s="47">
        <v>2.123199999E8</v>
      </c>
    </row>
    <row r="15" ht="14.25" customHeight="1">
      <c r="A15" s="40">
        <v>1988.0</v>
      </c>
      <c r="B15" s="1">
        <v>9.627782919848343</v>
      </c>
      <c r="C15" s="47">
        <v>9.125E7</v>
      </c>
    </row>
    <row r="16" ht="14.25" customHeight="1">
      <c r="A16" s="40">
        <v>1989.0</v>
      </c>
      <c r="B16" s="1">
        <v>5.947343328265035</v>
      </c>
      <c r="C16" s="47">
        <v>2.520999999E8</v>
      </c>
    </row>
    <row r="17" ht="14.25" customHeight="1">
      <c r="A17" s="40">
        <v>1990.0</v>
      </c>
      <c r="B17" s="1">
        <v>5.53345456306495</v>
      </c>
      <c r="C17" s="47">
        <v>2.3669E8</v>
      </c>
    </row>
    <row r="18" ht="14.25" customHeight="1">
      <c r="A18" s="40">
        <v>1991.0</v>
      </c>
      <c r="B18" s="1">
        <v>1.0568314329617863</v>
      </c>
      <c r="C18" s="47">
        <v>7.3537638388533E7</v>
      </c>
    </row>
    <row r="19" ht="14.25" customHeight="1">
      <c r="A19" s="40">
        <v>1992.0</v>
      </c>
      <c r="B19" s="1">
        <v>5.482396021670027</v>
      </c>
      <c r="C19" s="47">
        <v>2.76512438973893E8</v>
      </c>
    </row>
    <row r="20" ht="14.25" customHeight="1">
      <c r="A20" s="40">
        <v>1993.0</v>
      </c>
      <c r="B20" s="1">
        <v>4.750776219579905</v>
      </c>
      <c r="C20" s="47">
        <v>5.50370024929383E8</v>
      </c>
    </row>
    <row r="21" ht="14.25" customHeight="1">
      <c r="A21" s="49">
        <v>1994.0</v>
      </c>
      <c r="B21" s="1">
        <v>6.658924067473066</v>
      </c>
      <c r="C21" s="47">
        <v>9.73271468722873E8</v>
      </c>
    </row>
    <row r="22" ht="14.25" customHeight="1">
      <c r="A22" s="49">
        <v>1995.0</v>
      </c>
      <c r="B22" s="1">
        <v>7.574491840271946</v>
      </c>
      <c r="C22" s="47">
        <v>2.14362811028391E9</v>
      </c>
    </row>
    <row r="23" ht="14.25" customHeight="1">
      <c r="A23" s="49">
        <v>1996.0</v>
      </c>
      <c r="B23" s="1">
        <v>7.5495222488882945</v>
      </c>
      <c r="C23" s="47">
        <v>2.42605702191092E9</v>
      </c>
    </row>
    <row r="24" ht="14.25" customHeight="1">
      <c r="A24" s="49">
        <v>1997.0</v>
      </c>
      <c r="B24" s="1">
        <v>4.049820849024826</v>
      </c>
      <c r="C24" s="47">
        <v>3.57733004234585E9</v>
      </c>
    </row>
    <row r="25" ht="14.25" customHeight="1">
      <c r="A25" s="49">
        <v>1998.0</v>
      </c>
      <c r="B25" s="1">
        <v>6.184415820803551</v>
      </c>
      <c r="C25" s="47">
        <v>2.6346516577714E9</v>
      </c>
    </row>
    <row r="26" ht="14.25" customHeight="1">
      <c r="A26" s="49">
        <v>1999.0</v>
      </c>
      <c r="B26" s="1">
        <v>8.84575556114116</v>
      </c>
      <c r="C26" s="47">
        <v>2.16859105437924E9</v>
      </c>
    </row>
    <row r="27" ht="14.25" customHeight="1">
      <c r="A27" s="49">
        <v>2000.0</v>
      </c>
      <c r="B27" s="49">
        <v>3.8409911568655417</v>
      </c>
      <c r="C27" s="50">
        <v>3.58421730718755E9</v>
      </c>
    </row>
    <row r="28" ht="14.25" customHeight="1">
      <c r="A28" s="49">
        <v>2001.0</v>
      </c>
      <c r="B28" s="49">
        <v>4.823966263973034</v>
      </c>
      <c r="C28" s="50">
        <v>5.12809356162688E9</v>
      </c>
    </row>
    <row r="29" ht="14.25" customHeight="1">
      <c r="A29" s="49">
        <v>2002.0</v>
      </c>
      <c r="B29" s="49">
        <v>3.803975321200383</v>
      </c>
      <c r="C29" s="50">
        <v>5.20896710627894E9</v>
      </c>
    </row>
    <row r="30" ht="14.25" customHeight="1">
      <c r="A30" s="49">
        <v>2003.0</v>
      </c>
      <c r="B30" s="49">
        <v>7.860381475450453</v>
      </c>
      <c r="C30" s="50">
        <v>3.68198467143428E9</v>
      </c>
    </row>
    <row r="31" ht="14.25" customHeight="1">
      <c r="A31" s="49">
        <v>2004.0</v>
      </c>
      <c r="B31" s="49">
        <v>7.922936613079784</v>
      </c>
      <c r="C31" s="50">
        <v>5.42925098985717E9</v>
      </c>
    </row>
    <row r="32" ht="14.25" customHeight="1">
      <c r="A32" s="49">
        <v>2005.0</v>
      </c>
      <c r="B32" s="49">
        <v>7.923430621317891</v>
      </c>
      <c r="C32" s="50">
        <v>7.26940722561438E9</v>
      </c>
    </row>
    <row r="33" ht="14.25" customHeight="1">
      <c r="A33" s="49">
        <v>2006.0</v>
      </c>
      <c r="B33" s="49">
        <v>8.060732573050572</v>
      </c>
      <c r="C33" s="50">
        <v>2.00291192671396E10</v>
      </c>
    </row>
    <row r="34" ht="14.25" customHeight="1">
      <c r="A34" s="49">
        <v>2007.0</v>
      </c>
      <c r="B34" s="49">
        <v>7.660815065107656</v>
      </c>
      <c r="C34" s="50">
        <v>2.52277408866819E10</v>
      </c>
    </row>
    <row r="35" ht="14.25" customHeight="1">
      <c r="A35" s="49">
        <v>2008.0</v>
      </c>
      <c r="B35" s="49">
        <v>3.0866980595008187</v>
      </c>
      <c r="C35" s="50">
        <v>4.34062770758108E10</v>
      </c>
    </row>
    <row r="36" ht="14.25" customHeight="1">
      <c r="A36" s="49">
        <v>2009.0</v>
      </c>
      <c r="B36" s="49">
        <v>7.861888833033802</v>
      </c>
      <c r="C36" s="50">
        <v>3.55813729296641E10</v>
      </c>
    </row>
    <row r="37" ht="14.25" customHeight="1">
      <c r="A37" s="49">
        <v>2010.0</v>
      </c>
      <c r="B37" s="49">
        <v>8.497584701656251</v>
      </c>
      <c r="C37" s="50">
        <v>2.73968850337838E10</v>
      </c>
    </row>
    <row r="38" ht="14.25" customHeight="1">
      <c r="A38" s="49">
        <v>2011.0</v>
      </c>
      <c r="B38" s="49">
        <v>5.2413162002429345</v>
      </c>
      <c r="C38" s="50">
        <v>3.64986545978589E10</v>
      </c>
    </row>
    <row r="39" ht="14.25" customHeight="1">
      <c r="A39" s="49">
        <v>2012.0</v>
      </c>
      <c r="B39" s="49">
        <v>5.4563875516477225</v>
      </c>
      <c r="C39" s="50">
        <v>2.39956850142141E10</v>
      </c>
    </row>
    <row r="40" ht="14.25" customHeight="1">
      <c r="A40" s="49">
        <v>2013.0</v>
      </c>
      <c r="B40" s="49">
        <v>6.386106400917129</v>
      </c>
      <c r="C40" s="50">
        <v>2.81530312703202E10</v>
      </c>
    </row>
    <row r="41" ht="14.25" customHeight="1">
      <c r="A41" s="49">
        <v>2014.0</v>
      </c>
      <c r="B41" s="49">
        <v>7.410227605169766</v>
      </c>
      <c r="C41" s="50">
        <v>3.45766436941382E10</v>
      </c>
    </row>
    <row r="42" ht="14.25" customHeight="1">
      <c r="A42" s="49">
        <v>2015.0</v>
      </c>
      <c r="B42" s="49">
        <v>7.996253785679869</v>
      </c>
      <c r="C42" s="50">
        <v>4.40094921295319E10</v>
      </c>
    </row>
    <row r="43" ht="14.25" customHeight="1">
      <c r="A43" s="49">
        <v>2016.0</v>
      </c>
      <c r="B43" s="49">
        <v>8.256305501766619</v>
      </c>
      <c r="C43" s="50">
        <v>4.4458571545798E10</v>
      </c>
    </row>
    <row r="44" ht="14.25" customHeight="1">
      <c r="A44" s="49">
        <v>2017.0</v>
      </c>
      <c r="B44" s="49">
        <v>6.795383419024219</v>
      </c>
      <c r="C44" s="50">
        <v>3.99660913587384E10</v>
      </c>
    </row>
    <row r="45" ht="14.25" customHeight="1">
      <c r="A45" s="49">
        <v>2018.0</v>
      </c>
      <c r="B45" s="49">
        <v>6.453851344952952</v>
      </c>
      <c r="C45" s="50">
        <v>4.21174507372644E10</v>
      </c>
    </row>
    <row r="46" ht="14.25" customHeight="1">
      <c r="A46" s="49">
        <v>2019.0</v>
      </c>
      <c r="B46" s="49">
        <v>3.8714369407052374</v>
      </c>
      <c r="C46" s="50">
        <v>5.06106473535911E10</v>
      </c>
    </row>
    <row r="47" ht="14.25" customHeight="1">
      <c r="A47" s="49">
        <v>2020.0</v>
      </c>
      <c r="B47" s="49">
        <v>-5.77772470687303</v>
      </c>
      <c r="C47" s="50">
        <v>6.43623649943754E10</v>
      </c>
    </row>
    <row r="48" ht="14.25" customHeight="1">
      <c r="A48" s="49">
        <v>2021.0</v>
      </c>
      <c r="B48" s="49">
        <v>9.68959249191741</v>
      </c>
      <c r="C48" s="50">
        <v>4.4727277562881E10</v>
      </c>
    </row>
    <row r="49" ht="14.25" customHeight="1">
      <c r="A49" s="49">
        <v>2022.0</v>
      </c>
      <c r="B49" s="49">
        <v>7.609364977693204</v>
      </c>
      <c r="C49" s="50">
        <v>4.99402584042659E10</v>
      </c>
    </row>
    <row r="50" ht="14.25" customHeight="1">
      <c r="A50" s="49">
        <v>2023.0</v>
      </c>
      <c r="B50" s="49">
        <v>7.210224629335002</v>
      </c>
      <c r="C50" s="50">
        <v>2.80861935303979E10</v>
      </c>
    </row>
    <row r="51" ht="14.25" customHeight="1">
      <c r="A51" s="49">
        <v>2024.0</v>
      </c>
      <c r="B51" s="49">
        <v>7.099278931765184</v>
      </c>
      <c r="C51" s="50">
        <v>2.71398533781402E10</v>
      </c>
    </row>
    <row r="52" ht="14.25" customHeight="1">
      <c r="A52" s="49">
        <v>2025.0</v>
      </c>
      <c r="B52" s="49">
        <v>7.566661792842439</v>
      </c>
      <c r="C52" s="50">
        <v>3.90972330862133E10</v>
      </c>
    </row>
    <row r="53" ht="14.25" customHeight="1">
      <c r="C53" s="47"/>
    </row>
    <row r="54" ht="14.25" customHeight="1">
      <c r="C54" s="47"/>
    </row>
    <row r="55" ht="14.25" customHeight="1">
      <c r="C55" s="47"/>
    </row>
    <row r="56" ht="14.25" customHeight="1">
      <c r="C56" s="47"/>
    </row>
    <row r="57" ht="14.25" customHeight="1">
      <c r="C57" s="47"/>
    </row>
    <row r="58" ht="14.25" customHeight="1">
      <c r="C58" s="47"/>
    </row>
    <row r="59" ht="14.25" customHeight="1">
      <c r="C59" s="47"/>
    </row>
    <row r="60" ht="14.25" customHeight="1">
      <c r="C60" s="47"/>
    </row>
    <row r="61" ht="14.25" customHeight="1">
      <c r="C61" s="47"/>
    </row>
    <row r="62" ht="14.25" customHeight="1">
      <c r="C62" s="47"/>
    </row>
    <row r="63" ht="14.25" customHeight="1">
      <c r="C63" s="47"/>
    </row>
    <row r="64" ht="14.25" customHeight="1">
      <c r="C64" s="47"/>
    </row>
    <row r="65" ht="14.25" customHeight="1">
      <c r="C65" s="47"/>
    </row>
    <row r="66" ht="14.25" customHeight="1">
      <c r="C66" s="47"/>
    </row>
    <row r="67" ht="14.25" customHeight="1">
      <c r="C67" s="47"/>
    </row>
    <row r="68" ht="14.25" customHeight="1">
      <c r="C68" s="47"/>
    </row>
    <row r="69" ht="14.25" customHeight="1">
      <c r="C69" s="47"/>
    </row>
    <row r="70" ht="14.25" customHeight="1">
      <c r="C70" s="47"/>
    </row>
    <row r="71" ht="14.25" customHeight="1">
      <c r="C71" s="47"/>
    </row>
    <row r="72" ht="14.25" customHeight="1">
      <c r="C72" s="47"/>
    </row>
    <row r="73" ht="14.25" customHeight="1">
      <c r="C73" s="47"/>
    </row>
    <row r="74" ht="14.25" customHeight="1">
      <c r="C74" s="47"/>
    </row>
    <row r="75" ht="14.25" customHeight="1">
      <c r="C75" s="47"/>
    </row>
    <row r="76" ht="14.25" customHeight="1">
      <c r="C76" s="47"/>
    </row>
    <row r="77" ht="14.25" customHeight="1">
      <c r="C77" s="47"/>
    </row>
    <row r="78" ht="14.25" customHeight="1">
      <c r="C78" s="47"/>
    </row>
    <row r="79" ht="14.25" customHeight="1">
      <c r="C79" s="47"/>
    </row>
    <row r="80" ht="14.25" customHeight="1">
      <c r="C80" s="47"/>
    </row>
    <row r="81" ht="14.25" customHeight="1">
      <c r="C81" s="47"/>
    </row>
    <row r="82" ht="14.25" customHeight="1">
      <c r="C82" s="47"/>
    </row>
    <row r="83" ht="14.25" customHeight="1">
      <c r="C83" s="47"/>
    </row>
    <row r="84" ht="14.25" customHeight="1">
      <c r="C84" s="47"/>
    </row>
    <row r="85" ht="14.25" customHeight="1">
      <c r="C85" s="47"/>
    </row>
    <row r="86" ht="14.25" customHeight="1">
      <c r="C86" s="47"/>
    </row>
    <row r="87" ht="14.25" customHeight="1">
      <c r="C87" s="47"/>
    </row>
    <row r="88" ht="14.25" customHeight="1">
      <c r="C88" s="47"/>
    </row>
    <row r="89" ht="14.25" customHeight="1">
      <c r="C89" s="47"/>
    </row>
    <row r="90" ht="14.25" customHeight="1">
      <c r="C90" s="47"/>
    </row>
    <row r="91" ht="14.25" customHeight="1">
      <c r="C91" s="47"/>
    </row>
    <row r="92" ht="14.25" customHeight="1">
      <c r="C92" s="47"/>
    </row>
    <row r="93" ht="14.25" customHeight="1">
      <c r="C93" s="47"/>
    </row>
    <row r="94" ht="14.25" customHeight="1">
      <c r="C94" s="47"/>
    </row>
    <row r="95" ht="14.25" customHeight="1">
      <c r="C95" s="47"/>
    </row>
    <row r="96" ht="14.25" customHeight="1">
      <c r="C96" s="47"/>
    </row>
    <row r="97" ht="14.25" customHeight="1">
      <c r="C97" s="47"/>
    </row>
    <row r="98" ht="14.25" customHeight="1">
      <c r="C98" s="47"/>
    </row>
    <row r="99" ht="14.25" customHeight="1">
      <c r="C99" s="47"/>
    </row>
    <row r="100" ht="14.25" customHeight="1">
      <c r="C100" s="47"/>
    </row>
    <row r="101" ht="14.25" customHeight="1">
      <c r="C101" s="47"/>
    </row>
    <row r="102" ht="14.25" customHeight="1">
      <c r="C102" s="47"/>
    </row>
    <row r="103" ht="14.25" customHeight="1">
      <c r="C103" s="47"/>
    </row>
    <row r="104" ht="14.25" customHeight="1">
      <c r="C104" s="47"/>
    </row>
    <row r="105" ht="14.25" customHeight="1">
      <c r="C105" s="47"/>
    </row>
    <row r="106" ht="14.25" customHeight="1">
      <c r="C106" s="47"/>
    </row>
    <row r="107" ht="14.25" customHeight="1">
      <c r="C107" s="47"/>
    </row>
    <row r="108" ht="14.25" customHeight="1">
      <c r="C108" s="47"/>
    </row>
    <row r="109" ht="14.25" customHeight="1">
      <c r="C109" s="47"/>
    </row>
    <row r="110" ht="14.25" customHeight="1">
      <c r="C110" s="47"/>
    </row>
    <row r="111" ht="14.25" customHeight="1">
      <c r="C111" s="47"/>
    </row>
    <row r="112" ht="14.25" customHeight="1">
      <c r="C112" s="47"/>
    </row>
    <row r="113" ht="14.25" customHeight="1">
      <c r="C113" s="47"/>
    </row>
    <row r="114" ht="14.25" customHeight="1">
      <c r="C114" s="47"/>
    </row>
    <row r="115" ht="14.25" customHeight="1">
      <c r="C115" s="47"/>
    </row>
    <row r="116" ht="14.25" customHeight="1">
      <c r="C116" s="47"/>
    </row>
    <row r="117" ht="14.25" customHeight="1">
      <c r="C117" s="47"/>
    </row>
    <row r="118" ht="14.25" customHeight="1">
      <c r="C118" s="47"/>
    </row>
    <row r="119" ht="14.25" customHeight="1">
      <c r="C119" s="47"/>
    </row>
    <row r="120" ht="14.25" customHeight="1">
      <c r="C120" s="47"/>
    </row>
    <row r="121" ht="14.25" customHeight="1">
      <c r="C121" s="47"/>
    </row>
    <row r="122" ht="14.25" customHeight="1">
      <c r="C122" s="47"/>
    </row>
    <row r="123" ht="14.25" customHeight="1">
      <c r="C123" s="47"/>
    </row>
    <row r="124" ht="14.25" customHeight="1">
      <c r="C124" s="47"/>
    </row>
    <row r="125" ht="14.25" customHeight="1">
      <c r="C125" s="47"/>
    </row>
    <row r="126" ht="14.25" customHeight="1">
      <c r="C126" s="47"/>
    </row>
    <row r="127" ht="14.25" customHeight="1">
      <c r="C127" s="47"/>
    </row>
    <row r="128" ht="14.25" customHeight="1">
      <c r="C128" s="47"/>
    </row>
    <row r="129" ht="14.25" customHeight="1">
      <c r="C129" s="47"/>
    </row>
    <row r="130" ht="14.25" customHeight="1">
      <c r="C130" s="47"/>
    </row>
    <row r="131" ht="14.25" customHeight="1">
      <c r="C131" s="47"/>
    </row>
    <row r="132" ht="14.25" customHeight="1">
      <c r="C132" s="47"/>
    </row>
    <row r="133" ht="14.25" customHeight="1">
      <c r="C133" s="47"/>
    </row>
    <row r="134" ht="14.25" customHeight="1">
      <c r="C134" s="47"/>
    </row>
    <row r="135" ht="14.25" customHeight="1">
      <c r="C135" s="47"/>
    </row>
    <row r="136" ht="14.25" customHeight="1">
      <c r="C136" s="47"/>
    </row>
    <row r="137" ht="14.25" customHeight="1">
      <c r="C137" s="47"/>
    </row>
    <row r="138" ht="14.25" customHeight="1">
      <c r="C138" s="47"/>
    </row>
    <row r="139" ht="14.25" customHeight="1">
      <c r="C139" s="47"/>
    </row>
    <row r="140" ht="14.25" customHeight="1">
      <c r="C140" s="47"/>
    </row>
    <row r="141" ht="14.25" customHeight="1">
      <c r="C141" s="47"/>
    </row>
    <row r="142" ht="14.25" customHeight="1">
      <c r="C142" s="47"/>
    </row>
    <row r="143" ht="14.25" customHeight="1">
      <c r="C143" s="47"/>
    </row>
    <row r="144" ht="14.25" customHeight="1">
      <c r="C144" s="47"/>
    </row>
    <row r="145" ht="14.25" customHeight="1">
      <c r="C145" s="47"/>
    </row>
    <row r="146" ht="14.25" customHeight="1">
      <c r="C146" s="47"/>
    </row>
    <row r="147" ht="14.25" customHeight="1">
      <c r="C147" s="47"/>
    </row>
    <row r="148" ht="14.25" customHeight="1">
      <c r="C148" s="47"/>
    </row>
    <row r="149" ht="14.25" customHeight="1">
      <c r="C149" s="47"/>
    </row>
    <row r="150" ht="14.25" customHeight="1">
      <c r="C150" s="47"/>
    </row>
    <row r="151" ht="14.25" customHeight="1">
      <c r="C151" s="47"/>
    </row>
    <row r="152" ht="14.25" customHeight="1">
      <c r="C152" s="47"/>
    </row>
    <row r="153" ht="14.25" customHeight="1">
      <c r="C153" s="47"/>
    </row>
    <row r="154" ht="14.25" customHeight="1">
      <c r="C154" s="47"/>
    </row>
    <row r="155" ht="14.25" customHeight="1">
      <c r="C155" s="47"/>
    </row>
    <row r="156" ht="14.25" customHeight="1">
      <c r="C156" s="47"/>
    </row>
    <row r="157" ht="14.25" customHeight="1">
      <c r="C157" s="47"/>
    </row>
    <row r="158" ht="14.25" customHeight="1">
      <c r="C158" s="47"/>
    </row>
    <row r="159" ht="14.25" customHeight="1">
      <c r="C159" s="47"/>
    </row>
    <row r="160" ht="14.25" customHeight="1">
      <c r="C160" s="47"/>
    </row>
    <row r="161" ht="14.25" customHeight="1">
      <c r="C161" s="47"/>
    </row>
    <row r="162" ht="14.25" customHeight="1">
      <c r="C162" s="47"/>
    </row>
    <row r="163" ht="14.25" customHeight="1">
      <c r="C163" s="47"/>
    </row>
    <row r="164" ht="14.25" customHeight="1">
      <c r="C164" s="47"/>
    </row>
    <row r="165" ht="14.25" customHeight="1">
      <c r="C165" s="47"/>
    </row>
    <row r="166" ht="14.25" customHeight="1">
      <c r="C166" s="47"/>
    </row>
    <row r="167" ht="14.25" customHeight="1">
      <c r="C167" s="47"/>
    </row>
    <row r="168" ht="14.25" customHeight="1">
      <c r="C168" s="47"/>
    </row>
    <row r="169" ht="14.25" customHeight="1">
      <c r="C169" s="47"/>
    </row>
    <row r="170" ht="14.25" customHeight="1">
      <c r="C170" s="47"/>
    </row>
    <row r="171" ht="14.25" customHeight="1">
      <c r="C171" s="47"/>
    </row>
    <row r="172" ht="14.25" customHeight="1">
      <c r="C172" s="47"/>
    </row>
    <row r="173" ht="14.25" customHeight="1">
      <c r="C173" s="47"/>
    </row>
    <row r="174" ht="14.25" customHeight="1">
      <c r="C174" s="47"/>
    </row>
    <row r="175" ht="14.25" customHeight="1">
      <c r="C175" s="47"/>
    </row>
    <row r="176" ht="14.25" customHeight="1">
      <c r="C176" s="47"/>
    </row>
    <row r="177" ht="14.25" customHeight="1">
      <c r="C177" s="47"/>
    </row>
    <row r="178" ht="14.25" customHeight="1">
      <c r="C178" s="47"/>
    </row>
    <row r="179" ht="14.25" customHeight="1">
      <c r="C179" s="47"/>
    </row>
    <row r="180" ht="14.25" customHeight="1">
      <c r="C180" s="47"/>
    </row>
    <row r="181" ht="14.25" customHeight="1">
      <c r="C181" s="47"/>
    </row>
    <row r="182" ht="14.25" customHeight="1">
      <c r="C182" s="47"/>
    </row>
    <row r="183" ht="14.25" customHeight="1">
      <c r="C183" s="47"/>
    </row>
    <row r="184" ht="14.25" customHeight="1">
      <c r="C184" s="47"/>
    </row>
    <row r="185" ht="14.25" customHeight="1">
      <c r="C185" s="47"/>
    </row>
    <row r="186" ht="14.25" customHeight="1">
      <c r="C186" s="47"/>
    </row>
    <row r="187" ht="14.25" customHeight="1">
      <c r="C187" s="47"/>
    </row>
    <row r="188" ht="14.25" customHeight="1">
      <c r="C188" s="47"/>
    </row>
    <row r="189" ht="14.25" customHeight="1">
      <c r="C189" s="47"/>
    </row>
    <row r="190" ht="14.25" customHeight="1">
      <c r="C190" s="47"/>
    </row>
    <row r="191" ht="14.25" customHeight="1">
      <c r="C191" s="47"/>
    </row>
    <row r="192" ht="14.25" customHeight="1">
      <c r="C192" s="47"/>
    </row>
    <row r="193" ht="14.25" customHeight="1">
      <c r="C193" s="47"/>
    </row>
    <row r="194" ht="14.25" customHeight="1">
      <c r="C194" s="47"/>
    </row>
    <row r="195" ht="14.25" customHeight="1">
      <c r="C195" s="47"/>
    </row>
    <row r="196" ht="14.25" customHeight="1">
      <c r="C196" s="47"/>
    </row>
    <row r="197" ht="14.25" customHeight="1">
      <c r="C197" s="47"/>
    </row>
    <row r="198" ht="14.25" customHeight="1">
      <c r="C198" s="47"/>
    </row>
    <row r="199" ht="14.25" customHeight="1">
      <c r="C199" s="47"/>
    </row>
    <row r="200" ht="14.25" customHeight="1">
      <c r="C200" s="47"/>
    </row>
    <row r="201" ht="14.25" customHeight="1">
      <c r="C201" s="47"/>
    </row>
    <row r="202" ht="14.25" customHeight="1">
      <c r="C202" s="47"/>
    </row>
    <row r="203" ht="14.25" customHeight="1">
      <c r="C203" s="47"/>
    </row>
    <row r="204" ht="14.25" customHeight="1">
      <c r="C204" s="47"/>
    </row>
    <row r="205" ht="14.25" customHeight="1">
      <c r="C205" s="47"/>
    </row>
    <row r="206" ht="14.25" customHeight="1">
      <c r="C206" s="47"/>
    </row>
    <row r="207" ht="14.25" customHeight="1">
      <c r="C207" s="47"/>
    </row>
    <row r="208" ht="14.25" customHeight="1">
      <c r="C208" s="47"/>
    </row>
    <row r="209" ht="14.25" customHeight="1">
      <c r="C209" s="47"/>
    </row>
    <row r="210" ht="14.25" customHeight="1">
      <c r="C210" s="47"/>
    </row>
    <row r="211" ht="14.25" customHeight="1">
      <c r="C211" s="47"/>
    </row>
    <row r="212" ht="14.25" customHeight="1">
      <c r="C212" s="47"/>
    </row>
    <row r="213" ht="14.25" customHeight="1">
      <c r="C213" s="47"/>
    </row>
    <row r="214" ht="14.25" customHeight="1">
      <c r="C214" s="47"/>
    </row>
    <row r="215" ht="14.25" customHeight="1">
      <c r="C215" s="47"/>
    </row>
    <row r="216" ht="14.25" customHeight="1">
      <c r="C216" s="47"/>
    </row>
    <row r="217" ht="14.25" customHeight="1">
      <c r="C217" s="47"/>
    </row>
    <row r="218" ht="14.25" customHeight="1">
      <c r="C218" s="47"/>
    </row>
    <row r="219" ht="14.25" customHeight="1">
      <c r="C219" s="47"/>
    </row>
    <row r="220" ht="14.25" customHeight="1">
      <c r="C220" s="47"/>
    </row>
    <row r="221" ht="14.25" customHeight="1">
      <c r="C221" s="47"/>
    </row>
    <row r="222" ht="14.25" customHeight="1">
      <c r="C222" s="47"/>
    </row>
    <row r="223" ht="14.25" customHeight="1">
      <c r="C223" s="47"/>
    </row>
    <row r="224" ht="14.25" customHeight="1">
      <c r="C224" s="47"/>
    </row>
    <row r="225" ht="14.25" customHeight="1">
      <c r="C225" s="47"/>
    </row>
    <row r="226" ht="14.25" customHeight="1">
      <c r="C226" s="47"/>
    </row>
    <row r="227" ht="14.25" customHeight="1">
      <c r="C227" s="47"/>
    </row>
    <row r="228" ht="14.25" customHeight="1">
      <c r="C228" s="47"/>
    </row>
    <row r="229" ht="14.25" customHeight="1">
      <c r="C229" s="47"/>
    </row>
    <row r="230" ht="14.25" customHeight="1">
      <c r="C230" s="47"/>
    </row>
    <row r="231" ht="14.25" customHeight="1">
      <c r="C231" s="47"/>
    </row>
    <row r="232" ht="14.25" customHeight="1">
      <c r="C232" s="47"/>
    </row>
    <row r="233" ht="14.25" customHeight="1">
      <c r="C233" s="47"/>
    </row>
    <row r="234" ht="14.25" customHeight="1">
      <c r="C234" s="47"/>
    </row>
    <row r="235" ht="14.25" customHeight="1">
      <c r="C235" s="47"/>
    </row>
    <row r="236" ht="14.25" customHeight="1">
      <c r="C236" s="47"/>
    </row>
    <row r="237" ht="14.25" customHeight="1">
      <c r="C237" s="47"/>
    </row>
    <row r="238" ht="14.25" customHeight="1">
      <c r="C238" s="47"/>
    </row>
    <row r="239" ht="14.25" customHeight="1">
      <c r="C239" s="47"/>
    </row>
    <row r="240" ht="14.25" customHeight="1">
      <c r="C240" s="47"/>
    </row>
    <row r="241" ht="14.25" customHeight="1">
      <c r="C241" s="47"/>
    </row>
    <row r="242" ht="14.25" customHeight="1">
      <c r="C242" s="47"/>
    </row>
    <row r="243" ht="14.25" customHeight="1">
      <c r="C243" s="47"/>
    </row>
    <row r="244" ht="14.25" customHeight="1">
      <c r="C244" s="47"/>
    </row>
    <row r="245" ht="14.25" customHeight="1">
      <c r="C245" s="47"/>
    </row>
    <row r="246" ht="14.25" customHeight="1">
      <c r="C246" s="47"/>
    </row>
    <row r="247" ht="14.25" customHeight="1">
      <c r="C247" s="47"/>
    </row>
    <row r="248" ht="14.25" customHeight="1">
      <c r="C248" s="47"/>
    </row>
    <row r="249" ht="14.25" customHeight="1">
      <c r="C249" s="47"/>
    </row>
    <row r="250" ht="14.25" customHeight="1">
      <c r="C250" s="47"/>
    </row>
    <row r="251" ht="14.25" customHeight="1">
      <c r="C251" s="47"/>
    </row>
    <row r="252" ht="14.25" customHeight="1">
      <c r="C252" s="47"/>
    </row>
    <row r="253" ht="14.25" customHeight="1">
      <c r="C253" s="47"/>
    </row>
    <row r="254" ht="14.25" customHeight="1">
      <c r="C254" s="47"/>
    </row>
    <row r="255" ht="14.25" customHeight="1">
      <c r="C255" s="47"/>
    </row>
    <row r="256" ht="14.25" customHeight="1">
      <c r="C256" s="47"/>
    </row>
    <row r="257" ht="14.25" customHeight="1">
      <c r="C257" s="47"/>
    </row>
    <row r="258" ht="14.25" customHeight="1">
      <c r="C258" s="47"/>
    </row>
    <row r="259" ht="14.25" customHeight="1">
      <c r="C259" s="47"/>
    </row>
    <row r="260" ht="14.25" customHeight="1">
      <c r="C260" s="47"/>
    </row>
    <row r="261" ht="14.25" customHeight="1">
      <c r="C261" s="47"/>
    </row>
    <row r="262" ht="14.25" customHeight="1">
      <c r="C262" s="47"/>
    </row>
    <row r="263" ht="14.25" customHeight="1">
      <c r="C263" s="47"/>
    </row>
    <row r="264" ht="14.25" customHeight="1">
      <c r="C264" s="47"/>
    </row>
    <row r="265" ht="14.25" customHeight="1">
      <c r="C265" s="47"/>
    </row>
    <row r="266" ht="14.25" customHeight="1">
      <c r="C266" s="47"/>
    </row>
    <row r="267" ht="14.25" customHeight="1">
      <c r="C267" s="47"/>
    </row>
    <row r="268" ht="14.25" customHeight="1">
      <c r="C268" s="47"/>
    </row>
    <row r="269" ht="14.25" customHeight="1">
      <c r="C269" s="47"/>
    </row>
    <row r="270" ht="14.25" customHeight="1">
      <c r="C270" s="47"/>
    </row>
    <row r="271" ht="14.25" customHeight="1">
      <c r="C271" s="47"/>
    </row>
    <row r="272" ht="14.25" customHeight="1">
      <c r="C272" s="47"/>
    </row>
    <row r="273" ht="14.25" customHeight="1">
      <c r="C273" s="47"/>
    </row>
    <row r="274" ht="14.25" customHeight="1">
      <c r="C274" s="47"/>
    </row>
    <row r="275" ht="14.25" customHeight="1">
      <c r="C275" s="47"/>
    </row>
    <row r="276" ht="14.25" customHeight="1">
      <c r="C276" s="47"/>
    </row>
    <row r="277" ht="14.25" customHeight="1">
      <c r="C277" s="47"/>
    </row>
    <row r="278" ht="14.25" customHeight="1">
      <c r="C278" s="47"/>
    </row>
    <row r="279" ht="14.25" customHeight="1">
      <c r="C279" s="47"/>
    </row>
    <row r="280" ht="14.25" customHeight="1">
      <c r="C280" s="47"/>
    </row>
    <row r="281" ht="14.25" customHeight="1">
      <c r="C281" s="47"/>
    </row>
    <row r="282" ht="14.25" customHeight="1">
      <c r="C282" s="47"/>
    </row>
    <row r="283" ht="14.25" customHeight="1">
      <c r="C283" s="47"/>
    </row>
    <row r="284" ht="14.25" customHeight="1">
      <c r="C284" s="47"/>
    </row>
    <row r="285" ht="14.25" customHeight="1">
      <c r="C285" s="47"/>
    </row>
    <row r="286" ht="14.25" customHeight="1">
      <c r="C286" s="47"/>
    </row>
    <row r="287" ht="14.25" customHeight="1">
      <c r="C287" s="47"/>
    </row>
    <row r="288" ht="14.25" customHeight="1">
      <c r="C288" s="47"/>
    </row>
    <row r="289" ht="14.25" customHeight="1">
      <c r="C289" s="47"/>
    </row>
    <row r="290" ht="14.25" customHeight="1">
      <c r="C290" s="47"/>
    </row>
    <row r="291" ht="14.25" customHeight="1">
      <c r="C291" s="47"/>
    </row>
    <row r="292" ht="14.25" customHeight="1">
      <c r="C292" s="47"/>
    </row>
    <row r="293" ht="14.25" customHeight="1">
      <c r="C293" s="47"/>
    </row>
    <row r="294" ht="14.25" customHeight="1">
      <c r="C294" s="47"/>
    </row>
    <row r="295" ht="14.25" customHeight="1">
      <c r="C295" s="47"/>
    </row>
    <row r="296" ht="14.25" customHeight="1">
      <c r="C296" s="47"/>
    </row>
    <row r="297" ht="14.25" customHeight="1">
      <c r="C297" s="47"/>
    </row>
    <row r="298" ht="14.25" customHeight="1">
      <c r="C298" s="47"/>
    </row>
    <row r="299" ht="14.25" customHeight="1">
      <c r="C299" s="47"/>
    </row>
    <row r="300" ht="14.25" customHeight="1">
      <c r="C300" s="47"/>
    </row>
    <row r="301" ht="14.25" customHeight="1">
      <c r="C301" s="47"/>
    </row>
    <row r="302" ht="14.25" customHeight="1">
      <c r="C302" s="47"/>
    </row>
    <row r="303" ht="14.25" customHeight="1">
      <c r="C303" s="47"/>
    </row>
    <row r="304" ht="14.25" customHeight="1">
      <c r="C304" s="47"/>
    </row>
    <row r="305" ht="14.25" customHeight="1">
      <c r="C305" s="47"/>
    </row>
    <row r="306" ht="14.25" customHeight="1">
      <c r="C306" s="47"/>
    </row>
    <row r="307" ht="14.25" customHeight="1">
      <c r="C307" s="47"/>
    </row>
    <row r="308" ht="14.25" customHeight="1">
      <c r="C308" s="47"/>
    </row>
    <row r="309" ht="14.25" customHeight="1">
      <c r="C309" s="47"/>
    </row>
    <row r="310" ht="14.25" customHeight="1">
      <c r="C310" s="47"/>
    </row>
    <row r="311" ht="14.25" customHeight="1">
      <c r="C311" s="47"/>
    </row>
    <row r="312" ht="14.25" customHeight="1">
      <c r="C312" s="47"/>
    </row>
    <row r="313" ht="14.25" customHeight="1">
      <c r="C313" s="47"/>
    </row>
    <row r="314" ht="14.25" customHeight="1">
      <c r="C314" s="47"/>
    </row>
    <row r="315" ht="14.25" customHeight="1">
      <c r="C315" s="47"/>
    </row>
    <row r="316" ht="14.25" customHeight="1">
      <c r="C316" s="47"/>
    </row>
    <row r="317" ht="14.25" customHeight="1">
      <c r="C317" s="47"/>
    </row>
    <row r="318" ht="14.25" customHeight="1">
      <c r="C318" s="47"/>
    </row>
    <row r="319" ht="14.25" customHeight="1">
      <c r="C319" s="47"/>
    </row>
    <row r="320" ht="14.25" customHeight="1">
      <c r="C320" s="47"/>
    </row>
    <row r="321" ht="14.25" customHeight="1">
      <c r="C321" s="47"/>
    </row>
    <row r="322" ht="14.25" customHeight="1">
      <c r="C322" s="47"/>
    </row>
    <row r="323" ht="14.25" customHeight="1">
      <c r="C323" s="47"/>
    </row>
    <row r="324" ht="14.25" customHeight="1">
      <c r="C324" s="47"/>
    </row>
    <row r="325" ht="14.25" customHeight="1">
      <c r="C325" s="47"/>
    </row>
    <row r="326" ht="14.25" customHeight="1">
      <c r="C326" s="47"/>
    </row>
    <row r="327" ht="14.25" customHeight="1">
      <c r="C327" s="47"/>
    </row>
    <row r="328" ht="14.25" customHeight="1">
      <c r="C328" s="47"/>
    </row>
    <row r="329" ht="14.25" customHeight="1">
      <c r="C329" s="47"/>
    </row>
    <row r="330" ht="14.25" customHeight="1">
      <c r="C330" s="47"/>
    </row>
    <row r="331" ht="14.25" customHeight="1">
      <c r="C331" s="47"/>
    </row>
    <row r="332" ht="14.25" customHeight="1">
      <c r="C332" s="47"/>
    </row>
    <row r="333" ht="14.25" customHeight="1">
      <c r="C333" s="47"/>
    </row>
    <row r="334" ht="14.25" customHeight="1">
      <c r="C334" s="47"/>
    </row>
    <row r="335" ht="14.25" customHeight="1">
      <c r="C335" s="47"/>
    </row>
    <row r="336" ht="14.25" customHeight="1">
      <c r="C336" s="47"/>
    </row>
    <row r="337" ht="14.25" customHeight="1">
      <c r="C337" s="47"/>
    </row>
    <row r="338" ht="14.25" customHeight="1">
      <c r="C338" s="47"/>
    </row>
    <row r="339" ht="14.25" customHeight="1">
      <c r="C339" s="47"/>
    </row>
    <row r="340" ht="14.25" customHeight="1">
      <c r="C340" s="47"/>
    </row>
    <row r="341" ht="14.25" customHeight="1">
      <c r="C341" s="47"/>
    </row>
    <row r="342" ht="14.25" customHeight="1">
      <c r="C342" s="47"/>
    </row>
    <row r="343" ht="14.25" customHeight="1">
      <c r="C343" s="47"/>
    </row>
    <row r="344" ht="14.25" customHeight="1">
      <c r="C344" s="47"/>
    </row>
    <row r="345" ht="14.25" customHeight="1">
      <c r="C345" s="47"/>
    </row>
    <row r="346" ht="14.25" customHeight="1">
      <c r="C346" s="47"/>
    </row>
    <row r="347" ht="14.25" customHeight="1">
      <c r="C347" s="47"/>
    </row>
    <row r="348" ht="14.25" customHeight="1">
      <c r="C348" s="47"/>
    </row>
    <row r="349" ht="14.25" customHeight="1">
      <c r="C349" s="47"/>
    </row>
    <row r="350" ht="14.25" customHeight="1">
      <c r="C350" s="47"/>
    </row>
    <row r="351" ht="14.25" customHeight="1">
      <c r="C351" s="47"/>
    </row>
    <row r="352" ht="14.25" customHeight="1">
      <c r="C352" s="47"/>
    </row>
    <row r="353" ht="14.25" customHeight="1">
      <c r="C353" s="47"/>
    </row>
    <row r="354" ht="14.25" customHeight="1">
      <c r="C354" s="47"/>
    </row>
    <row r="355" ht="14.25" customHeight="1">
      <c r="C355" s="47"/>
    </row>
    <row r="356" ht="14.25" customHeight="1">
      <c r="C356" s="47"/>
    </row>
    <row r="357" ht="14.25" customHeight="1">
      <c r="C357" s="47"/>
    </row>
    <row r="358" ht="14.25" customHeight="1">
      <c r="C358" s="47"/>
    </row>
    <row r="359" ht="14.25" customHeight="1">
      <c r="C359" s="47"/>
    </row>
    <row r="360" ht="14.25" customHeight="1">
      <c r="C360" s="47"/>
    </row>
    <row r="361" ht="14.25" customHeight="1">
      <c r="C361" s="47"/>
    </row>
    <row r="362" ht="14.25" customHeight="1">
      <c r="C362" s="47"/>
    </row>
    <row r="363" ht="14.25" customHeight="1">
      <c r="C363" s="47"/>
    </row>
    <row r="364" ht="14.25" customHeight="1">
      <c r="C364" s="47"/>
    </row>
    <row r="365" ht="14.25" customHeight="1">
      <c r="C365" s="47"/>
    </row>
    <row r="366" ht="14.25" customHeight="1">
      <c r="C366" s="47"/>
    </row>
    <row r="367" ht="14.25" customHeight="1">
      <c r="C367" s="47"/>
    </row>
    <row r="368" ht="14.25" customHeight="1">
      <c r="C368" s="47"/>
    </row>
    <row r="369" ht="14.25" customHeight="1">
      <c r="C369" s="47"/>
    </row>
    <row r="370" ht="14.25" customHeight="1">
      <c r="C370" s="47"/>
    </row>
    <row r="371" ht="14.25" customHeight="1">
      <c r="C371" s="47"/>
    </row>
    <row r="372" ht="14.25" customHeight="1">
      <c r="C372" s="47"/>
    </row>
    <row r="373" ht="14.25" customHeight="1">
      <c r="C373" s="47"/>
    </row>
    <row r="374" ht="14.25" customHeight="1">
      <c r="C374" s="47"/>
    </row>
    <row r="375" ht="14.25" customHeight="1">
      <c r="C375" s="47"/>
    </row>
    <row r="376" ht="14.25" customHeight="1">
      <c r="C376" s="47"/>
    </row>
    <row r="377" ht="14.25" customHeight="1">
      <c r="C377" s="47"/>
    </row>
    <row r="378" ht="14.25" customHeight="1">
      <c r="C378" s="47"/>
    </row>
    <row r="379" ht="14.25" customHeight="1">
      <c r="C379" s="47"/>
    </row>
    <row r="380" ht="14.25" customHeight="1">
      <c r="C380" s="47"/>
    </row>
    <row r="381" ht="14.25" customHeight="1">
      <c r="C381" s="47"/>
    </row>
    <row r="382" ht="14.25" customHeight="1">
      <c r="C382" s="47"/>
    </row>
    <row r="383" ht="14.25" customHeight="1">
      <c r="C383" s="47"/>
    </row>
    <row r="384" ht="14.25" customHeight="1">
      <c r="C384" s="47"/>
    </row>
    <row r="385" ht="14.25" customHeight="1">
      <c r="C385" s="47"/>
    </row>
    <row r="386" ht="14.25" customHeight="1">
      <c r="C386" s="47"/>
    </row>
    <row r="387" ht="14.25" customHeight="1">
      <c r="C387" s="47"/>
    </row>
    <row r="388" ht="14.25" customHeight="1">
      <c r="C388" s="47"/>
    </row>
    <row r="389" ht="14.25" customHeight="1">
      <c r="C389" s="47"/>
    </row>
    <row r="390" ht="14.25" customHeight="1">
      <c r="C390" s="47"/>
    </row>
    <row r="391" ht="14.25" customHeight="1">
      <c r="C391" s="47"/>
    </row>
    <row r="392" ht="14.25" customHeight="1">
      <c r="C392" s="47"/>
    </row>
    <row r="393" ht="14.25" customHeight="1">
      <c r="C393" s="47"/>
    </row>
    <row r="394" ht="14.25" customHeight="1">
      <c r="C394" s="47"/>
    </row>
    <row r="395" ht="14.25" customHeight="1">
      <c r="C395" s="47"/>
    </row>
    <row r="396" ht="14.25" customHeight="1">
      <c r="C396" s="47"/>
    </row>
    <row r="397" ht="14.25" customHeight="1">
      <c r="C397" s="47"/>
    </row>
    <row r="398" ht="14.25" customHeight="1">
      <c r="C398" s="47"/>
    </row>
    <row r="399" ht="14.25" customHeight="1">
      <c r="C399" s="47"/>
    </row>
    <row r="400" ht="14.25" customHeight="1">
      <c r="C400" s="47"/>
    </row>
    <row r="401" ht="14.25" customHeight="1">
      <c r="C401" s="47"/>
    </row>
    <row r="402" ht="14.25" customHeight="1">
      <c r="C402" s="47"/>
    </row>
    <row r="403" ht="14.25" customHeight="1">
      <c r="C403" s="47"/>
    </row>
    <row r="404" ht="14.25" customHeight="1">
      <c r="C404" s="47"/>
    </row>
    <row r="405" ht="14.25" customHeight="1">
      <c r="C405" s="47"/>
    </row>
    <row r="406" ht="14.25" customHeight="1">
      <c r="C406" s="47"/>
    </row>
    <row r="407" ht="14.25" customHeight="1">
      <c r="C407" s="47"/>
    </row>
    <row r="408" ht="14.25" customHeight="1">
      <c r="C408" s="47"/>
    </row>
    <row r="409" ht="14.25" customHeight="1">
      <c r="C409" s="47"/>
    </row>
    <row r="410" ht="14.25" customHeight="1">
      <c r="C410" s="47"/>
    </row>
    <row r="411" ht="14.25" customHeight="1">
      <c r="C411" s="47"/>
    </row>
    <row r="412" ht="14.25" customHeight="1">
      <c r="C412" s="47"/>
    </row>
    <row r="413" ht="14.25" customHeight="1">
      <c r="C413" s="47"/>
    </row>
    <row r="414" ht="14.25" customHeight="1">
      <c r="C414" s="47"/>
    </row>
    <row r="415" ht="14.25" customHeight="1">
      <c r="C415" s="47"/>
    </row>
    <row r="416" ht="14.25" customHeight="1">
      <c r="C416" s="47"/>
    </row>
    <row r="417" ht="14.25" customHeight="1">
      <c r="C417" s="47"/>
    </row>
    <row r="418" ht="14.25" customHeight="1">
      <c r="C418" s="47"/>
    </row>
    <row r="419" ht="14.25" customHeight="1">
      <c r="C419" s="47"/>
    </row>
    <row r="420" ht="14.25" customHeight="1">
      <c r="C420" s="47"/>
    </row>
    <row r="421" ht="14.25" customHeight="1">
      <c r="C421" s="47"/>
    </row>
    <row r="422" ht="14.25" customHeight="1">
      <c r="C422" s="47"/>
    </row>
    <row r="423" ht="14.25" customHeight="1">
      <c r="C423" s="47"/>
    </row>
    <row r="424" ht="14.25" customHeight="1">
      <c r="C424" s="47"/>
    </row>
    <row r="425" ht="14.25" customHeight="1">
      <c r="C425" s="47"/>
    </row>
    <row r="426" ht="14.25" customHeight="1">
      <c r="C426" s="47"/>
    </row>
    <row r="427" ht="14.25" customHeight="1">
      <c r="C427" s="47"/>
    </row>
    <row r="428" ht="14.25" customHeight="1">
      <c r="C428" s="47"/>
    </row>
    <row r="429" ht="14.25" customHeight="1">
      <c r="C429" s="47"/>
    </row>
    <row r="430" ht="14.25" customHeight="1">
      <c r="C430" s="47"/>
    </row>
    <row r="431" ht="14.25" customHeight="1">
      <c r="C431" s="47"/>
    </row>
    <row r="432" ht="14.25" customHeight="1">
      <c r="C432" s="47"/>
    </row>
    <row r="433" ht="14.25" customHeight="1">
      <c r="C433" s="47"/>
    </row>
    <row r="434" ht="14.25" customHeight="1">
      <c r="C434" s="47"/>
    </row>
    <row r="435" ht="14.25" customHeight="1">
      <c r="C435" s="47"/>
    </row>
    <row r="436" ht="14.25" customHeight="1">
      <c r="C436" s="47"/>
    </row>
    <row r="437" ht="14.25" customHeight="1">
      <c r="C437" s="47"/>
    </row>
    <row r="438" ht="14.25" customHeight="1">
      <c r="C438" s="47"/>
    </row>
    <row r="439" ht="14.25" customHeight="1">
      <c r="C439" s="47"/>
    </row>
    <row r="440" ht="14.25" customHeight="1">
      <c r="C440" s="47"/>
    </row>
    <row r="441" ht="14.25" customHeight="1">
      <c r="C441" s="47"/>
    </row>
    <row r="442" ht="14.25" customHeight="1">
      <c r="C442" s="47"/>
    </row>
    <row r="443" ht="14.25" customHeight="1">
      <c r="C443" s="47"/>
    </row>
    <row r="444" ht="14.25" customHeight="1">
      <c r="C444" s="47"/>
    </row>
    <row r="445" ht="14.25" customHeight="1">
      <c r="C445" s="47"/>
    </row>
    <row r="446" ht="14.25" customHeight="1">
      <c r="C446" s="47"/>
    </row>
    <row r="447" ht="14.25" customHeight="1">
      <c r="C447" s="47"/>
    </row>
    <row r="448" ht="14.25" customHeight="1">
      <c r="C448" s="47"/>
    </row>
    <row r="449" ht="14.25" customHeight="1">
      <c r="C449" s="47"/>
    </row>
    <row r="450" ht="14.25" customHeight="1">
      <c r="C450" s="47"/>
    </row>
    <row r="451" ht="14.25" customHeight="1">
      <c r="C451" s="47"/>
    </row>
    <row r="452" ht="14.25" customHeight="1">
      <c r="C452" s="47"/>
    </row>
    <row r="453" ht="14.25" customHeight="1">
      <c r="C453" s="47"/>
    </row>
    <row r="454" ht="14.25" customHeight="1">
      <c r="C454" s="47"/>
    </row>
    <row r="455" ht="14.25" customHeight="1">
      <c r="C455" s="47"/>
    </row>
    <row r="456" ht="14.25" customHeight="1">
      <c r="C456" s="47"/>
    </row>
    <row r="457" ht="14.25" customHeight="1">
      <c r="C457" s="47"/>
    </row>
    <row r="458" ht="14.25" customHeight="1">
      <c r="C458" s="47"/>
    </row>
    <row r="459" ht="14.25" customHeight="1">
      <c r="C459" s="47"/>
    </row>
    <row r="460" ht="14.25" customHeight="1">
      <c r="C460" s="47"/>
    </row>
    <row r="461" ht="14.25" customHeight="1">
      <c r="C461" s="47"/>
    </row>
    <row r="462" ht="14.25" customHeight="1">
      <c r="C462" s="47"/>
    </row>
    <row r="463" ht="14.25" customHeight="1">
      <c r="C463" s="47"/>
    </row>
    <row r="464" ht="14.25" customHeight="1">
      <c r="C464" s="47"/>
    </row>
    <row r="465" ht="14.25" customHeight="1">
      <c r="C465" s="47"/>
    </row>
    <row r="466" ht="14.25" customHeight="1">
      <c r="C466" s="47"/>
    </row>
    <row r="467" ht="14.25" customHeight="1">
      <c r="C467" s="47"/>
    </row>
    <row r="468" ht="14.25" customHeight="1">
      <c r="C468" s="47"/>
    </row>
    <row r="469" ht="14.25" customHeight="1">
      <c r="C469" s="47"/>
    </row>
    <row r="470" ht="14.25" customHeight="1">
      <c r="C470" s="47"/>
    </row>
    <row r="471" ht="14.25" customHeight="1">
      <c r="C471" s="47"/>
    </row>
    <row r="472" ht="14.25" customHeight="1">
      <c r="C472" s="47"/>
    </row>
    <row r="473" ht="14.25" customHeight="1">
      <c r="C473" s="47"/>
    </row>
    <row r="474" ht="14.25" customHeight="1">
      <c r="C474" s="47"/>
    </row>
    <row r="475" ht="14.25" customHeight="1">
      <c r="C475" s="47"/>
    </row>
    <row r="476" ht="14.25" customHeight="1">
      <c r="C476" s="47"/>
    </row>
    <row r="477" ht="14.25" customHeight="1">
      <c r="C477" s="47"/>
    </row>
    <row r="478" ht="14.25" customHeight="1">
      <c r="C478" s="47"/>
    </row>
    <row r="479" ht="14.25" customHeight="1">
      <c r="C479" s="47"/>
    </row>
    <row r="480" ht="14.25" customHeight="1">
      <c r="C480" s="47"/>
    </row>
    <row r="481" ht="14.25" customHeight="1">
      <c r="C481" s="47"/>
    </row>
    <row r="482" ht="14.25" customHeight="1">
      <c r="C482" s="47"/>
    </row>
    <row r="483" ht="14.25" customHeight="1">
      <c r="C483" s="47"/>
    </row>
    <row r="484" ht="14.25" customHeight="1">
      <c r="C484" s="47"/>
    </row>
    <row r="485" ht="14.25" customHeight="1">
      <c r="C485" s="47"/>
    </row>
    <row r="486" ht="14.25" customHeight="1">
      <c r="C486" s="47"/>
    </row>
    <row r="487" ht="14.25" customHeight="1">
      <c r="C487" s="47"/>
    </row>
    <row r="488" ht="14.25" customHeight="1">
      <c r="C488" s="47"/>
    </row>
    <row r="489" ht="14.25" customHeight="1">
      <c r="C489" s="47"/>
    </row>
    <row r="490" ht="14.25" customHeight="1">
      <c r="C490" s="47"/>
    </row>
    <row r="491" ht="14.25" customHeight="1">
      <c r="C491" s="47"/>
    </row>
    <row r="492" ht="14.25" customHeight="1">
      <c r="C492" s="47"/>
    </row>
    <row r="493" ht="14.25" customHeight="1">
      <c r="C493" s="47"/>
    </row>
    <row r="494" ht="14.25" customHeight="1">
      <c r="C494" s="47"/>
    </row>
    <row r="495" ht="14.25" customHeight="1">
      <c r="C495" s="47"/>
    </row>
    <row r="496" ht="14.25" customHeight="1">
      <c r="C496" s="47"/>
    </row>
    <row r="497" ht="14.25" customHeight="1">
      <c r="C497" s="47"/>
    </row>
    <row r="498" ht="14.25" customHeight="1">
      <c r="C498" s="47"/>
    </row>
    <row r="499" ht="14.25" customHeight="1">
      <c r="C499" s="47"/>
    </row>
    <row r="500" ht="14.25" customHeight="1">
      <c r="C500" s="47"/>
    </row>
    <row r="501" ht="14.25" customHeight="1">
      <c r="C501" s="47"/>
    </row>
    <row r="502" ht="14.25" customHeight="1">
      <c r="C502" s="47"/>
    </row>
    <row r="503" ht="14.25" customHeight="1">
      <c r="C503" s="47"/>
    </row>
    <row r="504" ht="14.25" customHeight="1">
      <c r="C504" s="47"/>
    </row>
    <row r="505" ht="14.25" customHeight="1">
      <c r="C505" s="47"/>
    </row>
    <row r="506" ht="14.25" customHeight="1">
      <c r="C506" s="47"/>
    </row>
    <row r="507" ht="14.25" customHeight="1">
      <c r="C507" s="47"/>
    </row>
    <row r="508" ht="14.25" customHeight="1">
      <c r="C508" s="47"/>
    </row>
    <row r="509" ht="14.25" customHeight="1">
      <c r="C509" s="47"/>
    </row>
    <row r="510" ht="14.25" customHeight="1">
      <c r="C510" s="47"/>
    </row>
    <row r="511" ht="14.25" customHeight="1">
      <c r="C511" s="47"/>
    </row>
    <row r="512" ht="14.25" customHeight="1">
      <c r="C512" s="47"/>
    </row>
    <row r="513" ht="14.25" customHeight="1">
      <c r="C513" s="47"/>
    </row>
    <row r="514" ht="14.25" customHeight="1">
      <c r="C514" s="47"/>
    </row>
    <row r="515" ht="14.25" customHeight="1">
      <c r="C515" s="47"/>
    </row>
    <row r="516" ht="14.25" customHeight="1">
      <c r="C516" s="47"/>
    </row>
    <row r="517" ht="14.25" customHeight="1">
      <c r="C517" s="47"/>
    </row>
    <row r="518" ht="14.25" customHeight="1">
      <c r="C518" s="47"/>
    </row>
    <row r="519" ht="14.25" customHeight="1">
      <c r="C519" s="47"/>
    </row>
    <row r="520" ht="14.25" customHeight="1">
      <c r="C520" s="47"/>
    </row>
    <row r="521" ht="14.25" customHeight="1">
      <c r="C521" s="47"/>
    </row>
    <row r="522" ht="14.25" customHeight="1">
      <c r="C522" s="47"/>
    </row>
    <row r="523" ht="14.25" customHeight="1">
      <c r="C523" s="47"/>
    </row>
    <row r="524" ht="14.25" customHeight="1">
      <c r="C524" s="47"/>
    </row>
    <row r="525" ht="14.25" customHeight="1">
      <c r="C525" s="47"/>
    </row>
    <row r="526" ht="14.25" customHeight="1">
      <c r="C526" s="47"/>
    </row>
    <row r="527" ht="14.25" customHeight="1">
      <c r="C527" s="47"/>
    </row>
    <row r="528" ht="14.25" customHeight="1">
      <c r="C528" s="47"/>
    </row>
    <row r="529" ht="14.25" customHeight="1">
      <c r="C529" s="47"/>
    </row>
    <row r="530" ht="14.25" customHeight="1">
      <c r="C530" s="47"/>
    </row>
    <row r="531" ht="14.25" customHeight="1">
      <c r="C531" s="47"/>
    </row>
    <row r="532" ht="14.25" customHeight="1">
      <c r="C532" s="47"/>
    </row>
    <row r="533" ht="14.25" customHeight="1">
      <c r="C533" s="47"/>
    </row>
    <row r="534" ht="14.25" customHeight="1">
      <c r="C534" s="47"/>
    </row>
    <row r="535" ht="14.25" customHeight="1">
      <c r="C535" s="47"/>
    </row>
    <row r="536" ht="14.25" customHeight="1">
      <c r="C536" s="47"/>
    </row>
    <row r="537" ht="14.25" customHeight="1">
      <c r="C537" s="47"/>
    </row>
    <row r="538" ht="14.25" customHeight="1">
      <c r="C538" s="47"/>
    </row>
    <row r="539" ht="14.25" customHeight="1">
      <c r="C539" s="47"/>
    </row>
    <row r="540" ht="14.25" customHeight="1">
      <c r="C540" s="47"/>
    </row>
    <row r="541" ht="14.25" customHeight="1">
      <c r="C541" s="47"/>
    </row>
    <row r="542" ht="14.25" customHeight="1">
      <c r="C542" s="47"/>
    </row>
    <row r="543" ht="14.25" customHeight="1">
      <c r="C543" s="47"/>
    </row>
    <row r="544" ht="14.25" customHeight="1">
      <c r="C544" s="47"/>
    </row>
    <row r="545" ht="14.25" customHeight="1">
      <c r="C545" s="47"/>
    </row>
    <row r="546" ht="14.25" customHeight="1">
      <c r="C546" s="47"/>
    </row>
    <row r="547" ht="14.25" customHeight="1">
      <c r="C547" s="47"/>
    </row>
    <row r="548" ht="14.25" customHeight="1">
      <c r="C548" s="47"/>
    </row>
    <row r="549" ht="14.25" customHeight="1">
      <c r="C549" s="47"/>
    </row>
    <row r="550" ht="14.25" customHeight="1">
      <c r="C550" s="47"/>
    </row>
    <row r="551" ht="14.25" customHeight="1">
      <c r="C551" s="47"/>
    </row>
    <row r="552" ht="14.25" customHeight="1">
      <c r="C552" s="47"/>
    </row>
    <row r="553" ht="14.25" customHeight="1">
      <c r="C553" s="47"/>
    </row>
    <row r="554" ht="14.25" customHeight="1">
      <c r="C554" s="47"/>
    </row>
    <row r="555" ht="14.25" customHeight="1">
      <c r="C555" s="47"/>
    </row>
    <row r="556" ht="14.25" customHeight="1">
      <c r="C556" s="47"/>
    </row>
    <row r="557" ht="14.25" customHeight="1">
      <c r="C557" s="47"/>
    </row>
    <row r="558" ht="14.25" customHeight="1">
      <c r="C558" s="47"/>
    </row>
    <row r="559" ht="14.25" customHeight="1">
      <c r="C559" s="47"/>
    </row>
    <row r="560" ht="14.25" customHeight="1">
      <c r="C560" s="47"/>
    </row>
    <row r="561" ht="14.25" customHeight="1">
      <c r="C561" s="47"/>
    </row>
    <row r="562" ht="14.25" customHeight="1">
      <c r="C562" s="47"/>
    </row>
    <row r="563" ht="14.25" customHeight="1">
      <c r="C563" s="47"/>
    </row>
    <row r="564" ht="14.25" customHeight="1">
      <c r="C564" s="47"/>
    </row>
    <row r="565" ht="14.25" customHeight="1">
      <c r="C565" s="47"/>
    </row>
    <row r="566" ht="14.25" customHeight="1">
      <c r="C566" s="47"/>
    </row>
    <row r="567" ht="14.25" customHeight="1">
      <c r="C567" s="47"/>
    </row>
    <row r="568" ht="14.25" customHeight="1">
      <c r="C568" s="47"/>
    </row>
    <row r="569" ht="14.25" customHeight="1">
      <c r="C569" s="47"/>
    </row>
    <row r="570" ht="14.25" customHeight="1">
      <c r="C570" s="47"/>
    </row>
    <row r="571" ht="14.25" customHeight="1">
      <c r="C571" s="47"/>
    </row>
    <row r="572" ht="14.25" customHeight="1">
      <c r="C572" s="47"/>
    </row>
    <row r="573" ht="14.25" customHeight="1">
      <c r="C573" s="47"/>
    </row>
    <row r="574" ht="14.25" customHeight="1">
      <c r="C574" s="47"/>
    </row>
    <row r="575" ht="14.25" customHeight="1">
      <c r="C575" s="47"/>
    </row>
    <row r="576" ht="14.25" customHeight="1">
      <c r="C576" s="47"/>
    </row>
    <row r="577" ht="14.25" customHeight="1">
      <c r="C577" s="47"/>
    </row>
    <row r="578" ht="14.25" customHeight="1">
      <c r="C578" s="47"/>
    </row>
    <row r="579" ht="14.25" customHeight="1">
      <c r="C579" s="47"/>
    </row>
    <row r="580" ht="14.25" customHeight="1">
      <c r="C580" s="47"/>
    </row>
    <row r="581" ht="14.25" customHeight="1">
      <c r="C581" s="47"/>
    </row>
    <row r="582" ht="14.25" customHeight="1">
      <c r="C582" s="47"/>
    </row>
    <row r="583" ht="14.25" customHeight="1">
      <c r="C583" s="47"/>
    </row>
    <row r="584" ht="14.25" customHeight="1">
      <c r="C584" s="47"/>
    </row>
    <row r="585" ht="14.25" customHeight="1">
      <c r="C585" s="47"/>
    </row>
    <row r="586" ht="14.25" customHeight="1">
      <c r="C586" s="47"/>
    </row>
    <row r="587" ht="14.25" customHeight="1">
      <c r="C587" s="47"/>
    </row>
    <row r="588" ht="14.25" customHeight="1">
      <c r="C588" s="47"/>
    </row>
    <row r="589" ht="14.25" customHeight="1">
      <c r="C589" s="47"/>
    </row>
    <row r="590" ht="14.25" customHeight="1">
      <c r="C590" s="47"/>
    </row>
    <row r="591" ht="14.25" customHeight="1">
      <c r="C591" s="47"/>
    </row>
    <row r="592" ht="14.25" customHeight="1">
      <c r="C592" s="47"/>
    </row>
    <row r="593" ht="14.25" customHeight="1">
      <c r="C593" s="47"/>
    </row>
    <row r="594" ht="14.25" customHeight="1">
      <c r="C594" s="47"/>
    </row>
    <row r="595" ht="14.25" customHeight="1">
      <c r="C595" s="47"/>
    </row>
    <row r="596" ht="14.25" customHeight="1">
      <c r="C596" s="47"/>
    </row>
    <row r="597" ht="14.25" customHeight="1">
      <c r="C597" s="47"/>
    </row>
    <row r="598" ht="14.25" customHeight="1">
      <c r="C598" s="47"/>
    </row>
    <row r="599" ht="14.25" customHeight="1">
      <c r="C599" s="47"/>
    </row>
    <row r="600" ht="14.25" customHeight="1">
      <c r="C600" s="47"/>
    </row>
    <row r="601" ht="14.25" customHeight="1">
      <c r="C601" s="47"/>
    </row>
    <row r="602" ht="14.25" customHeight="1">
      <c r="C602" s="47"/>
    </row>
    <row r="603" ht="14.25" customHeight="1">
      <c r="C603" s="47"/>
    </row>
    <row r="604" ht="14.25" customHeight="1">
      <c r="C604" s="47"/>
    </row>
    <row r="605" ht="14.25" customHeight="1">
      <c r="C605" s="47"/>
    </row>
    <row r="606" ht="14.25" customHeight="1">
      <c r="C606" s="47"/>
    </row>
    <row r="607" ht="14.25" customHeight="1">
      <c r="C607" s="47"/>
    </row>
    <row r="608" ht="14.25" customHeight="1">
      <c r="C608" s="47"/>
    </row>
    <row r="609" ht="14.25" customHeight="1">
      <c r="C609" s="47"/>
    </row>
    <row r="610" ht="14.25" customHeight="1">
      <c r="C610" s="47"/>
    </row>
    <row r="611" ht="14.25" customHeight="1">
      <c r="C611" s="47"/>
    </row>
    <row r="612" ht="14.25" customHeight="1">
      <c r="C612" s="47"/>
    </row>
    <row r="613" ht="14.25" customHeight="1">
      <c r="C613" s="47"/>
    </row>
    <row r="614" ht="14.25" customHeight="1">
      <c r="C614" s="47"/>
    </row>
    <row r="615" ht="14.25" customHeight="1">
      <c r="C615" s="47"/>
    </row>
    <row r="616" ht="14.25" customHeight="1">
      <c r="C616" s="47"/>
    </row>
    <row r="617" ht="14.25" customHeight="1">
      <c r="C617" s="47"/>
    </row>
    <row r="618" ht="14.25" customHeight="1">
      <c r="C618" s="47"/>
    </row>
    <row r="619" ht="14.25" customHeight="1">
      <c r="C619" s="47"/>
    </row>
    <row r="620" ht="14.25" customHeight="1">
      <c r="C620" s="47"/>
    </row>
    <row r="621" ht="14.25" customHeight="1">
      <c r="C621" s="47"/>
    </row>
    <row r="622" ht="14.25" customHeight="1">
      <c r="C622" s="47"/>
    </row>
    <row r="623" ht="14.25" customHeight="1">
      <c r="C623" s="47"/>
    </row>
    <row r="624" ht="14.25" customHeight="1">
      <c r="C624" s="47"/>
    </row>
    <row r="625" ht="14.25" customHeight="1">
      <c r="C625" s="47"/>
    </row>
    <row r="626" ht="14.25" customHeight="1">
      <c r="C626" s="47"/>
    </row>
    <row r="627" ht="14.25" customHeight="1">
      <c r="C627" s="47"/>
    </row>
    <row r="628" ht="14.25" customHeight="1">
      <c r="C628" s="47"/>
    </row>
    <row r="629" ht="14.25" customHeight="1">
      <c r="C629" s="47"/>
    </row>
    <row r="630" ht="14.25" customHeight="1">
      <c r="C630" s="47"/>
    </row>
    <row r="631" ht="14.25" customHeight="1">
      <c r="C631" s="47"/>
    </row>
    <row r="632" ht="14.25" customHeight="1">
      <c r="C632" s="47"/>
    </row>
    <row r="633" ht="14.25" customHeight="1">
      <c r="C633" s="47"/>
    </row>
    <row r="634" ht="14.25" customHeight="1">
      <c r="C634" s="47"/>
    </row>
    <row r="635" ht="14.25" customHeight="1">
      <c r="C635" s="47"/>
    </row>
    <row r="636" ht="14.25" customHeight="1">
      <c r="C636" s="47"/>
    </row>
    <row r="637" ht="14.25" customHeight="1">
      <c r="C637" s="47"/>
    </row>
    <row r="638" ht="14.25" customHeight="1">
      <c r="C638" s="47"/>
    </row>
    <row r="639" ht="14.25" customHeight="1">
      <c r="C639" s="47"/>
    </row>
    <row r="640" ht="14.25" customHeight="1">
      <c r="C640" s="47"/>
    </row>
    <row r="641" ht="14.25" customHeight="1">
      <c r="C641" s="47"/>
    </row>
    <row r="642" ht="14.25" customHeight="1">
      <c r="C642" s="47"/>
    </row>
    <row r="643" ht="14.25" customHeight="1">
      <c r="C643" s="47"/>
    </row>
    <row r="644" ht="14.25" customHeight="1">
      <c r="C644" s="47"/>
    </row>
    <row r="645" ht="14.25" customHeight="1">
      <c r="C645" s="47"/>
    </row>
    <row r="646" ht="14.25" customHeight="1">
      <c r="C646" s="47"/>
    </row>
    <row r="647" ht="14.25" customHeight="1">
      <c r="C647" s="47"/>
    </row>
    <row r="648" ht="14.25" customHeight="1">
      <c r="C648" s="47"/>
    </row>
    <row r="649" ht="14.25" customHeight="1">
      <c r="C649" s="47"/>
    </row>
    <row r="650" ht="14.25" customHeight="1">
      <c r="C650" s="47"/>
    </row>
    <row r="651" ht="14.25" customHeight="1">
      <c r="C651" s="47"/>
    </row>
    <row r="652" ht="14.25" customHeight="1">
      <c r="C652" s="47"/>
    </row>
    <row r="653" ht="14.25" customHeight="1">
      <c r="C653" s="47"/>
    </row>
    <row r="654" ht="14.25" customHeight="1">
      <c r="C654" s="47"/>
    </row>
    <row r="655" ht="14.25" customHeight="1">
      <c r="C655" s="47"/>
    </row>
    <row r="656" ht="14.25" customHeight="1">
      <c r="C656" s="47"/>
    </row>
    <row r="657" ht="14.25" customHeight="1">
      <c r="C657" s="47"/>
    </row>
    <row r="658" ht="14.25" customHeight="1">
      <c r="C658" s="47"/>
    </row>
    <row r="659" ht="14.25" customHeight="1">
      <c r="C659" s="47"/>
    </row>
    <row r="660" ht="14.25" customHeight="1">
      <c r="C660" s="47"/>
    </row>
    <row r="661" ht="14.25" customHeight="1">
      <c r="C661" s="47"/>
    </row>
    <row r="662" ht="14.25" customHeight="1">
      <c r="C662" s="47"/>
    </row>
    <row r="663" ht="14.25" customHeight="1">
      <c r="C663" s="47"/>
    </row>
    <row r="664" ht="14.25" customHeight="1">
      <c r="C664" s="47"/>
    </row>
    <row r="665" ht="14.25" customHeight="1">
      <c r="C665" s="47"/>
    </row>
    <row r="666" ht="14.25" customHeight="1">
      <c r="C666" s="47"/>
    </row>
    <row r="667" ht="14.25" customHeight="1">
      <c r="C667" s="47"/>
    </row>
    <row r="668" ht="14.25" customHeight="1">
      <c r="C668" s="47"/>
    </row>
    <row r="669" ht="14.25" customHeight="1">
      <c r="C669" s="47"/>
    </row>
    <row r="670" ht="14.25" customHeight="1">
      <c r="C670" s="47"/>
    </row>
    <row r="671" ht="14.25" customHeight="1">
      <c r="C671" s="47"/>
    </row>
    <row r="672" ht="14.25" customHeight="1">
      <c r="C672" s="47"/>
    </row>
    <row r="673" ht="14.25" customHeight="1">
      <c r="C673" s="47"/>
    </row>
    <row r="674" ht="14.25" customHeight="1">
      <c r="C674" s="47"/>
    </row>
    <row r="675" ht="14.25" customHeight="1">
      <c r="C675" s="47"/>
    </row>
    <row r="676" ht="14.25" customHeight="1">
      <c r="C676" s="47"/>
    </row>
    <row r="677" ht="14.25" customHeight="1">
      <c r="C677" s="47"/>
    </row>
    <row r="678" ht="14.25" customHeight="1">
      <c r="C678" s="47"/>
    </row>
    <row r="679" ht="14.25" customHeight="1">
      <c r="C679" s="47"/>
    </row>
    <row r="680" ht="14.25" customHeight="1">
      <c r="C680" s="47"/>
    </row>
    <row r="681" ht="14.25" customHeight="1">
      <c r="C681" s="47"/>
    </row>
    <row r="682" ht="14.25" customHeight="1">
      <c r="C682" s="47"/>
    </row>
    <row r="683" ht="14.25" customHeight="1">
      <c r="C683" s="47"/>
    </row>
    <row r="684" ht="14.25" customHeight="1">
      <c r="C684" s="47"/>
    </row>
    <row r="685" ht="14.25" customHeight="1">
      <c r="C685" s="47"/>
    </row>
    <row r="686" ht="14.25" customHeight="1">
      <c r="C686" s="47"/>
    </row>
    <row r="687" ht="14.25" customHeight="1">
      <c r="C687" s="47"/>
    </row>
    <row r="688" ht="14.25" customHeight="1">
      <c r="C688" s="47"/>
    </row>
    <row r="689" ht="14.25" customHeight="1">
      <c r="C689" s="47"/>
    </row>
    <row r="690" ht="14.25" customHeight="1">
      <c r="C690" s="47"/>
    </row>
    <row r="691" ht="14.25" customHeight="1">
      <c r="C691" s="47"/>
    </row>
    <row r="692" ht="14.25" customHeight="1">
      <c r="C692" s="47"/>
    </row>
    <row r="693" ht="14.25" customHeight="1">
      <c r="C693" s="47"/>
    </row>
    <row r="694" ht="14.25" customHeight="1">
      <c r="C694" s="47"/>
    </row>
    <row r="695" ht="14.25" customHeight="1">
      <c r="C695" s="47"/>
    </row>
    <row r="696" ht="14.25" customHeight="1">
      <c r="C696" s="47"/>
    </row>
    <row r="697" ht="14.25" customHeight="1">
      <c r="C697" s="47"/>
    </row>
    <row r="698" ht="14.25" customHeight="1">
      <c r="C698" s="47"/>
    </row>
    <row r="699" ht="14.25" customHeight="1">
      <c r="C699" s="47"/>
    </row>
    <row r="700" ht="14.25" customHeight="1">
      <c r="C700" s="47"/>
    </row>
    <row r="701" ht="14.25" customHeight="1">
      <c r="C701" s="47"/>
    </row>
    <row r="702" ht="14.25" customHeight="1">
      <c r="C702" s="47"/>
    </row>
    <row r="703" ht="14.25" customHeight="1">
      <c r="C703" s="47"/>
    </row>
    <row r="704" ht="14.25" customHeight="1">
      <c r="C704" s="47"/>
    </row>
    <row r="705" ht="14.25" customHeight="1">
      <c r="C705" s="47"/>
    </row>
    <row r="706" ht="14.25" customHeight="1">
      <c r="C706" s="47"/>
    </row>
    <row r="707" ht="14.25" customHeight="1">
      <c r="C707" s="47"/>
    </row>
    <row r="708" ht="14.25" customHeight="1">
      <c r="C708" s="47"/>
    </row>
    <row r="709" ht="14.25" customHeight="1">
      <c r="C709" s="47"/>
    </row>
    <row r="710" ht="14.25" customHeight="1">
      <c r="C710" s="47"/>
    </row>
    <row r="711" ht="14.25" customHeight="1">
      <c r="C711" s="47"/>
    </row>
    <row r="712" ht="14.25" customHeight="1">
      <c r="C712" s="47"/>
    </row>
    <row r="713" ht="14.25" customHeight="1">
      <c r="C713" s="47"/>
    </row>
    <row r="714" ht="14.25" customHeight="1">
      <c r="C714" s="47"/>
    </row>
    <row r="715" ht="14.25" customHeight="1">
      <c r="C715" s="47"/>
    </row>
    <row r="716" ht="14.25" customHeight="1">
      <c r="C716" s="47"/>
    </row>
    <row r="717" ht="14.25" customHeight="1">
      <c r="C717" s="47"/>
    </row>
    <row r="718" ht="14.25" customHeight="1">
      <c r="C718" s="47"/>
    </row>
    <row r="719" ht="14.25" customHeight="1">
      <c r="C719" s="47"/>
    </row>
    <row r="720" ht="14.25" customHeight="1">
      <c r="C720" s="47"/>
    </row>
    <row r="721" ht="14.25" customHeight="1">
      <c r="C721" s="47"/>
    </row>
    <row r="722" ht="14.25" customHeight="1">
      <c r="C722" s="47"/>
    </row>
    <row r="723" ht="14.25" customHeight="1">
      <c r="C723" s="47"/>
    </row>
    <row r="724" ht="14.25" customHeight="1">
      <c r="C724" s="47"/>
    </row>
    <row r="725" ht="14.25" customHeight="1">
      <c r="C725" s="47"/>
    </row>
    <row r="726" ht="14.25" customHeight="1">
      <c r="C726" s="47"/>
    </row>
    <row r="727" ht="14.25" customHeight="1">
      <c r="C727" s="47"/>
    </row>
    <row r="728" ht="14.25" customHeight="1">
      <c r="C728" s="47"/>
    </row>
    <row r="729" ht="14.25" customHeight="1">
      <c r="C729" s="47"/>
    </row>
    <row r="730" ht="14.25" customHeight="1">
      <c r="C730" s="47"/>
    </row>
    <row r="731" ht="14.25" customHeight="1">
      <c r="C731" s="47"/>
    </row>
    <row r="732" ht="14.25" customHeight="1">
      <c r="C732" s="47"/>
    </row>
    <row r="733" ht="14.25" customHeight="1">
      <c r="C733" s="47"/>
    </row>
    <row r="734" ht="14.25" customHeight="1">
      <c r="C734" s="47"/>
    </row>
    <row r="735" ht="14.25" customHeight="1">
      <c r="C735" s="47"/>
    </row>
    <row r="736" ht="14.25" customHeight="1">
      <c r="C736" s="47"/>
    </row>
    <row r="737" ht="14.25" customHeight="1">
      <c r="C737" s="47"/>
    </row>
    <row r="738" ht="14.25" customHeight="1">
      <c r="C738" s="47"/>
    </row>
    <row r="739" ht="14.25" customHeight="1">
      <c r="C739" s="47"/>
    </row>
    <row r="740" ht="14.25" customHeight="1">
      <c r="C740" s="47"/>
    </row>
    <row r="741" ht="14.25" customHeight="1">
      <c r="C741" s="47"/>
    </row>
    <row r="742" ht="14.25" customHeight="1">
      <c r="C742" s="47"/>
    </row>
    <row r="743" ht="14.25" customHeight="1">
      <c r="C743" s="47"/>
    </row>
    <row r="744" ht="14.25" customHeight="1">
      <c r="C744" s="47"/>
    </row>
    <row r="745" ht="14.25" customHeight="1">
      <c r="C745" s="47"/>
    </row>
    <row r="746" ht="14.25" customHeight="1">
      <c r="C746" s="47"/>
    </row>
    <row r="747" ht="14.25" customHeight="1">
      <c r="C747" s="47"/>
    </row>
    <row r="748" ht="14.25" customHeight="1">
      <c r="C748" s="47"/>
    </row>
    <row r="749" ht="14.25" customHeight="1">
      <c r="C749" s="47"/>
    </row>
    <row r="750" ht="14.25" customHeight="1">
      <c r="C750" s="47"/>
    </row>
    <row r="751" ht="14.25" customHeight="1">
      <c r="C751" s="47"/>
    </row>
    <row r="752" ht="14.25" customHeight="1">
      <c r="C752" s="47"/>
    </row>
    <row r="753" ht="14.25" customHeight="1">
      <c r="C753" s="47"/>
    </row>
    <row r="754" ht="14.25" customHeight="1">
      <c r="C754" s="47"/>
    </row>
    <row r="755" ht="14.25" customHeight="1">
      <c r="C755" s="47"/>
    </row>
    <row r="756" ht="14.25" customHeight="1">
      <c r="C756" s="47"/>
    </row>
    <row r="757" ht="14.25" customHeight="1">
      <c r="C757" s="47"/>
    </row>
    <row r="758" ht="14.25" customHeight="1">
      <c r="C758" s="47"/>
    </row>
    <row r="759" ht="14.25" customHeight="1">
      <c r="C759" s="47"/>
    </row>
    <row r="760" ht="14.25" customHeight="1">
      <c r="C760" s="47"/>
    </row>
    <row r="761" ht="14.25" customHeight="1">
      <c r="C761" s="47"/>
    </row>
    <row r="762" ht="14.25" customHeight="1">
      <c r="C762" s="47"/>
    </row>
    <row r="763" ht="14.25" customHeight="1">
      <c r="C763" s="47"/>
    </row>
    <row r="764" ht="14.25" customHeight="1">
      <c r="C764" s="47"/>
    </row>
    <row r="765" ht="14.25" customHeight="1">
      <c r="C765" s="47"/>
    </row>
    <row r="766" ht="14.25" customHeight="1">
      <c r="C766" s="47"/>
    </row>
    <row r="767" ht="14.25" customHeight="1">
      <c r="C767" s="47"/>
    </row>
    <row r="768" ht="14.25" customHeight="1">
      <c r="C768" s="47"/>
    </row>
    <row r="769" ht="14.25" customHeight="1">
      <c r="C769" s="47"/>
    </row>
    <row r="770" ht="14.25" customHeight="1">
      <c r="C770" s="47"/>
    </row>
    <row r="771" ht="14.25" customHeight="1">
      <c r="C771" s="47"/>
    </row>
    <row r="772" ht="14.25" customHeight="1">
      <c r="C772" s="47"/>
    </row>
    <row r="773" ht="14.25" customHeight="1">
      <c r="C773" s="47"/>
    </row>
    <row r="774" ht="14.25" customHeight="1">
      <c r="C774" s="47"/>
    </row>
    <row r="775" ht="14.25" customHeight="1">
      <c r="C775" s="47"/>
    </row>
    <row r="776" ht="14.25" customHeight="1">
      <c r="C776" s="47"/>
    </row>
    <row r="777" ht="14.25" customHeight="1">
      <c r="C777" s="47"/>
    </row>
    <row r="778" ht="14.25" customHeight="1">
      <c r="C778" s="47"/>
    </row>
    <row r="779" ht="14.25" customHeight="1">
      <c r="C779" s="47"/>
    </row>
    <row r="780" ht="14.25" customHeight="1">
      <c r="C780" s="47"/>
    </row>
    <row r="781" ht="14.25" customHeight="1">
      <c r="C781" s="47"/>
    </row>
    <row r="782" ht="14.25" customHeight="1">
      <c r="C782" s="47"/>
    </row>
    <row r="783" ht="14.25" customHeight="1">
      <c r="C783" s="47"/>
    </row>
    <row r="784" ht="14.25" customHeight="1">
      <c r="C784" s="47"/>
    </row>
    <row r="785" ht="14.25" customHeight="1">
      <c r="C785" s="47"/>
    </row>
    <row r="786" ht="14.25" customHeight="1">
      <c r="C786" s="47"/>
    </row>
    <row r="787" ht="14.25" customHeight="1">
      <c r="C787" s="47"/>
    </row>
    <row r="788" ht="14.25" customHeight="1">
      <c r="C788" s="47"/>
    </row>
    <row r="789" ht="14.25" customHeight="1">
      <c r="C789" s="47"/>
    </row>
    <row r="790" ht="14.25" customHeight="1">
      <c r="C790" s="47"/>
    </row>
    <row r="791" ht="14.25" customHeight="1">
      <c r="C791" s="47"/>
    </row>
    <row r="792" ht="14.25" customHeight="1">
      <c r="C792" s="47"/>
    </row>
    <row r="793" ht="14.25" customHeight="1">
      <c r="C793" s="47"/>
    </row>
    <row r="794" ht="14.25" customHeight="1">
      <c r="C794" s="47"/>
    </row>
    <row r="795" ht="14.25" customHeight="1">
      <c r="C795" s="47"/>
    </row>
    <row r="796" ht="14.25" customHeight="1">
      <c r="C796" s="47"/>
    </row>
    <row r="797" ht="14.25" customHeight="1">
      <c r="C797" s="47"/>
    </row>
    <row r="798" ht="14.25" customHeight="1">
      <c r="C798" s="47"/>
    </row>
    <row r="799" ht="14.25" customHeight="1">
      <c r="C799" s="47"/>
    </row>
    <row r="800" ht="14.25" customHeight="1">
      <c r="C800" s="47"/>
    </row>
    <row r="801" ht="14.25" customHeight="1">
      <c r="C801" s="47"/>
    </row>
    <row r="802" ht="14.25" customHeight="1">
      <c r="C802" s="47"/>
    </row>
    <row r="803" ht="14.25" customHeight="1">
      <c r="C803" s="47"/>
    </row>
    <row r="804" ht="14.25" customHeight="1">
      <c r="C804" s="47"/>
    </row>
    <row r="805" ht="14.25" customHeight="1">
      <c r="C805" s="47"/>
    </row>
    <row r="806" ht="14.25" customHeight="1">
      <c r="C806" s="47"/>
    </row>
    <row r="807" ht="14.25" customHeight="1">
      <c r="C807" s="47"/>
    </row>
    <row r="808" ht="14.25" customHeight="1">
      <c r="C808" s="47"/>
    </row>
    <row r="809" ht="14.25" customHeight="1">
      <c r="C809" s="47"/>
    </row>
    <row r="810" ht="14.25" customHeight="1">
      <c r="C810" s="47"/>
    </row>
    <row r="811" ht="14.25" customHeight="1">
      <c r="C811" s="47"/>
    </row>
    <row r="812" ht="14.25" customHeight="1">
      <c r="C812" s="47"/>
    </row>
    <row r="813" ht="14.25" customHeight="1">
      <c r="C813" s="47"/>
    </row>
    <row r="814" ht="14.25" customHeight="1">
      <c r="C814" s="47"/>
    </row>
    <row r="815" ht="14.25" customHeight="1">
      <c r="C815" s="47"/>
    </row>
    <row r="816" ht="14.25" customHeight="1">
      <c r="C816" s="47"/>
    </row>
    <row r="817" ht="14.25" customHeight="1">
      <c r="C817" s="47"/>
    </row>
    <row r="818" ht="14.25" customHeight="1">
      <c r="C818" s="47"/>
    </row>
    <row r="819" ht="14.25" customHeight="1">
      <c r="C819" s="47"/>
    </row>
    <row r="820" ht="14.25" customHeight="1">
      <c r="C820" s="47"/>
    </row>
    <row r="821" ht="14.25" customHeight="1">
      <c r="C821" s="47"/>
    </row>
    <row r="822" ht="14.25" customHeight="1">
      <c r="C822" s="47"/>
    </row>
    <row r="823" ht="14.25" customHeight="1">
      <c r="C823" s="47"/>
    </row>
    <row r="824" ht="14.25" customHeight="1">
      <c r="C824" s="47"/>
    </row>
    <row r="825" ht="14.25" customHeight="1">
      <c r="C825" s="47"/>
    </row>
    <row r="826" ht="14.25" customHeight="1">
      <c r="C826" s="47"/>
    </row>
    <row r="827" ht="14.25" customHeight="1">
      <c r="C827" s="47"/>
    </row>
    <row r="828" ht="14.25" customHeight="1">
      <c r="C828" s="47"/>
    </row>
    <row r="829" ht="14.25" customHeight="1">
      <c r="C829" s="47"/>
    </row>
    <row r="830" ht="14.25" customHeight="1">
      <c r="C830" s="47"/>
    </row>
    <row r="831" ht="14.25" customHeight="1">
      <c r="C831" s="47"/>
    </row>
    <row r="832" ht="14.25" customHeight="1">
      <c r="C832" s="47"/>
    </row>
    <row r="833" ht="14.25" customHeight="1">
      <c r="C833" s="47"/>
    </row>
    <row r="834" ht="14.25" customHeight="1">
      <c r="C834" s="47"/>
    </row>
    <row r="835" ht="14.25" customHeight="1">
      <c r="C835" s="47"/>
    </row>
    <row r="836" ht="14.25" customHeight="1">
      <c r="C836" s="47"/>
    </row>
    <row r="837" ht="14.25" customHeight="1">
      <c r="C837" s="47"/>
    </row>
    <row r="838" ht="14.25" customHeight="1">
      <c r="C838" s="47"/>
    </row>
    <row r="839" ht="14.25" customHeight="1">
      <c r="C839" s="47"/>
    </row>
    <row r="840" ht="14.25" customHeight="1">
      <c r="C840" s="47"/>
    </row>
    <row r="841" ht="14.25" customHeight="1">
      <c r="C841" s="47"/>
    </row>
    <row r="842" ht="14.25" customHeight="1">
      <c r="C842" s="47"/>
    </row>
    <row r="843" ht="14.25" customHeight="1">
      <c r="C843" s="47"/>
    </row>
    <row r="844" ht="14.25" customHeight="1">
      <c r="C844" s="47"/>
    </row>
    <row r="845" ht="14.25" customHeight="1">
      <c r="C845" s="47"/>
    </row>
    <row r="846" ht="14.25" customHeight="1">
      <c r="C846" s="47"/>
    </row>
    <row r="847" ht="14.25" customHeight="1">
      <c r="C847" s="47"/>
    </row>
    <row r="848" ht="14.25" customHeight="1">
      <c r="C848" s="47"/>
    </row>
    <row r="849" ht="14.25" customHeight="1">
      <c r="C849" s="47"/>
    </row>
    <row r="850" ht="14.25" customHeight="1">
      <c r="C850" s="47"/>
    </row>
    <row r="851" ht="14.25" customHeight="1">
      <c r="C851" s="47"/>
    </row>
    <row r="852" ht="14.25" customHeight="1">
      <c r="C852" s="47"/>
    </row>
    <row r="853" ht="14.25" customHeight="1">
      <c r="C853" s="47"/>
    </row>
    <row r="854" ht="14.25" customHeight="1">
      <c r="C854" s="47"/>
    </row>
    <row r="855" ht="14.25" customHeight="1">
      <c r="C855" s="47"/>
    </row>
    <row r="856" ht="14.25" customHeight="1">
      <c r="C856" s="47"/>
    </row>
    <row r="857" ht="14.25" customHeight="1">
      <c r="C857" s="47"/>
    </row>
    <row r="858" ht="14.25" customHeight="1">
      <c r="C858" s="47"/>
    </row>
    <row r="859" ht="14.25" customHeight="1">
      <c r="C859" s="47"/>
    </row>
    <row r="860" ht="14.25" customHeight="1">
      <c r="C860" s="47"/>
    </row>
    <row r="861" ht="14.25" customHeight="1">
      <c r="C861" s="47"/>
    </row>
    <row r="862" ht="14.25" customHeight="1">
      <c r="C862" s="47"/>
    </row>
    <row r="863" ht="14.25" customHeight="1">
      <c r="C863" s="47"/>
    </row>
    <row r="864" ht="14.25" customHeight="1">
      <c r="C864" s="47"/>
    </row>
    <row r="865" ht="14.25" customHeight="1">
      <c r="C865" s="47"/>
    </row>
    <row r="866" ht="14.25" customHeight="1">
      <c r="C866" s="47"/>
    </row>
    <row r="867" ht="14.25" customHeight="1">
      <c r="C867" s="47"/>
    </row>
    <row r="868" ht="14.25" customHeight="1">
      <c r="C868" s="47"/>
    </row>
    <row r="869" ht="14.25" customHeight="1">
      <c r="C869" s="47"/>
    </row>
    <row r="870" ht="14.25" customHeight="1">
      <c r="C870" s="47"/>
    </row>
    <row r="871" ht="14.25" customHeight="1">
      <c r="C871" s="47"/>
    </row>
    <row r="872" ht="14.25" customHeight="1">
      <c r="C872" s="47"/>
    </row>
    <row r="873" ht="14.25" customHeight="1">
      <c r="C873" s="47"/>
    </row>
    <row r="874" ht="14.25" customHeight="1">
      <c r="C874" s="47"/>
    </row>
    <row r="875" ht="14.25" customHeight="1">
      <c r="C875" s="47"/>
    </row>
    <row r="876" ht="14.25" customHeight="1">
      <c r="C876" s="47"/>
    </row>
    <row r="877" ht="14.25" customHeight="1">
      <c r="C877" s="47"/>
    </row>
    <row r="878" ht="14.25" customHeight="1">
      <c r="C878" s="47"/>
    </row>
    <row r="879" ht="14.25" customHeight="1">
      <c r="C879" s="47"/>
    </row>
    <row r="880" ht="14.25" customHeight="1">
      <c r="C880" s="47"/>
    </row>
    <row r="881" ht="14.25" customHeight="1">
      <c r="C881" s="47"/>
    </row>
    <row r="882" ht="14.25" customHeight="1">
      <c r="C882" s="47"/>
    </row>
    <row r="883" ht="14.25" customHeight="1">
      <c r="C883" s="47"/>
    </row>
    <row r="884" ht="14.25" customHeight="1">
      <c r="C884" s="47"/>
    </row>
    <row r="885" ht="14.25" customHeight="1">
      <c r="C885" s="47"/>
    </row>
    <row r="886" ht="14.25" customHeight="1">
      <c r="C886" s="47"/>
    </row>
    <row r="887" ht="14.25" customHeight="1">
      <c r="C887" s="47"/>
    </row>
    <row r="888" ht="14.25" customHeight="1">
      <c r="C888" s="47"/>
    </row>
    <row r="889" ht="14.25" customHeight="1">
      <c r="C889" s="47"/>
    </row>
    <row r="890" ht="14.25" customHeight="1">
      <c r="C890" s="47"/>
    </row>
    <row r="891" ht="14.25" customHeight="1">
      <c r="C891" s="47"/>
    </row>
    <row r="892" ht="14.25" customHeight="1">
      <c r="C892" s="47"/>
    </row>
    <row r="893" ht="14.25" customHeight="1">
      <c r="C893" s="47"/>
    </row>
    <row r="894" ht="14.25" customHeight="1">
      <c r="C894" s="47"/>
    </row>
    <row r="895" ht="14.25" customHeight="1">
      <c r="C895" s="47"/>
    </row>
    <row r="896" ht="14.25" customHeight="1">
      <c r="C896" s="47"/>
    </row>
    <row r="897" ht="14.25" customHeight="1">
      <c r="C897" s="47"/>
    </row>
    <row r="898" ht="14.25" customHeight="1">
      <c r="C898" s="47"/>
    </row>
    <row r="899" ht="14.25" customHeight="1">
      <c r="C899" s="47"/>
    </row>
    <row r="900" ht="14.25" customHeight="1">
      <c r="C900" s="47"/>
    </row>
    <row r="901" ht="14.25" customHeight="1">
      <c r="C901" s="47"/>
    </row>
    <row r="902" ht="14.25" customHeight="1">
      <c r="C902" s="47"/>
    </row>
    <row r="903" ht="14.25" customHeight="1">
      <c r="C903" s="47"/>
    </row>
    <row r="904" ht="14.25" customHeight="1">
      <c r="C904" s="47"/>
    </row>
    <row r="905" ht="14.25" customHeight="1">
      <c r="C905" s="47"/>
    </row>
    <row r="906" ht="14.25" customHeight="1">
      <c r="C906" s="47"/>
    </row>
    <row r="907" ht="14.25" customHeight="1">
      <c r="C907" s="47"/>
    </row>
    <row r="908" ht="14.25" customHeight="1">
      <c r="C908" s="47"/>
    </row>
    <row r="909" ht="14.25" customHeight="1">
      <c r="C909" s="47"/>
    </row>
    <row r="910" ht="14.25" customHeight="1">
      <c r="C910" s="47"/>
    </row>
    <row r="911" ht="14.25" customHeight="1">
      <c r="C911" s="47"/>
    </row>
    <row r="912" ht="14.25" customHeight="1">
      <c r="C912" s="47"/>
    </row>
    <row r="913" ht="14.25" customHeight="1">
      <c r="C913" s="47"/>
    </row>
    <row r="914" ht="14.25" customHeight="1">
      <c r="C914" s="47"/>
    </row>
    <row r="915" ht="14.25" customHeight="1">
      <c r="C915" s="47"/>
    </row>
    <row r="916" ht="14.25" customHeight="1">
      <c r="C916" s="47"/>
    </row>
    <row r="917" ht="14.25" customHeight="1">
      <c r="C917" s="47"/>
    </row>
    <row r="918" ht="14.25" customHeight="1">
      <c r="C918" s="47"/>
    </row>
    <row r="919" ht="14.25" customHeight="1">
      <c r="C919" s="47"/>
    </row>
    <row r="920" ht="14.25" customHeight="1">
      <c r="C920" s="47"/>
    </row>
    <row r="921" ht="14.25" customHeight="1">
      <c r="C921" s="47"/>
    </row>
    <row r="922" ht="14.25" customHeight="1">
      <c r="C922" s="47"/>
    </row>
    <row r="923" ht="14.25" customHeight="1">
      <c r="C923" s="47"/>
    </row>
    <row r="924" ht="14.25" customHeight="1">
      <c r="C924" s="47"/>
    </row>
    <row r="925" ht="14.25" customHeight="1">
      <c r="C925" s="47"/>
    </row>
    <row r="926" ht="14.25" customHeight="1">
      <c r="C926" s="47"/>
    </row>
    <row r="927" ht="14.25" customHeight="1">
      <c r="C927" s="47"/>
    </row>
    <row r="928" ht="14.25" customHeight="1">
      <c r="C928" s="47"/>
    </row>
    <row r="929" ht="14.25" customHeight="1">
      <c r="C929" s="47"/>
    </row>
    <row r="930" ht="14.25" customHeight="1">
      <c r="C930" s="47"/>
    </row>
    <row r="931" ht="14.25" customHeight="1">
      <c r="C931" s="47"/>
    </row>
    <row r="932" ht="14.25" customHeight="1">
      <c r="C932" s="47"/>
    </row>
    <row r="933" ht="14.25" customHeight="1">
      <c r="C933" s="47"/>
    </row>
    <row r="934" ht="14.25" customHeight="1">
      <c r="C934" s="47"/>
    </row>
    <row r="935" ht="14.25" customHeight="1">
      <c r="C935" s="47"/>
    </row>
    <row r="936" ht="14.25" customHeight="1">
      <c r="C936" s="47"/>
    </row>
    <row r="937" ht="14.25" customHeight="1">
      <c r="C937" s="47"/>
    </row>
    <row r="938" ht="14.25" customHeight="1">
      <c r="C938" s="47"/>
    </row>
    <row r="939" ht="14.25" customHeight="1">
      <c r="C939" s="47"/>
    </row>
    <row r="940" ht="14.25" customHeight="1">
      <c r="C940" s="47"/>
    </row>
    <row r="941" ht="14.25" customHeight="1">
      <c r="C941" s="47"/>
    </row>
    <row r="942" ht="14.25" customHeight="1">
      <c r="C942" s="47"/>
    </row>
    <row r="943" ht="14.25" customHeight="1">
      <c r="C943" s="47"/>
    </row>
    <row r="944" ht="14.25" customHeight="1">
      <c r="C944" s="47"/>
    </row>
    <row r="945" ht="14.25" customHeight="1">
      <c r="C945" s="47"/>
    </row>
    <row r="946" ht="14.25" customHeight="1">
      <c r="C946" s="47"/>
    </row>
    <row r="947" ht="14.25" customHeight="1">
      <c r="C947" s="47"/>
    </row>
    <row r="948" ht="14.25" customHeight="1">
      <c r="C948" s="47"/>
    </row>
    <row r="949" ht="14.25" customHeight="1">
      <c r="C949" s="47"/>
    </row>
    <row r="950" ht="14.25" customHeight="1">
      <c r="C950" s="47"/>
    </row>
    <row r="951" ht="14.25" customHeight="1">
      <c r="C951" s="47"/>
    </row>
    <row r="952" ht="14.25" customHeight="1">
      <c r="C952" s="47"/>
    </row>
    <row r="953" ht="14.25" customHeight="1">
      <c r="C953" s="47"/>
    </row>
    <row r="954" ht="14.25" customHeight="1">
      <c r="C954" s="47"/>
    </row>
    <row r="955" ht="14.25" customHeight="1">
      <c r="C955" s="47"/>
    </row>
    <row r="956" ht="14.25" customHeight="1">
      <c r="C956" s="47"/>
    </row>
    <row r="957" ht="14.25" customHeight="1">
      <c r="C957" s="47"/>
    </row>
    <row r="958" ht="14.25" customHeight="1">
      <c r="C958" s="47"/>
    </row>
    <row r="959" ht="14.25" customHeight="1">
      <c r="C959" s="47"/>
    </row>
    <row r="960" ht="14.25" customHeight="1">
      <c r="C960" s="47"/>
    </row>
    <row r="961" ht="14.25" customHeight="1">
      <c r="C961" s="47"/>
    </row>
    <row r="962" ht="14.25" customHeight="1">
      <c r="C962" s="47"/>
    </row>
    <row r="963" ht="14.25" customHeight="1">
      <c r="C963" s="47"/>
    </row>
    <row r="964" ht="14.25" customHeight="1">
      <c r="C964" s="47"/>
    </row>
    <row r="965" ht="14.25" customHeight="1">
      <c r="C965" s="47"/>
    </row>
    <row r="966" ht="14.25" customHeight="1">
      <c r="C966" s="47"/>
    </row>
    <row r="967" ht="14.25" customHeight="1">
      <c r="C967" s="47"/>
    </row>
    <row r="968" ht="14.25" customHeight="1">
      <c r="C968" s="47"/>
    </row>
    <row r="969" ht="14.25" customHeight="1">
      <c r="C969" s="47"/>
    </row>
    <row r="970" ht="14.25" customHeight="1">
      <c r="C970" s="47"/>
    </row>
    <row r="971" ht="14.25" customHeight="1">
      <c r="C971" s="47"/>
    </row>
    <row r="972" ht="14.25" customHeight="1">
      <c r="C972" s="47"/>
    </row>
    <row r="973" ht="14.25" customHeight="1">
      <c r="C973" s="47"/>
    </row>
    <row r="974" ht="14.25" customHeight="1">
      <c r="C974" s="47"/>
    </row>
    <row r="975" ht="14.25" customHeight="1">
      <c r="C975" s="47"/>
    </row>
    <row r="976" ht="14.25" customHeight="1">
      <c r="C976" s="47"/>
    </row>
    <row r="977" ht="14.25" customHeight="1">
      <c r="C977" s="47"/>
    </row>
    <row r="978" ht="14.25" customHeight="1">
      <c r="C978" s="47"/>
    </row>
    <row r="979" ht="14.25" customHeight="1">
      <c r="C979" s="47"/>
    </row>
    <row r="980" ht="14.25" customHeight="1">
      <c r="C980" s="47"/>
    </row>
    <row r="981" ht="14.25" customHeight="1">
      <c r="C981" s="47"/>
    </row>
    <row r="982" ht="14.25" customHeight="1">
      <c r="C982" s="47"/>
    </row>
    <row r="983" ht="14.25" customHeight="1">
      <c r="C983" s="47"/>
    </row>
    <row r="984" ht="14.25" customHeight="1">
      <c r="C984" s="47"/>
    </row>
    <row r="985" ht="14.25" customHeight="1">
      <c r="C985" s="47"/>
    </row>
    <row r="986" ht="14.25" customHeight="1">
      <c r="C986" s="47"/>
    </row>
    <row r="987" ht="14.25" customHeight="1">
      <c r="C987" s="47"/>
    </row>
    <row r="988" ht="14.25" customHeight="1">
      <c r="C988" s="47"/>
    </row>
    <row r="989" ht="14.25" customHeight="1">
      <c r="C989" s="47"/>
    </row>
    <row r="990" ht="14.25" customHeight="1">
      <c r="C990" s="47"/>
    </row>
    <row r="991" ht="14.25" customHeight="1">
      <c r="C991" s="47"/>
    </row>
    <row r="992" ht="14.25" customHeight="1">
      <c r="C992" s="47"/>
    </row>
    <row r="993" ht="14.25" customHeight="1">
      <c r="C993" s="47"/>
    </row>
    <row r="994" ht="14.25" customHeight="1">
      <c r="C994" s="47"/>
    </row>
    <row r="995" ht="14.25" customHeight="1">
      <c r="C995" s="47"/>
    </row>
    <row r="996" ht="14.25" customHeight="1">
      <c r="C996" s="47"/>
    </row>
    <row r="997" ht="14.25" customHeight="1">
      <c r="C997" s="47"/>
    </row>
    <row r="998" ht="14.25" customHeight="1">
      <c r="C998" s="47"/>
    </row>
    <row r="999" ht="14.25" customHeight="1">
      <c r="C999" s="47"/>
    </row>
    <row r="1000" ht="14.25" customHeight="1">
      <c r="C1000" s="47"/>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row r="1">
      <c r="A1" s="4" t="s">
        <v>2</v>
      </c>
    </row>
    <row r="2">
      <c r="A2" s="6" t="s">
        <v>8</v>
      </c>
    </row>
    <row r="3">
      <c r="A3" s="8" t="s">
        <v>14</v>
      </c>
      <c r="B3" s="9" t="s">
        <v>20</v>
      </c>
      <c r="C3" s="9" t="s">
        <v>23</v>
      </c>
      <c r="D3" s="11">
        <v>2022.0</v>
      </c>
      <c r="E3" s="11">
        <v>2023.0</v>
      </c>
      <c r="F3" s="11">
        <v>2024.0</v>
      </c>
      <c r="G3" s="11">
        <v>2025.0</v>
      </c>
      <c r="H3" s="14" t="s">
        <v>37</v>
      </c>
      <c r="I3" s="16"/>
      <c r="J3" s="17"/>
    </row>
    <row r="4">
      <c r="A4" s="18"/>
      <c r="B4" s="18"/>
      <c r="C4" s="20" t="s">
        <v>49</v>
      </c>
      <c r="D4" s="20" t="s">
        <v>49</v>
      </c>
      <c r="E4" s="20" t="s">
        <v>49</v>
      </c>
      <c r="F4" s="20" t="s">
        <v>49</v>
      </c>
      <c r="G4" s="20" t="s">
        <v>49</v>
      </c>
      <c r="H4" s="20" t="s">
        <v>55</v>
      </c>
      <c r="I4" s="21" t="s">
        <v>49</v>
      </c>
      <c r="J4" s="17"/>
    </row>
    <row r="5">
      <c r="A5" s="22">
        <v>1.0</v>
      </c>
      <c r="B5" s="23" t="s">
        <v>60</v>
      </c>
      <c r="C5" s="24">
        <v>126779.39</v>
      </c>
      <c r="D5" s="24">
        <v>17265.57</v>
      </c>
      <c r="E5" s="24">
        <v>11568.46</v>
      </c>
      <c r="F5" s="24">
        <v>16310.16</v>
      </c>
      <c r="G5" s="24">
        <v>20615.52</v>
      </c>
      <c r="H5" s="26" t="s">
        <v>67</v>
      </c>
      <c r="I5" s="24">
        <v>192539.1</v>
      </c>
      <c r="J5" s="17"/>
    </row>
    <row r="6">
      <c r="A6" s="22">
        <v>2.0</v>
      </c>
      <c r="B6" s="23" t="s">
        <v>70</v>
      </c>
      <c r="C6" s="24">
        <v>155117.38</v>
      </c>
      <c r="D6" s="24">
        <v>7543.24</v>
      </c>
      <c r="E6" s="24">
        <v>8444.62</v>
      </c>
      <c r="F6" s="24">
        <v>7892.58</v>
      </c>
      <c r="G6" s="24">
        <v>6210.3</v>
      </c>
      <c r="H6" s="26" t="s">
        <v>72</v>
      </c>
      <c r="I6" s="24">
        <v>185208.11</v>
      </c>
      <c r="J6" s="17"/>
    </row>
    <row r="7">
      <c r="A7" s="22">
        <v>3.0</v>
      </c>
      <c r="B7" s="23" t="s">
        <v>75</v>
      </c>
      <c r="C7" s="24">
        <v>51264.77</v>
      </c>
      <c r="D7" s="24">
        <v>7983.22</v>
      </c>
      <c r="E7" s="24">
        <v>3922.92</v>
      </c>
      <c r="F7" s="24">
        <v>5900.74</v>
      </c>
      <c r="G7" s="24">
        <v>9527.29</v>
      </c>
      <c r="H7" s="26" t="s">
        <v>79</v>
      </c>
      <c r="I7" s="24">
        <v>78598.94</v>
      </c>
      <c r="J7" s="17"/>
    </row>
    <row r="8">
      <c r="A8" s="22">
        <v>4.0</v>
      </c>
      <c r="B8" s="37" t="s">
        <v>83</v>
      </c>
      <c r="C8" s="24">
        <v>39321.61</v>
      </c>
      <c r="D8" s="24">
        <v>4115.75</v>
      </c>
      <c r="E8" s="24">
        <v>2619.78</v>
      </c>
      <c r="F8" s="24">
        <v>6715.42</v>
      </c>
      <c r="G8" s="24">
        <v>2847.66</v>
      </c>
      <c r="H8" s="26" t="s">
        <v>87</v>
      </c>
      <c r="I8" s="24">
        <v>55620.23</v>
      </c>
      <c r="J8" s="17"/>
    </row>
    <row r="9">
      <c r="A9" s="22">
        <v>5.0</v>
      </c>
      <c r="B9" s="37" t="s">
        <v>89</v>
      </c>
      <c r="C9" s="24">
        <v>36446.4</v>
      </c>
      <c r="D9" s="24">
        <v>2006.45</v>
      </c>
      <c r="E9" s="24">
        <v>3102.22</v>
      </c>
      <c r="F9" s="24">
        <v>1807.82</v>
      </c>
      <c r="G9" s="24">
        <v>4313.5</v>
      </c>
      <c r="H9" s="26" t="s">
        <v>92</v>
      </c>
      <c r="I9" s="24">
        <v>47676.4</v>
      </c>
      <c r="J9" s="17"/>
    </row>
    <row r="10">
      <c r="A10" s="22">
        <v>6.0</v>
      </c>
      <c r="B10" s="37" t="s">
        <v>93</v>
      </c>
      <c r="C10" s="24">
        <v>31943.13</v>
      </c>
      <c r="D10" s="24">
        <v>1815.86</v>
      </c>
      <c r="E10" s="24">
        <v>1048.11</v>
      </c>
      <c r="F10" s="43">
        <v>861.83</v>
      </c>
      <c r="G10" s="24">
        <v>1056.79</v>
      </c>
      <c r="H10" s="26" t="s">
        <v>95</v>
      </c>
      <c r="I10" s="24">
        <v>36725.72</v>
      </c>
      <c r="J10" s="17"/>
    </row>
    <row r="11">
      <c r="A11" s="22">
        <v>7.0</v>
      </c>
      <c r="B11" s="37" t="s">
        <v>96</v>
      </c>
      <c r="C11" s="24">
        <v>12037.22</v>
      </c>
      <c r="D11" s="24">
        <v>3289.77</v>
      </c>
      <c r="E11" s="24">
        <v>2681.81</v>
      </c>
      <c r="F11" s="24">
        <v>4639.08</v>
      </c>
      <c r="G11" s="24">
        <v>2654.39</v>
      </c>
      <c r="H11" s="26" t="s">
        <v>97</v>
      </c>
      <c r="I11" s="24">
        <v>25302.29</v>
      </c>
      <c r="J11" s="17"/>
    </row>
    <row r="12">
      <c r="A12" s="22">
        <v>8.0</v>
      </c>
      <c r="B12" s="37" t="s">
        <v>99</v>
      </c>
      <c r="C12" s="24">
        <v>13077.22</v>
      </c>
      <c r="D12" s="24">
        <v>1698.82</v>
      </c>
      <c r="E12" s="43">
        <v>363.27</v>
      </c>
      <c r="F12" s="43">
        <v>422.67</v>
      </c>
      <c r="G12" s="24">
        <v>2046.97</v>
      </c>
      <c r="H12" s="26" t="s">
        <v>100</v>
      </c>
      <c r="I12" s="24">
        <v>17608.96</v>
      </c>
      <c r="J12" s="17"/>
    </row>
    <row r="13">
      <c r="A13" s="22">
        <v>9.0</v>
      </c>
      <c r="B13" s="37" t="s">
        <v>102</v>
      </c>
      <c r="C13" s="24">
        <v>11274.19</v>
      </c>
      <c r="D13" s="24">
        <v>1247.28</v>
      </c>
      <c r="E13" s="43">
        <v>919.41</v>
      </c>
      <c r="F13" s="24">
        <v>1191.32</v>
      </c>
      <c r="G13" s="24">
        <v>1428.13</v>
      </c>
      <c r="H13" s="26" t="s">
        <v>103</v>
      </c>
      <c r="I13" s="24">
        <v>16060.33</v>
      </c>
      <c r="J13" s="17"/>
    </row>
    <row r="14">
      <c r="A14" s="22">
        <v>10.0</v>
      </c>
      <c r="B14" s="37" t="s">
        <v>105</v>
      </c>
      <c r="C14" s="24">
        <v>13454.74</v>
      </c>
      <c r="D14" s="43">
        <v>496.88</v>
      </c>
      <c r="E14" s="43">
        <v>564.58</v>
      </c>
      <c r="F14" s="43">
        <v>463.37</v>
      </c>
      <c r="G14" s="43">
        <v>535.91</v>
      </c>
      <c r="H14" s="24">
        <v>95308.01</v>
      </c>
      <c r="I14" s="24">
        <v>15515.48</v>
      </c>
      <c r="J14" s="17"/>
    </row>
    <row r="15">
      <c r="A15" s="22">
        <v>11.0</v>
      </c>
      <c r="B15" s="37" t="s">
        <v>107</v>
      </c>
      <c r="C15" s="24">
        <v>10074.47</v>
      </c>
      <c r="D15" s="43">
        <v>426.23</v>
      </c>
      <c r="E15" s="43">
        <v>353.15</v>
      </c>
      <c r="F15" s="43">
        <v>859.24</v>
      </c>
      <c r="G15" s="43">
        <v>315.7</v>
      </c>
      <c r="H15" s="24">
        <v>78132.72</v>
      </c>
      <c r="I15" s="24">
        <v>12028.78</v>
      </c>
      <c r="J15" s="17"/>
    </row>
    <row r="16">
      <c r="A16" s="22">
        <v>12.0</v>
      </c>
      <c r="B16" s="37" t="s">
        <v>109</v>
      </c>
      <c r="C16" s="24">
        <v>9316.58</v>
      </c>
      <c r="D16" s="43">
        <v>452.79</v>
      </c>
      <c r="E16" s="43">
        <v>212.26</v>
      </c>
      <c r="F16" s="43">
        <v>802.05</v>
      </c>
      <c r="G16" s="43">
        <v>511.04</v>
      </c>
      <c r="H16" s="24">
        <v>76509.57</v>
      </c>
      <c r="I16" s="24">
        <v>11294.72</v>
      </c>
      <c r="J16" s="17"/>
    </row>
    <row r="17">
      <c r="A17" s="22">
        <v>13.0</v>
      </c>
      <c r="B17" s="37" t="s">
        <v>111</v>
      </c>
      <c r="C17" s="24">
        <v>5148.25</v>
      </c>
      <c r="D17" s="43">
        <v>252.92</v>
      </c>
      <c r="E17" s="43">
        <v>385.73</v>
      </c>
      <c r="F17" s="43">
        <v>630.61</v>
      </c>
      <c r="G17" s="43">
        <v>587.76</v>
      </c>
      <c r="H17" s="24">
        <v>48338.19</v>
      </c>
      <c r="I17" s="24">
        <v>7005.27</v>
      </c>
      <c r="J17" s="17"/>
    </row>
    <row r="18">
      <c r="A18" s="22">
        <v>14.0</v>
      </c>
      <c r="B18" s="37" t="s">
        <v>113</v>
      </c>
      <c r="C18" s="24">
        <v>3666.95</v>
      </c>
      <c r="D18" s="43">
        <v>663.09</v>
      </c>
      <c r="E18" s="43">
        <v>424.49</v>
      </c>
      <c r="F18" s="43">
        <v>352.67</v>
      </c>
      <c r="G18" s="43">
        <v>544.99</v>
      </c>
      <c r="H18" s="24">
        <v>39991.79</v>
      </c>
      <c r="I18" s="24">
        <v>5652.18</v>
      </c>
      <c r="J18" s="17"/>
    </row>
    <row r="19">
      <c r="A19" s="22">
        <v>15.0</v>
      </c>
      <c r="B19" s="37" t="s">
        <v>115</v>
      </c>
      <c r="C19" s="24">
        <v>4594.88</v>
      </c>
      <c r="D19" s="43">
        <v>94.1</v>
      </c>
      <c r="E19" s="43">
        <v>61.05</v>
      </c>
      <c r="F19" s="43">
        <v>87.7</v>
      </c>
      <c r="G19" s="43">
        <v>61.4</v>
      </c>
      <c r="H19" s="24">
        <v>31104.77</v>
      </c>
      <c r="I19" s="24">
        <v>4899.12</v>
      </c>
      <c r="J19" s="17"/>
    </row>
    <row r="20">
      <c r="A20" s="22">
        <v>16.0</v>
      </c>
      <c r="B20" s="37" t="s">
        <v>117</v>
      </c>
      <c r="C20" s="24">
        <v>2367.97</v>
      </c>
      <c r="D20" s="43">
        <v>817.03</v>
      </c>
      <c r="E20" s="43">
        <v>569.53</v>
      </c>
      <c r="F20" s="43">
        <v>410.51</v>
      </c>
      <c r="G20" s="43">
        <v>161.44</v>
      </c>
      <c r="H20" s="24">
        <v>31041.83</v>
      </c>
      <c r="I20" s="24">
        <v>4326.48</v>
      </c>
      <c r="J20" s="17"/>
    </row>
    <row r="21">
      <c r="A21" s="22">
        <v>17.0</v>
      </c>
      <c r="B21" s="37" t="s">
        <v>119</v>
      </c>
      <c r="C21" s="24">
        <v>3558.92</v>
      </c>
      <c r="D21" s="43">
        <v>161.34</v>
      </c>
      <c r="E21" s="43">
        <v>224.17</v>
      </c>
      <c r="F21" s="43">
        <v>343.02</v>
      </c>
      <c r="G21" s="43">
        <v>37.57</v>
      </c>
      <c r="H21" s="24">
        <v>27366.34</v>
      </c>
      <c r="I21" s="24">
        <v>4325.03</v>
      </c>
      <c r="J21" s="17"/>
    </row>
    <row r="22">
      <c r="A22" s="22">
        <v>18.0</v>
      </c>
      <c r="B22" s="37" t="s">
        <v>121</v>
      </c>
      <c r="C22" s="24">
        <v>2495.01</v>
      </c>
      <c r="D22" s="43">
        <v>272.64</v>
      </c>
      <c r="E22" s="43">
        <v>112.44</v>
      </c>
      <c r="F22" s="24">
        <v>1130.7</v>
      </c>
      <c r="G22" s="43">
        <v>193.09</v>
      </c>
      <c r="H22" s="24">
        <v>30206.87</v>
      </c>
      <c r="I22" s="24">
        <v>4203.88</v>
      </c>
      <c r="J22" s="17"/>
    </row>
    <row r="23">
      <c r="A23" s="22">
        <v>19.0</v>
      </c>
      <c r="B23" s="37" t="s">
        <v>122</v>
      </c>
      <c r="C23" s="24">
        <v>3248.25</v>
      </c>
      <c r="D23" s="43">
        <v>110.04</v>
      </c>
      <c r="E23" s="43">
        <v>175.19</v>
      </c>
      <c r="F23" s="43">
        <v>159.48</v>
      </c>
      <c r="G23" s="43">
        <v>69.63</v>
      </c>
      <c r="H23" s="24">
        <v>23072.98</v>
      </c>
      <c r="I23" s="24">
        <v>3762.6</v>
      </c>
      <c r="J23" s="17"/>
    </row>
    <row r="24">
      <c r="A24" s="22">
        <v>20.0</v>
      </c>
      <c r="B24" s="37" t="s">
        <v>124</v>
      </c>
      <c r="C24" s="24">
        <v>3139.31</v>
      </c>
      <c r="D24" s="43">
        <v>17.27</v>
      </c>
      <c r="E24" s="43">
        <v>68.05</v>
      </c>
      <c r="F24" s="43">
        <v>21.41</v>
      </c>
      <c r="G24" s="43">
        <v>54.19</v>
      </c>
      <c r="H24" s="24">
        <v>24412.74</v>
      </c>
      <c r="I24" s="24">
        <v>3300.22</v>
      </c>
      <c r="J24" s="17"/>
    </row>
    <row r="25">
      <c r="A25" s="22">
        <v>21.0</v>
      </c>
      <c r="B25" s="37" t="s">
        <v>126</v>
      </c>
      <c r="C25" s="24">
        <v>2088.01</v>
      </c>
      <c r="D25" s="43">
        <v>121.46</v>
      </c>
      <c r="E25" s="43">
        <v>298.42</v>
      </c>
      <c r="F25" s="43">
        <v>90.88</v>
      </c>
      <c r="G25" s="43">
        <v>229.42</v>
      </c>
      <c r="H25" s="24">
        <v>18420.82</v>
      </c>
      <c r="I25" s="24">
        <v>2828.2</v>
      </c>
      <c r="J25" s="17"/>
    </row>
    <row r="26">
      <c r="A26" s="22">
        <v>22.0</v>
      </c>
      <c r="B26" s="37" t="s">
        <v>127</v>
      </c>
      <c r="C26" s="24">
        <v>1907.26</v>
      </c>
      <c r="D26" s="43">
        <v>238.95</v>
      </c>
      <c r="E26" s="43">
        <v>140.08</v>
      </c>
      <c r="F26" s="43">
        <v>328.59</v>
      </c>
      <c r="G26" s="43">
        <v>90.58</v>
      </c>
      <c r="H26" s="24">
        <v>17830.31</v>
      </c>
      <c r="I26" s="24">
        <v>2705.45</v>
      </c>
      <c r="J26" s="17"/>
    </row>
    <row r="27">
      <c r="A27" s="22">
        <v>23.0</v>
      </c>
      <c r="B27" s="37" t="s">
        <v>130</v>
      </c>
      <c r="C27" s="24">
        <v>2450.36</v>
      </c>
      <c r="D27" s="43">
        <v>9.91</v>
      </c>
      <c r="E27" s="43">
        <v>42.05</v>
      </c>
      <c r="F27" s="43">
        <v>3.73</v>
      </c>
      <c r="G27" s="43">
        <v>6.49</v>
      </c>
      <c r="H27" s="24">
        <v>16161.85</v>
      </c>
      <c r="I27" s="24">
        <v>2512.54</v>
      </c>
      <c r="J27" s="17"/>
    </row>
    <row r="28">
      <c r="A28" s="22">
        <v>24.0</v>
      </c>
      <c r="B28" s="37" t="s">
        <v>132</v>
      </c>
      <c r="C28" s="24">
        <v>1328.06</v>
      </c>
      <c r="D28" s="43">
        <v>36.12</v>
      </c>
      <c r="E28" s="43">
        <v>60.48</v>
      </c>
      <c r="F28" s="43">
        <v>145.42</v>
      </c>
      <c r="G28" s="43">
        <v>496.81</v>
      </c>
      <c r="H28" s="24">
        <v>15140.97</v>
      </c>
      <c r="I28" s="24">
        <v>2066.88</v>
      </c>
      <c r="J28" s="17"/>
    </row>
    <row r="29">
      <c r="A29" s="22">
        <v>25.0</v>
      </c>
      <c r="B29" s="37" t="s">
        <v>134</v>
      </c>
      <c r="C29" s="43">
        <v>446.16</v>
      </c>
      <c r="D29" s="43">
        <v>49.85</v>
      </c>
      <c r="E29" s="24">
        <v>1001.01</v>
      </c>
      <c r="F29" s="43">
        <v>7.14</v>
      </c>
      <c r="G29" s="43">
        <v>266.54</v>
      </c>
      <c r="H29" s="24">
        <v>14391.72</v>
      </c>
      <c r="I29" s="24">
        <v>1770.71</v>
      </c>
      <c r="J29" s="17"/>
    </row>
    <row r="30">
      <c r="A30" s="22">
        <v>26.0</v>
      </c>
      <c r="B30" s="37" t="s">
        <v>136</v>
      </c>
      <c r="C30" s="24">
        <v>1036.29</v>
      </c>
      <c r="D30" s="43">
        <v>42.43</v>
      </c>
      <c r="E30" s="43">
        <v>336.58</v>
      </c>
      <c r="F30" s="43">
        <v>102.87</v>
      </c>
      <c r="G30" s="43">
        <v>204.44</v>
      </c>
      <c r="H30" s="24">
        <v>11544.29</v>
      </c>
      <c r="I30" s="24">
        <v>1722.61</v>
      </c>
      <c r="J30" s="17"/>
    </row>
    <row r="31">
      <c r="A31" s="22">
        <v>27.0</v>
      </c>
      <c r="B31" s="37" t="s">
        <v>138</v>
      </c>
      <c r="C31" s="24">
        <v>1115.24</v>
      </c>
      <c r="D31" s="43">
        <v>79.03</v>
      </c>
      <c r="E31" s="43">
        <v>225.01</v>
      </c>
      <c r="F31" s="43">
        <v>47.88</v>
      </c>
      <c r="G31" s="43">
        <v>192.37</v>
      </c>
      <c r="H31" s="24">
        <v>12201.09</v>
      </c>
      <c r="I31" s="24">
        <v>1659.54</v>
      </c>
      <c r="J31" s="17"/>
    </row>
    <row r="32">
      <c r="A32" s="22">
        <v>28.0</v>
      </c>
      <c r="B32" s="37" t="s">
        <v>140</v>
      </c>
      <c r="C32" s="24">
        <v>1127.91</v>
      </c>
      <c r="D32" s="43">
        <v>71.68</v>
      </c>
      <c r="E32" s="43">
        <v>25.65</v>
      </c>
      <c r="F32" s="43">
        <v>176.56</v>
      </c>
      <c r="G32" s="43">
        <v>130.51</v>
      </c>
      <c r="H32" s="24">
        <v>9971.39</v>
      </c>
      <c r="I32" s="24">
        <v>1532.31</v>
      </c>
      <c r="J32" s="17"/>
    </row>
    <row r="33">
      <c r="A33" s="22">
        <v>29.0</v>
      </c>
      <c r="B33" s="37" t="s">
        <v>141</v>
      </c>
      <c r="C33" s="43">
        <v>876.23</v>
      </c>
      <c r="D33" s="43">
        <v>208.41</v>
      </c>
      <c r="E33" s="43">
        <v>151.01</v>
      </c>
      <c r="F33" s="43">
        <v>177.57</v>
      </c>
      <c r="G33" s="43">
        <v>41.84</v>
      </c>
      <c r="H33" s="24">
        <v>10014.0</v>
      </c>
      <c r="I33" s="24">
        <v>1455.05</v>
      </c>
      <c r="J33" s="17"/>
    </row>
    <row r="34">
      <c r="A34" s="22">
        <v>30.0</v>
      </c>
      <c r="B34" s="37" t="s">
        <v>143</v>
      </c>
      <c r="C34" s="24">
        <v>1305.51</v>
      </c>
      <c r="D34" s="43">
        <v>5.41</v>
      </c>
      <c r="E34" s="43">
        <v>10.57</v>
      </c>
      <c r="F34" s="43">
        <v>18.84</v>
      </c>
      <c r="G34" s="43">
        <v>20.92</v>
      </c>
      <c r="H34" s="24">
        <v>7824.6</v>
      </c>
      <c r="I34" s="24">
        <v>1361.25</v>
      </c>
      <c r="J34" s="17"/>
    </row>
    <row r="35">
      <c r="A35" s="22">
        <v>31.0</v>
      </c>
      <c r="B35" s="37" t="s">
        <v>145</v>
      </c>
      <c r="C35" s="24">
        <v>1134.83</v>
      </c>
      <c r="D35" s="43">
        <v>32.58</v>
      </c>
      <c r="E35" s="43">
        <v>27.58</v>
      </c>
      <c r="F35" s="43">
        <v>67.82</v>
      </c>
      <c r="G35" s="43">
        <v>74.3</v>
      </c>
      <c r="H35" s="24">
        <v>8295.83</v>
      </c>
      <c r="I35" s="24">
        <v>1337.12</v>
      </c>
      <c r="J35" s="17"/>
    </row>
    <row r="36">
      <c r="A36" s="22">
        <v>32.0</v>
      </c>
      <c r="B36" s="37" t="s">
        <v>147</v>
      </c>
      <c r="C36" s="26" t="s">
        <v>148</v>
      </c>
      <c r="D36" s="43">
        <v>14.39</v>
      </c>
      <c r="E36" s="43">
        <v>392.54</v>
      </c>
      <c r="F36" s="43">
        <v>200.26</v>
      </c>
      <c r="G36" s="43">
        <v>656.38</v>
      </c>
      <c r="H36" s="24">
        <v>10762.87</v>
      </c>
      <c r="I36" s="24">
        <v>1263.56</v>
      </c>
      <c r="J36" s="17"/>
    </row>
    <row r="37">
      <c r="A37" s="22">
        <v>33.0</v>
      </c>
      <c r="B37" s="37" t="s">
        <v>150</v>
      </c>
      <c r="C37" s="43">
        <v>699.51</v>
      </c>
      <c r="D37" s="43">
        <v>116.39</v>
      </c>
      <c r="E37" s="43">
        <v>124.93</v>
      </c>
      <c r="F37" s="43">
        <v>131.42</v>
      </c>
      <c r="G37" s="43">
        <v>133.92</v>
      </c>
      <c r="H37" s="24">
        <v>8931.96</v>
      </c>
      <c r="I37" s="24">
        <v>1206.17</v>
      </c>
      <c r="J37" s="17"/>
    </row>
    <row r="38">
      <c r="A38" s="22">
        <v>34.0</v>
      </c>
      <c r="B38" s="37" t="s">
        <v>152</v>
      </c>
      <c r="C38" s="43">
        <v>389.02</v>
      </c>
      <c r="D38" s="43">
        <v>75.98</v>
      </c>
      <c r="E38" s="43">
        <v>256.53</v>
      </c>
      <c r="F38" s="43">
        <v>158.28</v>
      </c>
      <c r="G38" s="43">
        <v>111.11</v>
      </c>
      <c r="H38" s="24">
        <v>7458.77</v>
      </c>
      <c r="I38" s="43">
        <v>990.91</v>
      </c>
      <c r="J38" s="17"/>
    </row>
    <row r="39">
      <c r="A39" s="22">
        <v>35.0</v>
      </c>
      <c r="B39" s="37" t="s">
        <v>154</v>
      </c>
      <c r="C39" s="43">
        <v>688.75</v>
      </c>
      <c r="D39" s="43">
        <v>11.28</v>
      </c>
      <c r="E39" s="43">
        <v>11.73</v>
      </c>
      <c r="F39" s="43">
        <v>15.36</v>
      </c>
      <c r="G39" s="43">
        <v>21.83</v>
      </c>
      <c r="H39" s="24">
        <v>4275.09</v>
      </c>
      <c r="I39" s="43">
        <v>748.95</v>
      </c>
      <c r="J39" s="17"/>
    </row>
    <row r="40">
      <c r="A40" s="22">
        <v>36.0</v>
      </c>
      <c r="B40" s="37" t="s">
        <v>156</v>
      </c>
      <c r="C40" s="43">
        <v>516.57</v>
      </c>
      <c r="D40" s="43">
        <v>91.63</v>
      </c>
      <c r="E40" s="43">
        <v>48.37</v>
      </c>
      <c r="F40" s="43">
        <v>17.29</v>
      </c>
      <c r="G40" s="43">
        <v>54.73</v>
      </c>
      <c r="H40" s="24">
        <v>4870.74</v>
      </c>
      <c r="I40" s="43">
        <v>728.59</v>
      </c>
      <c r="J40" s="17"/>
    </row>
    <row r="41">
      <c r="A41" s="22">
        <v>37.0</v>
      </c>
      <c r="B41" s="37" t="s">
        <v>158</v>
      </c>
      <c r="C41" s="43">
        <v>639.31</v>
      </c>
      <c r="D41" s="43">
        <v>7.75</v>
      </c>
      <c r="E41" s="43">
        <v>6.76</v>
      </c>
      <c r="F41" s="43">
        <v>5.14</v>
      </c>
      <c r="G41" s="43">
        <v>9.77</v>
      </c>
      <c r="H41" s="24">
        <v>3258.11</v>
      </c>
      <c r="I41" s="43">
        <v>668.74</v>
      </c>
      <c r="J41" s="17"/>
    </row>
    <row r="42">
      <c r="A42" s="22">
        <v>38.0</v>
      </c>
      <c r="B42" s="37" t="s">
        <v>160</v>
      </c>
      <c r="C42" s="43">
        <v>554.2</v>
      </c>
      <c r="D42" s="43">
        <v>38.29</v>
      </c>
      <c r="E42" s="43">
        <v>7.58</v>
      </c>
      <c r="F42" s="43">
        <v>19.58</v>
      </c>
      <c r="G42" s="43">
        <v>21.3</v>
      </c>
      <c r="H42" s="24">
        <v>4070.9</v>
      </c>
      <c r="I42" s="43">
        <v>640.95</v>
      </c>
      <c r="J42" s="17"/>
    </row>
    <row r="43">
      <c r="A43" s="22">
        <v>39.0</v>
      </c>
      <c r="B43" s="37" t="s">
        <v>162</v>
      </c>
      <c r="C43" s="43">
        <v>558.69</v>
      </c>
      <c r="D43" s="43">
        <v>29.78</v>
      </c>
      <c r="E43" s="43">
        <v>3.56</v>
      </c>
      <c r="F43" s="43">
        <v>8.01</v>
      </c>
      <c r="G43" s="43">
        <v>17.2</v>
      </c>
      <c r="H43" s="24">
        <v>3500.32</v>
      </c>
      <c r="I43" s="43">
        <v>617.24</v>
      </c>
      <c r="J43" s="17"/>
    </row>
    <row r="44">
      <c r="A44" s="22">
        <v>40.0</v>
      </c>
      <c r="B44" s="37" t="s">
        <v>164</v>
      </c>
      <c r="C44" s="43">
        <v>575.57</v>
      </c>
      <c r="D44" s="26" t="s">
        <v>148</v>
      </c>
      <c r="E44" s="43">
        <v>6.0E-4</v>
      </c>
      <c r="F44" s="43">
        <v>0.06</v>
      </c>
      <c r="G44" s="43">
        <v>6.3</v>
      </c>
      <c r="H44" s="24">
        <v>3975.12</v>
      </c>
      <c r="I44" s="43">
        <v>581.93</v>
      </c>
      <c r="J44" s="17"/>
    </row>
    <row r="45">
      <c r="A45" s="22">
        <v>41.0</v>
      </c>
      <c r="B45" s="37" t="s">
        <v>165</v>
      </c>
      <c r="C45" s="43">
        <v>522.07</v>
      </c>
      <c r="D45" s="43">
        <v>10.66</v>
      </c>
      <c r="E45" s="43">
        <v>34.46</v>
      </c>
      <c r="F45" s="43">
        <v>4.35</v>
      </c>
      <c r="G45" s="43">
        <v>5.1</v>
      </c>
      <c r="H45" s="24">
        <v>3401.52</v>
      </c>
      <c r="I45" s="43">
        <v>576.64</v>
      </c>
      <c r="J45" s="17"/>
    </row>
    <row r="46">
      <c r="A46" s="22">
        <v>42.0</v>
      </c>
      <c r="B46" s="37" t="s">
        <v>167</v>
      </c>
      <c r="C46" s="43">
        <v>411.53</v>
      </c>
      <c r="D46" s="43">
        <v>67.42</v>
      </c>
      <c r="E46" s="43">
        <v>5.59</v>
      </c>
      <c r="F46" s="43">
        <v>16.81</v>
      </c>
      <c r="G46" s="43">
        <v>69.96</v>
      </c>
      <c r="H46" s="24">
        <v>4078.13</v>
      </c>
      <c r="I46" s="43">
        <v>571.32</v>
      </c>
      <c r="J46" s="17"/>
    </row>
    <row r="47">
      <c r="A47" s="22">
        <v>43.0</v>
      </c>
      <c r="B47" s="37" t="s">
        <v>169</v>
      </c>
      <c r="C47" s="26" t="s">
        <v>148</v>
      </c>
      <c r="D47" s="26" t="s">
        <v>148</v>
      </c>
      <c r="E47" s="43">
        <v>127.1</v>
      </c>
      <c r="F47" s="43">
        <v>20.7</v>
      </c>
      <c r="G47" s="43">
        <v>304.73</v>
      </c>
      <c r="H47" s="24">
        <v>3837.53</v>
      </c>
      <c r="I47" s="43">
        <v>452.53</v>
      </c>
      <c r="J47" s="17"/>
    </row>
    <row r="48">
      <c r="A48" s="22">
        <v>44.0</v>
      </c>
      <c r="B48" s="37" t="s">
        <v>171</v>
      </c>
      <c r="C48" s="43">
        <v>304.52</v>
      </c>
      <c r="D48" s="43">
        <v>7.83</v>
      </c>
      <c r="E48" s="43">
        <v>3.95</v>
      </c>
      <c r="F48" s="43">
        <v>22.37</v>
      </c>
      <c r="G48" s="43">
        <v>15.77</v>
      </c>
      <c r="H48" s="24">
        <v>2467.13</v>
      </c>
      <c r="I48" s="43">
        <v>354.44</v>
      </c>
      <c r="J48" s="17"/>
    </row>
    <row r="49">
      <c r="A49" s="22">
        <v>45.0</v>
      </c>
      <c r="B49" s="37" t="s">
        <v>172</v>
      </c>
      <c r="C49" s="43">
        <v>263.82</v>
      </c>
      <c r="D49" s="43">
        <v>17.4</v>
      </c>
      <c r="E49" s="43">
        <v>7.05</v>
      </c>
      <c r="F49" s="43">
        <v>45.43</v>
      </c>
      <c r="G49" s="43">
        <v>16.2</v>
      </c>
      <c r="H49" s="24">
        <v>2396.84</v>
      </c>
      <c r="I49" s="43">
        <v>349.9</v>
      </c>
      <c r="J49" s="17"/>
    </row>
    <row r="50">
      <c r="A50" s="22">
        <v>46.0</v>
      </c>
      <c r="B50" s="37" t="s">
        <v>174</v>
      </c>
      <c r="C50" s="43">
        <v>84.37</v>
      </c>
      <c r="D50" s="43">
        <v>42.91</v>
      </c>
      <c r="E50" s="43">
        <v>88.56</v>
      </c>
      <c r="F50" s="43">
        <v>86.48</v>
      </c>
      <c r="G50" s="43">
        <v>25.55</v>
      </c>
      <c r="H50" s="24">
        <v>2622.39</v>
      </c>
      <c r="I50" s="43">
        <v>327.87</v>
      </c>
      <c r="J50" s="17"/>
    </row>
    <row r="51">
      <c r="A51" s="22">
        <v>47.0</v>
      </c>
      <c r="B51" s="37" t="s">
        <v>176</v>
      </c>
      <c r="C51" s="43">
        <v>210.41</v>
      </c>
      <c r="D51" s="43">
        <v>9.29</v>
      </c>
      <c r="E51" s="43">
        <v>7.75</v>
      </c>
      <c r="F51" s="43">
        <v>14.71</v>
      </c>
      <c r="G51" s="43">
        <v>13.61</v>
      </c>
      <c r="H51" s="24">
        <v>1645.88</v>
      </c>
      <c r="I51" s="43">
        <v>255.78</v>
      </c>
      <c r="J51" s="17"/>
    </row>
    <row r="52">
      <c r="A52" s="22">
        <v>48.0</v>
      </c>
      <c r="B52" s="37" t="s">
        <v>177</v>
      </c>
      <c r="C52" s="43">
        <v>217.51</v>
      </c>
      <c r="D52" s="26" t="s">
        <v>148</v>
      </c>
      <c r="E52" s="26" t="s">
        <v>148</v>
      </c>
      <c r="F52" s="43">
        <v>0.3</v>
      </c>
      <c r="G52" s="43">
        <v>0.5</v>
      </c>
      <c r="H52" s="24">
        <v>1343.95</v>
      </c>
      <c r="I52" s="43">
        <v>218.31</v>
      </c>
      <c r="J52" s="17"/>
    </row>
    <row r="53">
      <c r="A53" s="22">
        <v>49.0</v>
      </c>
      <c r="B53" s="37" t="s">
        <v>179</v>
      </c>
      <c r="C53" s="43">
        <v>181.69</v>
      </c>
      <c r="D53" s="43">
        <v>2.06</v>
      </c>
      <c r="E53" s="43">
        <v>2.85</v>
      </c>
      <c r="F53" s="43">
        <v>0.34</v>
      </c>
      <c r="G53" s="43">
        <v>0.44</v>
      </c>
      <c r="H53" s="24">
        <v>1190.17</v>
      </c>
      <c r="I53" s="43">
        <v>187.39</v>
      </c>
      <c r="J53" s="17"/>
    </row>
    <row r="54">
      <c r="A54" s="22">
        <v>50.0</v>
      </c>
      <c r="B54" s="37" t="s">
        <v>181</v>
      </c>
      <c r="C54" s="43">
        <v>151.93</v>
      </c>
      <c r="D54" s="43">
        <v>5.0</v>
      </c>
      <c r="E54" s="43">
        <v>4.77</v>
      </c>
      <c r="F54" s="43">
        <v>5.61</v>
      </c>
      <c r="G54" s="43">
        <v>1.02</v>
      </c>
      <c r="H54" s="43">
        <v>855.16</v>
      </c>
      <c r="I54" s="43">
        <v>168.33</v>
      </c>
      <c r="J54" s="17"/>
    </row>
    <row r="55">
      <c r="A55" s="22">
        <v>51.0</v>
      </c>
      <c r="B55" s="37" t="s">
        <v>182</v>
      </c>
      <c r="C55" s="43">
        <v>140.41</v>
      </c>
      <c r="D55" s="43">
        <v>0.53</v>
      </c>
      <c r="E55" s="43">
        <v>0.31</v>
      </c>
      <c r="F55" s="43">
        <v>0.17</v>
      </c>
      <c r="G55" s="43">
        <v>20.36</v>
      </c>
      <c r="H55" s="43">
        <v>862.19</v>
      </c>
      <c r="I55" s="43">
        <v>161.77</v>
      </c>
      <c r="J55" s="17"/>
    </row>
    <row r="56">
      <c r="A56" s="22">
        <v>52.0</v>
      </c>
      <c r="B56" s="37" t="s">
        <v>184</v>
      </c>
      <c r="C56" s="43">
        <v>104.43</v>
      </c>
      <c r="D56" s="43">
        <v>16.53</v>
      </c>
      <c r="E56" s="43">
        <v>1.82</v>
      </c>
      <c r="F56" s="43">
        <v>3.33</v>
      </c>
      <c r="G56" s="43">
        <v>0.34</v>
      </c>
      <c r="H56" s="43">
        <v>818.91</v>
      </c>
      <c r="I56" s="43">
        <v>126.45</v>
      </c>
      <c r="J56" s="17"/>
    </row>
    <row r="57">
      <c r="A57" s="22">
        <v>53.0</v>
      </c>
      <c r="B57" s="37" t="s">
        <v>186</v>
      </c>
      <c r="C57" s="43">
        <v>97.14</v>
      </c>
      <c r="D57" s="43">
        <v>1.23</v>
      </c>
      <c r="E57" s="43">
        <v>0.8</v>
      </c>
      <c r="F57" s="43">
        <v>8.66</v>
      </c>
      <c r="G57" s="43">
        <v>7.76</v>
      </c>
      <c r="H57" s="43">
        <v>807.34</v>
      </c>
      <c r="I57" s="43">
        <v>115.6</v>
      </c>
      <c r="J57" s="17"/>
    </row>
    <row r="58">
      <c r="A58" s="22">
        <v>54.0</v>
      </c>
      <c r="B58" s="37" t="s">
        <v>188</v>
      </c>
      <c r="C58" s="43">
        <v>77.67</v>
      </c>
      <c r="D58" s="43">
        <v>20.37</v>
      </c>
      <c r="E58" s="43">
        <v>7.19</v>
      </c>
      <c r="F58" s="43">
        <v>0.6</v>
      </c>
      <c r="G58" s="43">
        <v>4.44</v>
      </c>
      <c r="H58" s="43">
        <v>788.68</v>
      </c>
      <c r="I58" s="43">
        <v>110.26</v>
      </c>
      <c r="J58" s="17"/>
    </row>
    <row r="59">
      <c r="A59" s="22">
        <v>55.0</v>
      </c>
      <c r="B59" s="37" t="s">
        <v>190</v>
      </c>
      <c r="C59" s="43">
        <v>54.29</v>
      </c>
      <c r="D59" s="43">
        <v>19.04</v>
      </c>
      <c r="E59" s="43">
        <v>1.48</v>
      </c>
      <c r="F59" s="43">
        <v>13.21</v>
      </c>
      <c r="G59" s="43">
        <v>15.28</v>
      </c>
      <c r="H59" s="43">
        <v>776.64</v>
      </c>
      <c r="I59" s="43">
        <v>103.3</v>
      </c>
      <c r="J59" s="17"/>
    </row>
    <row r="60">
      <c r="A60" s="22">
        <v>56.0</v>
      </c>
      <c r="B60" s="37" t="s">
        <v>192</v>
      </c>
      <c r="C60" s="43">
        <v>96.28</v>
      </c>
      <c r="D60" s="43">
        <v>0.1</v>
      </c>
      <c r="E60" s="43">
        <v>1.16</v>
      </c>
      <c r="F60" s="43">
        <v>1.41</v>
      </c>
      <c r="G60" s="43">
        <v>3.23</v>
      </c>
      <c r="H60" s="43">
        <v>628.47</v>
      </c>
      <c r="I60" s="43">
        <v>102.19</v>
      </c>
      <c r="J60" s="17"/>
    </row>
    <row r="61">
      <c r="A61" s="22">
        <v>57.0</v>
      </c>
      <c r="B61" s="37" t="s">
        <v>195</v>
      </c>
      <c r="C61" s="43">
        <v>86.49</v>
      </c>
      <c r="D61" s="43">
        <v>2.89</v>
      </c>
      <c r="E61" s="43">
        <v>1.39</v>
      </c>
      <c r="F61" s="43">
        <v>5.8</v>
      </c>
      <c r="G61" s="43">
        <v>2.37</v>
      </c>
      <c r="H61" s="43">
        <v>646.72</v>
      </c>
      <c r="I61" s="43">
        <v>98.94</v>
      </c>
      <c r="J61" s="17"/>
    </row>
    <row r="62">
      <c r="A62" s="22">
        <v>58.0</v>
      </c>
      <c r="B62" s="37" t="s">
        <v>196</v>
      </c>
      <c r="C62" s="43">
        <v>46.81</v>
      </c>
      <c r="D62" s="43">
        <v>50.93</v>
      </c>
      <c r="E62" s="26" t="s">
        <v>148</v>
      </c>
      <c r="F62" s="43">
        <v>0.21</v>
      </c>
      <c r="G62" s="43">
        <v>0.29</v>
      </c>
      <c r="H62" s="43">
        <v>618.54</v>
      </c>
      <c r="I62" s="43">
        <v>98.24</v>
      </c>
      <c r="J62" s="17"/>
    </row>
    <row r="63">
      <c r="A63" s="22">
        <v>59.0</v>
      </c>
      <c r="B63" s="37" t="s">
        <v>197</v>
      </c>
      <c r="C63" s="43">
        <v>75.11</v>
      </c>
      <c r="D63" s="43">
        <v>2.56</v>
      </c>
      <c r="E63" s="43">
        <v>4.27</v>
      </c>
      <c r="F63" s="43">
        <v>5.28</v>
      </c>
      <c r="G63" s="43">
        <v>1.41</v>
      </c>
      <c r="H63" s="43">
        <v>538.0</v>
      </c>
      <c r="I63" s="43">
        <v>88.62</v>
      </c>
      <c r="J63" s="17"/>
    </row>
    <row r="64">
      <c r="A64" s="22">
        <v>60.0</v>
      </c>
      <c r="B64" s="37" t="s">
        <v>198</v>
      </c>
      <c r="C64" s="43">
        <v>5.32</v>
      </c>
      <c r="D64" s="43">
        <v>0.14</v>
      </c>
      <c r="E64" s="43">
        <v>4.81</v>
      </c>
      <c r="F64" s="43">
        <v>3.38</v>
      </c>
      <c r="G64" s="43">
        <v>73.69</v>
      </c>
      <c r="H64" s="43">
        <v>744.55</v>
      </c>
      <c r="I64" s="43">
        <v>87.33</v>
      </c>
      <c r="J64" s="17"/>
    </row>
    <row r="65">
      <c r="A65" s="22">
        <v>61.0</v>
      </c>
      <c r="B65" s="37" t="s">
        <v>199</v>
      </c>
      <c r="C65" s="43">
        <v>79.17</v>
      </c>
      <c r="D65" s="26" t="s">
        <v>148</v>
      </c>
      <c r="E65" s="26" t="s">
        <v>148</v>
      </c>
      <c r="F65" s="26" t="s">
        <v>148</v>
      </c>
      <c r="G65" s="26" t="s">
        <v>148</v>
      </c>
      <c r="H65" s="43">
        <v>353.89</v>
      </c>
      <c r="I65" s="43">
        <v>79.17</v>
      </c>
      <c r="J65" s="17"/>
    </row>
    <row r="66">
      <c r="A66" s="22">
        <v>62.0</v>
      </c>
      <c r="B66" s="37" t="s">
        <v>200</v>
      </c>
      <c r="C66" s="43">
        <v>59.1</v>
      </c>
      <c r="D66" s="43">
        <v>0.49</v>
      </c>
      <c r="E66" s="43">
        <v>0.03</v>
      </c>
      <c r="F66" s="26" t="s">
        <v>148</v>
      </c>
      <c r="G66" s="43">
        <v>0.39</v>
      </c>
      <c r="H66" s="43">
        <v>347.48</v>
      </c>
      <c r="I66" s="43">
        <v>60.0</v>
      </c>
      <c r="J66" s="17"/>
    </row>
    <row r="67">
      <c r="A67" s="22">
        <v>63.0</v>
      </c>
      <c r="B67" s="37" t="s">
        <v>201</v>
      </c>
      <c r="C67" s="43">
        <v>58.56</v>
      </c>
      <c r="D67" s="26" t="s">
        <v>148</v>
      </c>
      <c r="E67" s="43">
        <v>1.17</v>
      </c>
      <c r="F67" s="26" t="s">
        <v>148</v>
      </c>
      <c r="G67" s="26" t="s">
        <v>148</v>
      </c>
      <c r="H67" s="43">
        <v>323.07</v>
      </c>
      <c r="I67" s="43">
        <v>59.72</v>
      </c>
      <c r="J67" s="17"/>
    </row>
    <row r="68">
      <c r="A68" s="22">
        <v>64.0</v>
      </c>
      <c r="B68" s="37" t="s">
        <v>202</v>
      </c>
      <c r="C68" s="43">
        <v>28.27</v>
      </c>
      <c r="D68" s="43">
        <v>0.43</v>
      </c>
      <c r="E68" s="43">
        <v>0.56</v>
      </c>
      <c r="F68" s="43">
        <v>0.14</v>
      </c>
      <c r="G68" s="43">
        <v>28.8</v>
      </c>
      <c r="H68" s="43">
        <v>400.02</v>
      </c>
      <c r="I68" s="43">
        <v>58.2</v>
      </c>
      <c r="J68" s="17"/>
    </row>
    <row r="69">
      <c r="A69" s="22">
        <v>65.0</v>
      </c>
      <c r="B69" s="37" t="s">
        <v>203</v>
      </c>
      <c r="C69" s="43">
        <v>36.14</v>
      </c>
      <c r="D69" s="43">
        <v>11.03</v>
      </c>
      <c r="E69" s="43">
        <v>3.84</v>
      </c>
      <c r="F69" s="43">
        <v>2.42</v>
      </c>
      <c r="G69" s="43">
        <v>2.09</v>
      </c>
      <c r="H69" s="43">
        <v>358.8</v>
      </c>
      <c r="I69" s="43">
        <v>55.53</v>
      </c>
      <c r="J69" s="17"/>
    </row>
    <row r="70">
      <c r="A70" s="22">
        <v>66.0</v>
      </c>
      <c r="B70" s="37" t="s">
        <v>204</v>
      </c>
      <c r="C70" s="43">
        <v>50.17</v>
      </c>
      <c r="D70" s="26" t="s">
        <v>148</v>
      </c>
      <c r="E70" s="43">
        <v>4.0E-4</v>
      </c>
      <c r="F70" s="43">
        <v>0.31</v>
      </c>
      <c r="G70" s="26" t="s">
        <v>148</v>
      </c>
      <c r="H70" s="43">
        <v>354.55</v>
      </c>
      <c r="I70" s="43">
        <v>50.48</v>
      </c>
      <c r="J70" s="17"/>
    </row>
    <row r="71">
      <c r="A71" s="22">
        <v>67.0</v>
      </c>
      <c r="B71" s="37" t="s">
        <v>205</v>
      </c>
      <c r="C71" s="43">
        <v>41.67</v>
      </c>
      <c r="D71" s="43">
        <v>6.83</v>
      </c>
      <c r="E71" s="26" t="s">
        <v>148</v>
      </c>
      <c r="F71" s="26" t="s">
        <v>148</v>
      </c>
      <c r="G71" s="26" t="s">
        <v>148</v>
      </c>
      <c r="H71" s="43">
        <v>270.48</v>
      </c>
      <c r="I71" s="43">
        <v>48.5</v>
      </c>
      <c r="J71" s="17"/>
    </row>
    <row r="72">
      <c r="A72" s="22">
        <v>68.0</v>
      </c>
      <c r="B72" s="37" t="s">
        <v>206</v>
      </c>
      <c r="C72" s="43">
        <v>47.77</v>
      </c>
      <c r="D72" s="26" t="s">
        <v>148</v>
      </c>
      <c r="E72" s="26" t="s">
        <v>148</v>
      </c>
      <c r="F72" s="26" t="s">
        <v>148</v>
      </c>
      <c r="G72" s="26" t="s">
        <v>148</v>
      </c>
      <c r="H72" s="43">
        <v>277.38</v>
      </c>
      <c r="I72" s="43">
        <v>47.77</v>
      </c>
      <c r="J72" s="17"/>
    </row>
    <row r="73">
      <c r="A73" s="22">
        <v>69.0</v>
      </c>
      <c r="B73" s="37" t="s">
        <v>207</v>
      </c>
      <c r="C73" s="43">
        <v>15.14</v>
      </c>
      <c r="D73" s="43">
        <v>23.93</v>
      </c>
      <c r="E73" s="26" t="s">
        <v>148</v>
      </c>
      <c r="F73" s="43">
        <v>0.03</v>
      </c>
      <c r="G73" s="26" t="s">
        <v>148</v>
      </c>
      <c r="H73" s="43">
        <v>298.7</v>
      </c>
      <c r="I73" s="43">
        <v>39.1</v>
      </c>
      <c r="J73" s="17"/>
    </row>
    <row r="74">
      <c r="A74" s="22">
        <v>70.0</v>
      </c>
      <c r="B74" s="37" t="s">
        <v>208</v>
      </c>
      <c r="C74" s="43">
        <v>33.67</v>
      </c>
      <c r="D74" s="26" t="s">
        <v>148</v>
      </c>
      <c r="E74" s="26" t="s">
        <v>148</v>
      </c>
      <c r="F74" s="26" t="s">
        <v>148</v>
      </c>
      <c r="G74" s="26" t="s">
        <v>148</v>
      </c>
      <c r="H74" s="43">
        <v>148.86</v>
      </c>
      <c r="I74" s="43">
        <v>33.67</v>
      </c>
      <c r="J74" s="17"/>
    </row>
    <row r="75">
      <c r="A75" s="22">
        <v>71.0</v>
      </c>
      <c r="B75" s="37" t="s">
        <v>209</v>
      </c>
      <c r="C75" s="43">
        <v>9.16</v>
      </c>
      <c r="D75" s="26" t="s">
        <v>148</v>
      </c>
      <c r="E75" s="43">
        <v>0.3</v>
      </c>
      <c r="F75" s="43">
        <v>21.98</v>
      </c>
      <c r="G75" s="43">
        <v>1.93</v>
      </c>
      <c r="H75" s="43">
        <v>257.16</v>
      </c>
      <c r="I75" s="43">
        <v>33.37</v>
      </c>
      <c r="J75" s="17"/>
    </row>
    <row r="76">
      <c r="A76" s="22">
        <v>72.0</v>
      </c>
      <c r="B76" s="37" t="s">
        <v>210</v>
      </c>
      <c r="C76" s="43">
        <v>25.35</v>
      </c>
      <c r="D76" s="43">
        <v>0.006</v>
      </c>
      <c r="E76" s="43">
        <v>0.36</v>
      </c>
      <c r="F76" s="43">
        <v>6.97</v>
      </c>
      <c r="G76" s="43">
        <v>0.04</v>
      </c>
      <c r="H76" s="43">
        <v>209.35</v>
      </c>
      <c r="I76" s="43">
        <v>32.72</v>
      </c>
      <c r="J76" s="17"/>
    </row>
    <row r="77">
      <c r="A77" s="22">
        <v>73.0</v>
      </c>
      <c r="B77" s="37" t="s">
        <v>211</v>
      </c>
      <c r="C77" s="43">
        <v>18.05</v>
      </c>
      <c r="D77" s="43">
        <v>2.86</v>
      </c>
      <c r="E77" s="43">
        <v>3.09</v>
      </c>
      <c r="F77" s="43">
        <v>5.57</v>
      </c>
      <c r="G77" s="43">
        <v>2.88</v>
      </c>
      <c r="H77" s="43">
        <v>211.05</v>
      </c>
      <c r="I77" s="43">
        <v>32.45</v>
      </c>
      <c r="J77" s="17"/>
    </row>
    <row r="78">
      <c r="A78" s="22">
        <v>74.0</v>
      </c>
      <c r="B78" s="37" t="s">
        <v>212</v>
      </c>
      <c r="C78" s="43">
        <v>31.59</v>
      </c>
      <c r="D78" s="43">
        <v>0.33</v>
      </c>
      <c r="E78" s="43">
        <v>0.02</v>
      </c>
      <c r="F78" s="26" t="s">
        <v>148</v>
      </c>
      <c r="G78" s="43">
        <v>0.27</v>
      </c>
      <c r="H78" s="43">
        <v>180.66</v>
      </c>
      <c r="I78" s="43">
        <v>32.2</v>
      </c>
      <c r="J78" s="17"/>
    </row>
    <row r="79">
      <c r="A79" s="22">
        <v>75.0</v>
      </c>
      <c r="B79" s="37" t="s">
        <v>213</v>
      </c>
      <c r="C79" s="43">
        <v>28.05</v>
      </c>
      <c r="D79" s="43">
        <v>1.07</v>
      </c>
      <c r="E79" s="43">
        <v>1.35</v>
      </c>
      <c r="F79" s="43">
        <v>0.08</v>
      </c>
      <c r="G79" s="43">
        <v>0.9</v>
      </c>
      <c r="H79" s="43">
        <v>175.91</v>
      </c>
      <c r="I79" s="43">
        <v>31.45</v>
      </c>
      <c r="J79" s="17"/>
    </row>
    <row r="80">
      <c r="A80" s="22">
        <v>76.0</v>
      </c>
      <c r="B80" s="37" t="s">
        <v>214</v>
      </c>
      <c r="C80" s="43">
        <v>27.46</v>
      </c>
      <c r="D80" s="43">
        <v>0.003</v>
      </c>
      <c r="E80" s="43">
        <v>0.002</v>
      </c>
      <c r="F80" s="43">
        <v>1.72</v>
      </c>
      <c r="G80" s="43">
        <v>0.003</v>
      </c>
      <c r="H80" s="43">
        <v>164.41</v>
      </c>
      <c r="I80" s="43">
        <v>29.19</v>
      </c>
      <c r="J80" s="17"/>
    </row>
    <row r="81">
      <c r="A81" s="22">
        <v>77.0</v>
      </c>
      <c r="B81" s="37" t="s">
        <v>215</v>
      </c>
      <c r="C81" s="43">
        <v>9.08</v>
      </c>
      <c r="D81" s="43">
        <v>2.02</v>
      </c>
      <c r="E81" s="43">
        <v>0.1</v>
      </c>
      <c r="F81" s="43">
        <v>7.45</v>
      </c>
      <c r="G81" s="43">
        <v>10.37</v>
      </c>
      <c r="H81" s="43">
        <v>212.54</v>
      </c>
      <c r="I81" s="43">
        <v>29.02</v>
      </c>
      <c r="J81" s="17"/>
    </row>
    <row r="82">
      <c r="A82" s="22">
        <v>78.0</v>
      </c>
      <c r="B82" s="37" t="s">
        <v>216</v>
      </c>
      <c r="C82" s="43">
        <v>27.12</v>
      </c>
      <c r="D82" s="43">
        <v>0.03</v>
      </c>
      <c r="E82" s="43">
        <v>0.12</v>
      </c>
      <c r="F82" s="43">
        <v>0.01</v>
      </c>
      <c r="G82" s="43">
        <v>0.02</v>
      </c>
      <c r="H82" s="43">
        <v>142.68</v>
      </c>
      <c r="I82" s="43">
        <v>27.3</v>
      </c>
      <c r="J82" s="17"/>
    </row>
    <row r="83">
      <c r="A83" s="22">
        <v>79.0</v>
      </c>
      <c r="B83" s="37" t="s">
        <v>217</v>
      </c>
      <c r="C83" s="43">
        <v>18.3</v>
      </c>
      <c r="D83" s="43">
        <v>0.59</v>
      </c>
      <c r="E83" s="43">
        <v>0.003</v>
      </c>
      <c r="F83" s="43">
        <v>5.27</v>
      </c>
      <c r="G83" s="43">
        <v>0.04</v>
      </c>
      <c r="H83" s="43">
        <v>157.81</v>
      </c>
      <c r="I83" s="43">
        <v>24.2</v>
      </c>
      <c r="J83" s="17"/>
    </row>
    <row r="84">
      <c r="A84" s="22">
        <v>80.0</v>
      </c>
      <c r="B84" s="37" t="s">
        <v>218</v>
      </c>
      <c r="C84" s="43">
        <v>21.86</v>
      </c>
      <c r="D84" s="43">
        <v>0.3</v>
      </c>
      <c r="E84" s="43">
        <v>0.05</v>
      </c>
      <c r="F84" s="43">
        <v>0.2</v>
      </c>
      <c r="G84" s="26" t="s">
        <v>148</v>
      </c>
      <c r="H84" s="43">
        <v>103.84</v>
      </c>
      <c r="I84" s="43">
        <v>22.41</v>
      </c>
      <c r="J84" s="17"/>
    </row>
    <row r="85">
      <c r="A85" s="22">
        <v>81.0</v>
      </c>
      <c r="B85" s="37" t="s">
        <v>219</v>
      </c>
      <c r="C85" s="43">
        <v>15.5</v>
      </c>
      <c r="D85" s="43">
        <v>0.21</v>
      </c>
      <c r="E85" s="43">
        <v>0.32</v>
      </c>
      <c r="F85" s="43">
        <v>0.6</v>
      </c>
      <c r="G85" s="43">
        <v>1.14</v>
      </c>
      <c r="H85" s="43">
        <v>101.36</v>
      </c>
      <c r="I85" s="43">
        <v>17.77</v>
      </c>
      <c r="J85" s="17"/>
    </row>
    <row r="86">
      <c r="A86" s="22">
        <v>82.0</v>
      </c>
      <c r="B86" s="37" t="s">
        <v>220</v>
      </c>
      <c r="C86" s="43">
        <v>15.66</v>
      </c>
      <c r="D86" s="43">
        <v>0.01</v>
      </c>
      <c r="E86" s="26" t="s">
        <v>148</v>
      </c>
      <c r="F86" s="26" t="s">
        <v>148</v>
      </c>
      <c r="G86" s="26" t="s">
        <v>148</v>
      </c>
      <c r="H86" s="43">
        <v>112.67</v>
      </c>
      <c r="I86" s="43">
        <v>15.67</v>
      </c>
      <c r="J86" s="17"/>
    </row>
    <row r="87">
      <c r="A87" s="22">
        <v>83.0</v>
      </c>
      <c r="B87" s="37" t="s">
        <v>221</v>
      </c>
      <c r="C87" s="43">
        <v>5.64</v>
      </c>
      <c r="D87" s="43">
        <v>0.81</v>
      </c>
      <c r="E87" s="43">
        <v>7.98</v>
      </c>
      <c r="F87" s="43">
        <v>0.7</v>
      </c>
      <c r="G87" s="43">
        <v>0.13</v>
      </c>
      <c r="H87" s="43">
        <v>116.08</v>
      </c>
      <c r="I87" s="43">
        <v>15.26</v>
      </c>
      <c r="J87" s="17"/>
    </row>
    <row r="88">
      <c r="A88" s="22">
        <v>84.0</v>
      </c>
      <c r="B88" s="37" t="s">
        <v>222</v>
      </c>
      <c r="C88" s="43">
        <v>14.7</v>
      </c>
      <c r="D88" s="26" t="s">
        <v>148</v>
      </c>
      <c r="E88" s="26" t="s">
        <v>148</v>
      </c>
      <c r="F88" s="43">
        <v>0.13</v>
      </c>
      <c r="G88" s="26" t="s">
        <v>148</v>
      </c>
      <c r="H88" s="43">
        <v>66.61</v>
      </c>
      <c r="I88" s="43">
        <v>14.84</v>
      </c>
      <c r="J88" s="17"/>
    </row>
    <row r="89">
      <c r="A89" s="22">
        <v>85.0</v>
      </c>
      <c r="B89" s="37" t="s">
        <v>223</v>
      </c>
      <c r="C89" s="43">
        <v>12.94</v>
      </c>
      <c r="D89" s="43">
        <v>0.11</v>
      </c>
      <c r="E89" s="43">
        <v>0.09</v>
      </c>
      <c r="F89" s="43">
        <v>0.04</v>
      </c>
      <c r="G89" s="43">
        <v>0.05</v>
      </c>
      <c r="H89" s="43">
        <v>79.78</v>
      </c>
      <c r="I89" s="43">
        <v>13.23</v>
      </c>
      <c r="J89" s="17"/>
    </row>
    <row r="90">
      <c r="A90" s="22">
        <v>86.0</v>
      </c>
      <c r="B90" s="37" t="s">
        <v>224</v>
      </c>
      <c r="C90" s="43">
        <v>10.17</v>
      </c>
      <c r="D90" s="43">
        <v>0.004</v>
      </c>
      <c r="E90" s="43">
        <v>0.3</v>
      </c>
      <c r="F90" s="43">
        <v>2.26</v>
      </c>
      <c r="G90" s="43">
        <v>0.04</v>
      </c>
      <c r="H90" s="43">
        <v>88.93</v>
      </c>
      <c r="I90" s="43">
        <v>12.78</v>
      </c>
      <c r="J90" s="17"/>
    </row>
    <row r="91">
      <c r="A91" s="22">
        <v>87.0</v>
      </c>
      <c r="B91" s="37" t="s">
        <v>225</v>
      </c>
      <c r="C91" s="43">
        <v>12.01</v>
      </c>
      <c r="D91" s="43">
        <v>0.26</v>
      </c>
      <c r="E91" s="43">
        <v>0.03</v>
      </c>
      <c r="F91" s="26" t="s">
        <v>148</v>
      </c>
      <c r="G91" s="43">
        <v>0.33</v>
      </c>
      <c r="H91" s="43">
        <v>73.8</v>
      </c>
      <c r="I91" s="43">
        <v>12.64</v>
      </c>
      <c r="J91" s="17"/>
    </row>
    <row r="92">
      <c r="A92" s="22">
        <v>88.0</v>
      </c>
      <c r="B92" s="37" t="s">
        <v>226</v>
      </c>
      <c r="C92" s="43">
        <v>9.78</v>
      </c>
      <c r="D92" s="43">
        <v>0.09</v>
      </c>
      <c r="E92" s="43">
        <v>0.1</v>
      </c>
      <c r="F92" s="43">
        <v>1.11</v>
      </c>
      <c r="G92" s="43">
        <v>0.82</v>
      </c>
      <c r="H92" s="43">
        <v>81.03</v>
      </c>
      <c r="I92" s="43">
        <v>11.9</v>
      </c>
      <c r="J92" s="17"/>
    </row>
    <row r="93">
      <c r="A93" s="22">
        <v>89.0</v>
      </c>
      <c r="B93" s="37" t="s">
        <v>227</v>
      </c>
      <c r="C93" s="43">
        <v>10.27</v>
      </c>
      <c r="D93" s="43">
        <v>0.18</v>
      </c>
      <c r="E93" s="43">
        <v>0.61</v>
      </c>
      <c r="F93" s="43">
        <v>0.25</v>
      </c>
      <c r="G93" s="43">
        <v>0.18</v>
      </c>
      <c r="H93" s="43">
        <v>75.41</v>
      </c>
      <c r="I93" s="43">
        <v>11.5</v>
      </c>
      <c r="J93" s="17"/>
    </row>
    <row r="94">
      <c r="A94" s="22">
        <v>90.0</v>
      </c>
      <c r="B94" s="37" t="s">
        <v>228</v>
      </c>
      <c r="C94" s="43">
        <v>11.08</v>
      </c>
      <c r="D94" s="43">
        <v>0.05</v>
      </c>
      <c r="E94" s="43">
        <v>0.06</v>
      </c>
      <c r="F94" s="43">
        <v>0.06</v>
      </c>
      <c r="G94" s="43">
        <v>0.002</v>
      </c>
      <c r="H94" s="43">
        <v>75.23</v>
      </c>
      <c r="I94" s="43">
        <v>11.25</v>
      </c>
      <c r="J94" s="17"/>
    </row>
    <row r="95">
      <c r="A95" s="22">
        <v>91.0</v>
      </c>
      <c r="B95" s="37" t="s">
        <v>229</v>
      </c>
      <c r="C95" s="43">
        <v>10.65</v>
      </c>
      <c r="D95" s="43">
        <v>0.43</v>
      </c>
      <c r="E95" s="26" t="s">
        <v>148</v>
      </c>
      <c r="F95" s="26" t="s">
        <v>148</v>
      </c>
      <c r="G95" s="26" t="s">
        <v>148</v>
      </c>
      <c r="H95" s="43">
        <v>82.4</v>
      </c>
      <c r="I95" s="43">
        <v>11.08</v>
      </c>
      <c r="J95" s="17"/>
    </row>
    <row r="96">
      <c r="A96" s="22">
        <v>92.0</v>
      </c>
      <c r="B96" s="37" t="s">
        <v>230</v>
      </c>
      <c r="C96" s="43">
        <v>2.38</v>
      </c>
      <c r="D96" s="26" t="s">
        <v>148</v>
      </c>
      <c r="E96" s="43">
        <v>0.93</v>
      </c>
      <c r="F96" s="43">
        <v>5.91</v>
      </c>
      <c r="G96" s="43">
        <v>1.79</v>
      </c>
      <c r="H96" s="43">
        <v>88.02</v>
      </c>
      <c r="I96" s="43">
        <v>11.01</v>
      </c>
      <c r="J96" s="17"/>
    </row>
    <row r="97">
      <c r="A97" s="22">
        <v>93.0</v>
      </c>
      <c r="B97" s="37" t="s">
        <v>231</v>
      </c>
      <c r="C97" s="43">
        <v>10.35</v>
      </c>
      <c r="D97" s="43">
        <v>0.006</v>
      </c>
      <c r="E97" s="26" t="s">
        <v>148</v>
      </c>
      <c r="F97" s="26" t="s">
        <v>148</v>
      </c>
      <c r="G97" s="43">
        <v>0.01</v>
      </c>
      <c r="H97" s="43">
        <v>47.76</v>
      </c>
      <c r="I97" s="43">
        <v>10.37</v>
      </c>
      <c r="J97" s="17"/>
    </row>
    <row r="98">
      <c r="A98" s="22">
        <v>94.0</v>
      </c>
      <c r="B98" s="37" t="s">
        <v>232</v>
      </c>
      <c r="C98" s="43">
        <v>0.003</v>
      </c>
      <c r="D98" s="26" t="s">
        <v>148</v>
      </c>
      <c r="E98" s="43">
        <v>4.0E-5</v>
      </c>
      <c r="F98" s="26" t="s">
        <v>148</v>
      </c>
      <c r="G98" s="43">
        <v>9.65</v>
      </c>
      <c r="H98" s="43">
        <v>86.93</v>
      </c>
      <c r="I98" s="43">
        <v>9.65</v>
      </c>
      <c r="J98" s="17"/>
    </row>
    <row r="99">
      <c r="A99" s="22">
        <v>95.0</v>
      </c>
      <c r="B99" s="37" t="s">
        <v>233</v>
      </c>
      <c r="C99" s="43">
        <v>1.64</v>
      </c>
      <c r="D99" s="43">
        <v>0.77</v>
      </c>
      <c r="E99" s="43">
        <v>1.19</v>
      </c>
      <c r="F99" s="43">
        <v>5.44</v>
      </c>
      <c r="G99" s="43">
        <v>0.52</v>
      </c>
      <c r="H99" s="43">
        <v>77.61</v>
      </c>
      <c r="I99" s="43">
        <v>9.56</v>
      </c>
      <c r="J99" s="17"/>
    </row>
    <row r="100">
      <c r="A100" s="22">
        <v>96.0</v>
      </c>
      <c r="B100" s="37" t="s">
        <v>234</v>
      </c>
      <c r="C100" s="43">
        <v>9.01</v>
      </c>
      <c r="D100" s="43">
        <v>0.003</v>
      </c>
      <c r="E100" s="26" t="s">
        <v>148</v>
      </c>
      <c r="F100" s="26" t="s">
        <v>148</v>
      </c>
      <c r="G100" s="26" t="s">
        <v>148</v>
      </c>
      <c r="H100" s="43">
        <v>36.16</v>
      </c>
      <c r="I100" s="43">
        <v>9.02</v>
      </c>
      <c r="J100" s="17"/>
    </row>
    <row r="101">
      <c r="A101" s="22">
        <v>97.0</v>
      </c>
      <c r="B101" s="37" t="s">
        <v>235</v>
      </c>
      <c r="C101" s="43">
        <v>3.29</v>
      </c>
      <c r="D101" s="43">
        <v>0.02</v>
      </c>
      <c r="E101" s="43">
        <v>1.21</v>
      </c>
      <c r="F101" s="43">
        <v>2.41</v>
      </c>
      <c r="G101" s="43">
        <v>1.69</v>
      </c>
      <c r="H101" s="43">
        <v>63.65</v>
      </c>
      <c r="I101" s="43">
        <v>8.63</v>
      </c>
      <c r="J101" s="17"/>
    </row>
    <row r="102">
      <c r="A102" s="22">
        <v>98.0</v>
      </c>
      <c r="B102" s="37" t="s">
        <v>236</v>
      </c>
      <c r="C102" s="43">
        <v>7.75</v>
      </c>
      <c r="D102" s="43">
        <v>0.12</v>
      </c>
      <c r="E102" s="43">
        <v>0.001</v>
      </c>
      <c r="F102" s="43">
        <v>0.07</v>
      </c>
      <c r="G102" s="43">
        <v>0.07</v>
      </c>
      <c r="H102" s="43">
        <v>43.24</v>
      </c>
      <c r="I102" s="43">
        <v>8.02</v>
      </c>
      <c r="J102" s="17"/>
    </row>
    <row r="103">
      <c r="A103" s="22">
        <v>99.0</v>
      </c>
      <c r="B103" s="37" t="s">
        <v>237</v>
      </c>
      <c r="C103" s="43">
        <v>7.16</v>
      </c>
      <c r="D103" s="26" t="s">
        <v>148</v>
      </c>
      <c r="E103" s="26" t="s">
        <v>148</v>
      </c>
      <c r="F103" s="43">
        <v>0.38</v>
      </c>
      <c r="G103" s="26" t="s">
        <v>148</v>
      </c>
      <c r="H103" s="43">
        <v>39.35</v>
      </c>
      <c r="I103" s="43">
        <v>7.54</v>
      </c>
      <c r="J103" s="17"/>
    </row>
    <row r="104">
      <c r="A104" s="22">
        <v>100.0</v>
      </c>
      <c r="B104" s="37" t="s">
        <v>241</v>
      </c>
      <c r="C104" s="43">
        <v>2.91</v>
      </c>
      <c r="D104" s="26" t="s">
        <v>148</v>
      </c>
      <c r="E104" s="26" t="s">
        <v>148</v>
      </c>
      <c r="F104" s="43">
        <v>0.002</v>
      </c>
      <c r="G104" s="43">
        <v>3.04</v>
      </c>
      <c r="H104" s="43">
        <v>47.1</v>
      </c>
      <c r="I104" s="43">
        <v>5.95</v>
      </c>
      <c r="J104" s="17"/>
    </row>
    <row r="105">
      <c r="A105" s="22">
        <v>101.0</v>
      </c>
      <c r="B105" s="37" t="s">
        <v>264</v>
      </c>
      <c r="C105" s="43">
        <v>5.61</v>
      </c>
      <c r="D105" s="26" t="s">
        <v>148</v>
      </c>
      <c r="E105" s="26" t="s">
        <v>148</v>
      </c>
      <c r="F105" s="26" t="s">
        <v>148</v>
      </c>
      <c r="G105" s="26" t="s">
        <v>148</v>
      </c>
      <c r="H105" s="43">
        <v>36.22</v>
      </c>
      <c r="I105" s="43">
        <v>5.61</v>
      </c>
      <c r="J105" s="17"/>
    </row>
    <row r="106">
      <c r="A106" s="22">
        <v>102.0</v>
      </c>
      <c r="B106" s="37" t="s">
        <v>279</v>
      </c>
      <c r="C106" s="43">
        <v>5.33</v>
      </c>
      <c r="D106" s="43">
        <v>0.16</v>
      </c>
      <c r="E106" s="43">
        <v>0.001</v>
      </c>
      <c r="F106" s="26" t="s">
        <v>148</v>
      </c>
      <c r="G106" s="26" t="s">
        <v>148</v>
      </c>
      <c r="H106" s="43">
        <v>28.28</v>
      </c>
      <c r="I106" s="43">
        <v>5.49</v>
      </c>
      <c r="J106" s="17"/>
    </row>
    <row r="107">
      <c r="A107" s="22">
        <v>103.0</v>
      </c>
      <c r="B107" s="37" t="s">
        <v>281</v>
      </c>
      <c r="C107" s="43">
        <v>4.1</v>
      </c>
      <c r="D107" s="43">
        <v>0.9</v>
      </c>
      <c r="E107" s="26" t="s">
        <v>148</v>
      </c>
      <c r="F107" s="43">
        <v>0.01</v>
      </c>
      <c r="G107" s="43">
        <v>0.24</v>
      </c>
      <c r="H107" s="43">
        <v>34.77</v>
      </c>
      <c r="I107" s="43">
        <v>5.25</v>
      </c>
      <c r="J107" s="17"/>
    </row>
    <row r="108">
      <c r="A108" s="22">
        <v>104.0</v>
      </c>
      <c r="B108" s="37" t="s">
        <v>283</v>
      </c>
      <c r="C108" s="43">
        <v>5.11</v>
      </c>
      <c r="D108" s="26" t="s">
        <v>148</v>
      </c>
      <c r="E108" s="26" t="s">
        <v>148</v>
      </c>
      <c r="F108" s="26" t="s">
        <v>148</v>
      </c>
      <c r="G108" s="26" t="s">
        <v>148</v>
      </c>
      <c r="H108" s="43">
        <v>22.59</v>
      </c>
      <c r="I108" s="43">
        <v>5.11</v>
      </c>
      <c r="J108" s="17"/>
    </row>
    <row r="109">
      <c r="A109" s="22">
        <v>105.0</v>
      </c>
      <c r="B109" s="37" t="s">
        <v>286</v>
      </c>
      <c r="C109" s="43">
        <v>4.96</v>
      </c>
      <c r="D109" s="26" t="s">
        <v>148</v>
      </c>
      <c r="E109" s="26" t="s">
        <v>148</v>
      </c>
      <c r="F109" s="26" t="s">
        <v>148</v>
      </c>
      <c r="G109" s="26" t="s">
        <v>148</v>
      </c>
      <c r="H109" s="43">
        <v>23.99</v>
      </c>
      <c r="I109" s="43">
        <v>4.96</v>
      </c>
      <c r="J109" s="17"/>
    </row>
    <row r="110">
      <c r="A110" s="22">
        <v>106.0</v>
      </c>
      <c r="B110" s="37" t="s">
        <v>288</v>
      </c>
      <c r="C110" s="43">
        <v>2.99</v>
      </c>
      <c r="D110" s="26" t="s">
        <v>148</v>
      </c>
      <c r="E110" s="43">
        <v>0.47</v>
      </c>
      <c r="F110" s="43">
        <v>0.2</v>
      </c>
      <c r="G110" s="43">
        <v>0.64</v>
      </c>
      <c r="H110" s="43">
        <v>28.16</v>
      </c>
      <c r="I110" s="43">
        <v>4.28</v>
      </c>
      <c r="J110" s="17"/>
    </row>
    <row r="111">
      <c r="A111" s="22">
        <v>107.0</v>
      </c>
      <c r="B111" s="37" t="s">
        <v>290</v>
      </c>
      <c r="C111" s="43">
        <v>3.52</v>
      </c>
      <c r="D111" s="43">
        <v>0.09</v>
      </c>
      <c r="E111" s="43">
        <v>0.28</v>
      </c>
      <c r="F111" s="43">
        <v>0.17</v>
      </c>
      <c r="G111" s="43">
        <v>0.13</v>
      </c>
      <c r="H111" s="43">
        <v>28.62</v>
      </c>
      <c r="I111" s="43">
        <v>4.18</v>
      </c>
      <c r="J111" s="17"/>
    </row>
    <row r="112">
      <c r="A112" s="22">
        <v>108.0</v>
      </c>
      <c r="B112" s="37" t="s">
        <v>292</v>
      </c>
      <c r="C112" s="43">
        <v>3.58</v>
      </c>
      <c r="D112" s="43">
        <v>0.07</v>
      </c>
      <c r="E112" s="43">
        <v>0.02</v>
      </c>
      <c r="F112" s="43">
        <v>0.07</v>
      </c>
      <c r="G112" s="43">
        <v>0.27</v>
      </c>
      <c r="H112" s="43">
        <v>24.65</v>
      </c>
      <c r="I112" s="43">
        <v>4.01</v>
      </c>
      <c r="J112" s="17"/>
    </row>
    <row r="113">
      <c r="A113" s="22">
        <v>109.0</v>
      </c>
      <c r="B113" s="37" t="s">
        <v>294</v>
      </c>
      <c r="C113" s="43">
        <v>1.46</v>
      </c>
      <c r="D113" s="43">
        <v>0.89</v>
      </c>
      <c r="E113" s="43">
        <v>0.29</v>
      </c>
      <c r="F113" s="43">
        <v>0.39</v>
      </c>
      <c r="G113" s="43">
        <v>0.89</v>
      </c>
      <c r="H113" s="43">
        <v>30.58</v>
      </c>
      <c r="I113" s="43">
        <v>3.92</v>
      </c>
      <c r="J113" s="17"/>
    </row>
    <row r="114">
      <c r="A114" s="22">
        <v>110.0</v>
      </c>
      <c r="B114" s="37" t="s">
        <v>296</v>
      </c>
      <c r="C114" s="43">
        <v>3.08</v>
      </c>
      <c r="D114" s="26" t="s">
        <v>148</v>
      </c>
      <c r="E114" s="43">
        <v>0.66</v>
      </c>
      <c r="F114" s="43">
        <v>0.02</v>
      </c>
      <c r="G114" s="43">
        <v>9.0E-4</v>
      </c>
      <c r="H114" s="43">
        <v>27.17</v>
      </c>
      <c r="I114" s="43">
        <v>3.77</v>
      </c>
      <c r="J114" s="17"/>
    </row>
    <row r="115">
      <c r="A115" s="22">
        <v>111.0</v>
      </c>
      <c r="B115" s="37" t="s">
        <v>298</v>
      </c>
      <c r="C115" s="43">
        <v>3.14</v>
      </c>
      <c r="D115" s="43">
        <v>0.1</v>
      </c>
      <c r="E115" s="43">
        <v>0.04</v>
      </c>
      <c r="F115" s="43">
        <v>0.007</v>
      </c>
      <c r="G115" s="43">
        <v>0.18</v>
      </c>
      <c r="H115" s="43">
        <v>22.12</v>
      </c>
      <c r="I115" s="43">
        <v>3.46</v>
      </c>
      <c r="J115" s="17"/>
    </row>
    <row r="116">
      <c r="A116" s="22">
        <v>112.0</v>
      </c>
      <c r="B116" s="37" t="s">
        <v>300</v>
      </c>
      <c r="C116" s="43">
        <v>3.2</v>
      </c>
      <c r="D116" s="26" t="s">
        <v>148</v>
      </c>
      <c r="E116" s="26" t="s">
        <v>148</v>
      </c>
      <c r="F116" s="26" t="s">
        <v>148</v>
      </c>
      <c r="G116" s="26" t="s">
        <v>148</v>
      </c>
      <c r="H116" s="43">
        <v>18.94</v>
      </c>
      <c r="I116" s="43">
        <v>3.2</v>
      </c>
      <c r="J116" s="17"/>
    </row>
    <row r="117">
      <c r="A117" s="22">
        <v>113.0</v>
      </c>
      <c r="B117" s="37" t="s">
        <v>302</v>
      </c>
      <c r="C117" s="43">
        <v>3.16</v>
      </c>
      <c r="D117" s="26" t="s">
        <v>148</v>
      </c>
      <c r="E117" s="26" t="s">
        <v>148</v>
      </c>
      <c r="F117" s="26" t="s">
        <v>148</v>
      </c>
      <c r="G117" s="26" t="s">
        <v>148</v>
      </c>
      <c r="H117" s="43">
        <v>21.85</v>
      </c>
      <c r="I117" s="43">
        <v>3.16</v>
      </c>
      <c r="J117" s="17"/>
    </row>
    <row r="118">
      <c r="A118" s="22">
        <v>114.0</v>
      </c>
      <c r="B118" s="37" t="s">
        <v>304</v>
      </c>
      <c r="C118" s="43">
        <v>3.03</v>
      </c>
      <c r="D118" s="26" t="s">
        <v>148</v>
      </c>
      <c r="E118" s="26" t="s">
        <v>148</v>
      </c>
      <c r="F118" s="26" t="s">
        <v>148</v>
      </c>
      <c r="G118" s="26" t="s">
        <v>148</v>
      </c>
      <c r="H118" s="43">
        <v>15.89</v>
      </c>
      <c r="I118" s="43">
        <v>3.03</v>
      </c>
      <c r="J118" s="17"/>
    </row>
    <row r="119">
      <c r="A119" s="22">
        <v>115.0</v>
      </c>
      <c r="B119" s="37" t="s">
        <v>306</v>
      </c>
      <c r="C119" s="43">
        <v>0.43</v>
      </c>
      <c r="D119" s="43">
        <v>0.88</v>
      </c>
      <c r="E119" s="43">
        <v>0.44</v>
      </c>
      <c r="F119" s="43">
        <v>0.75</v>
      </c>
      <c r="G119" s="43">
        <v>0.48</v>
      </c>
      <c r="H119" s="43">
        <v>24.03</v>
      </c>
      <c r="I119" s="43">
        <v>2.97</v>
      </c>
      <c r="J119" s="17"/>
    </row>
    <row r="120">
      <c r="A120" s="22">
        <v>116.0</v>
      </c>
      <c r="B120" s="37" t="s">
        <v>310</v>
      </c>
      <c r="C120" s="43">
        <v>0.5</v>
      </c>
      <c r="D120" s="43">
        <v>0.01</v>
      </c>
      <c r="E120" s="43">
        <v>0.28</v>
      </c>
      <c r="F120" s="43">
        <v>0.02</v>
      </c>
      <c r="G120" s="43">
        <v>2.09</v>
      </c>
      <c r="H120" s="43">
        <v>24.04</v>
      </c>
      <c r="I120" s="43">
        <v>2.9</v>
      </c>
      <c r="J120" s="17"/>
    </row>
    <row r="121">
      <c r="A121" s="22">
        <v>117.0</v>
      </c>
      <c r="B121" s="37" t="s">
        <v>312</v>
      </c>
      <c r="C121" s="43">
        <v>0.06</v>
      </c>
      <c r="D121" s="26" t="s">
        <v>148</v>
      </c>
      <c r="E121" s="26" t="s">
        <v>148</v>
      </c>
      <c r="F121" s="26" t="s">
        <v>148</v>
      </c>
      <c r="G121" s="43">
        <v>2.69</v>
      </c>
      <c r="H121" s="43">
        <v>23.52</v>
      </c>
      <c r="I121" s="43">
        <v>2.75</v>
      </c>
      <c r="J121" s="17"/>
    </row>
    <row r="122">
      <c r="A122" s="22">
        <v>118.0</v>
      </c>
      <c r="B122" s="37" t="s">
        <v>314</v>
      </c>
      <c r="C122" s="43">
        <v>2.57</v>
      </c>
      <c r="D122" s="26" t="s">
        <v>148</v>
      </c>
      <c r="E122" s="26" t="s">
        <v>148</v>
      </c>
      <c r="F122" s="26" t="s">
        <v>148</v>
      </c>
      <c r="G122" s="26" t="s">
        <v>148</v>
      </c>
      <c r="H122" s="43">
        <v>17.41</v>
      </c>
      <c r="I122" s="43">
        <v>2.57</v>
      </c>
      <c r="J122" s="17"/>
    </row>
    <row r="123">
      <c r="A123" s="22">
        <v>119.0</v>
      </c>
      <c r="B123" s="37" t="s">
        <v>315</v>
      </c>
      <c r="C123" s="43">
        <v>0.79</v>
      </c>
      <c r="D123" s="43">
        <v>0.2</v>
      </c>
      <c r="E123" s="43">
        <v>0.26</v>
      </c>
      <c r="F123" s="43">
        <v>0.09</v>
      </c>
      <c r="G123" s="43">
        <v>0.91</v>
      </c>
      <c r="H123" s="43">
        <v>17.98</v>
      </c>
      <c r="I123" s="43">
        <v>2.25</v>
      </c>
      <c r="J123" s="17"/>
    </row>
    <row r="124">
      <c r="A124" s="22">
        <v>120.0</v>
      </c>
      <c r="B124" s="37" t="s">
        <v>317</v>
      </c>
      <c r="C124" s="43">
        <v>1.95</v>
      </c>
      <c r="D124" s="26" t="s">
        <v>148</v>
      </c>
      <c r="E124" s="26" t="s">
        <v>148</v>
      </c>
      <c r="F124" s="43">
        <v>0.002</v>
      </c>
      <c r="G124" s="43">
        <v>0.001</v>
      </c>
      <c r="H124" s="43">
        <v>8.23</v>
      </c>
      <c r="I124" s="43">
        <v>1.95</v>
      </c>
      <c r="J124" s="17"/>
    </row>
    <row r="125">
      <c r="A125" s="22">
        <v>121.0</v>
      </c>
      <c r="B125" s="37" t="s">
        <v>319</v>
      </c>
      <c r="C125" s="43">
        <v>1.52</v>
      </c>
      <c r="D125" s="26" t="s">
        <v>148</v>
      </c>
      <c r="E125" s="26" t="s">
        <v>148</v>
      </c>
      <c r="F125" s="26" t="s">
        <v>148</v>
      </c>
      <c r="G125" s="26" t="s">
        <v>148</v>
      </c>
      <c r="H125" s="43">
        <v>9.43</v>
      </c>
      <c r="I125" s="43">
        <v>1.52</v>
      </c>
      <c r="J125" s="17"/>
    </row>
    <row r="126">
      <c r="A126" s="22">
        <v>122.0</v>
      </c>
      <c r="B126" s="37" t="s">
        <v>322</v>
      </c>
      <c r="C126" s="43">
        <v>1.37</v>
      </c>
      <c r="D126" s="26" t="s">
        <v>148</v>
      </c>
      <c r="E126" s="26" t="s">
        <v>148</v>
      </c>
      <c r="F126" s="26" t="s">
        <v>148</v>
      </c>
      <c r="G126" s="26" t="s">
        <v>148</v>
      </c>
      <c r="H126" s="43">
        <v>8.98</v>
      </c>
      <c r="I126" s="43">
        <v>1.37</v>
      </c>
      <c r="J126" s="17"/>
    </row>
    <row r="127">
      <c r="A127" s="22">
        <v>123.0</v>
      </c>
      <c r="B127" s="37" t="s">
        <v>325</v>
      </c>
      <c r="C127" s="43">
        <v>0.57</v>
      </c>
      <c r="D127" s="43">
        <v>0.001</v>
      </c>
      <c r="E127" s="26" t="s">
        <v>148</v>
      </c>
      <c r="F127" s="43">
        <v>0.06</v>
      </c>
      <c r="G127" s="43">
        <v>0.62</v>
      </c>
      <c r="H127" s="43">
        <v>8.7</v>
      </c>
      <c r="I127" s="43">
        <v>1.25</v>
      </c>
      <c r="J127" s="17"/>
    </row>
    <row r="128">
      <c r="A128" s="22">
        <v>124.0</v>
      </c>
      <c r="B128" s="37" t="s">
        <v>328</v>
      </c>
      <c r="C128" s="43">
        <v>0.002</v>
      </c>
      <c r="D128" s="26" t="s">
        <v>148</v>
      </c>
      <c r="E128" s="43">
        <v>0.001</v>
      </c>
      <c r="F128" s="43">
        <v>0.02</v>
      </c>
      <c r="G128" s="43">
        <v>1.17</v>
      </c>
      <c r="H128" s="43">
        <v>10.32</v>
      </c>
      <c r="I128" s="43">
        <v>1.19</v>
      </c>
      <c r="J128" s="17"/>
    </row>
    <row r="129">
      <c r="A129" s="22">
        <v>125.0</v>
      </c>
      <c r="B129" s="37" t="s">
        <v>329</v>
      </c>
      <c r="C129" s="43">
        <v>1.17</v>
      </c>
      <c r="D129" s="26" t="s">
        <v>148</v>
      </c>
      <c r="E129" s="26" t="s">
        <v>148</v>
      </c>
      <c r="F129" s="26" t="s">
        <v>148</v>
      </c>
      <c r="G129" s="26" t="s">
        <v>148</v>
      </c>
      <c r="H129" s="43">
        <v>8.4</v>
      </c>
      <c r="I129" s="43">
        <v>1.17</v>
      </c>
      <c r="J129" s="17"/>
    </row>
    <row r="130">
      <c r="A130" s="22">
        <v>126.0</v>
      </c>
      <c r="B130" s="37" t="s">
        <v>330</v>
      </c>
      <c r="C130" s="43">
        <v>1.04</v>
      </c>
      <c r="D130" s="26" t="s">
        <v>148</v>
      </c>
      <c r="E130" s="26" t="s">
        <v>148</v>
      </c>
      <c r="F130" s="26" t="s">
        <v>148</v>
      </c>
      <c r="G130" s="26" t="s">
        <v>148</v>
      </c>
      <c r="H130" s="43">
        <v>4.73</v>
      </c>
      <c r="I130" s="43">
        <v>1.04</v>
      </c>
      <c r="J130" s="17"/>
    </row>
    <row r="131">
      <c r="A131" s="22">
        <v>127.0</v>
      </c>
      <c r="B131" s="37" t="s">
        <v>331</v>
      </c>
      <c r="C131" s="43">
        <v>1.0</v>
      </c>
      <c r="D131" s="26" t="s">
        <v>148</v>
      </c>
      <c r="E131" s="26" t="s">
        <v>148</v>
      </c>
      <c r="F131" s="26" t="s">
        <v>148</v>
      </c>
      <c r="G131" s="43">
        <v>6.0E-4</v>
      </c>
      <c r="H131" s="43">
        <v>6.18</v>
      </c>
      <c r="I131" s="43">
        <v>1.0</v>
      </c>
      <c r="J131" s="17"/>
    </row>
    <row r="132">
      <c r="A132" s="22">
        <v>128.0</v>
      </c>
      <c r="B132" s="37" t="s">
        <v>332</v>
      </c>
      <c r="C132" s="43">
        <v>1.0</v>
      </c>
      <c r="D132" s="26" t="s">
        <v>148</v>
      </c>
      <c r="E132" s="26" t="s">
        <v>148</v>
      </c>
      <c r="F132" s="26" t="s">
        <v>148</v>
      </c>
      <c r="G132" s="26" t="s">
        <v>148</v>
      </c>
      <c r="H132" s="43">
        <v>4.6</v>
      </c>
      <c r="I132" s="43">
        <v>1.0</v>
      </c>
      <c r="J132" s="17"/>
    </row>
    <row r="133">
      <c r="A133" s="22">
        <v>129.0</v>
      </c>
      <c r="B133" s="37" t="s">
        <v>333</v>
      </c>
      <c r="C133" s="43">
        <v>0.51</v>
      </c>
      <c r="D133" s="43">
        <v>0.002</v>
      </c>
      <c r="E133" s="43">
        <v>0.002</v>
      </c>
      <c r="F133" s="43">
        <v>0.27</v>
      </c>
      <c r="G133" s="43">
        <v>0.16</v>
      </c>
      <c r="H133" s="43">
        <v>6.53</v>
      </c>
      <c r="I133" s="43">
        <v>0.95</v>
      </c>
      <c r="J133" s="17"/>
    </row>
    <row r="134">
      <c r="A134" s="22">
        <v>130.0</v>
      </c>
      <c r="B134" s="37" t="s">
        <v>334</v>
      </c>
      <c r="C134" s="43">
        <v>0.92</v>
      </c>
      <c r="D134" s="26" t="s">
        <v>148</v>
      </c>
      <c r="E134" s="26" t="s">
        <v>148</v>
      </c>
      <c r="F134" s="26" t="s">
        <v>148</v>
      </c>
      <c r="G134" s="26" t="s">
        <v>148</v>
      </c>
      <c r="H134" s="43">
        <v>5.07</v>
      </c>
      <c r="I134" s="43">
        <v>0.92</v>
      </c>
      <c r="J134" s="17"/>
    </row>
    <row r="135">
      <c r="A135" s="22">
        <v>131.0</v>
      </c>
      <c r="B135" s="37" t="s">
        <v>335</v>
      </c>
      <c r="C135" s="43">
        <v>0.79</v>
      </c>
      <c r="D135" s="26" t="s">
        <v>148</v>
      </c>
      <c r="E135" s="26" t="s">
        <v>148</v>
      </c>
      <c r="F135" s="26" t="s">
        <v>148</v>
      </c>
      <c r="G135" s="26" t="s">
        <v>148</v>
      </c>
      <c r="H135" s="43">
        <v>5.5</v>
      </c>
      <c r="I135" s="43">
        <v>0.79</v>
      </c>
      <c r="J135" s="17"/>
    </row>
    <row r="136">
      <c r="A136" s="22">
        <v>132.0</v>
      </c>
      <c r="B136" s="37" t="s">
        <v>336</v>
      </c>
      <c r="C136" s="43">
        <v>0.71</v>
      </c>
      <c r="D136" s="26" t="s">
        <v>148</v>
      </c>
      <c r="E136" s="43">
        <v>0.05</v>
      </c>
      <c r="F136" s="43">
        <v>0.008</v>
      </c>
      <c r="G136" s="43">
        <v>0.006</v>
      </c>
      <c r="H136" s="43">
        <v>4.22</v>
      </c>
      <c r="I136" s="43">
        <v>0.77</v>
      </c>
      <c r="J136" s="17"/>
    </row>
    <row r="137">
      <c r="A137" s="22">
        <v>133.0</v>
      </c>
      <c r="B137" s="37" t="s">
        <v>337</v>
      </c>
      <c r="C137" s="43">
        <v>0.07</v>
      </c>
      <c r="D137" s="26" t="s">
        <v>148</v>
      </c>
      <c r="E137" s="43">
        <v>0.67</v>
      </c>
      <c r="F137" s="43">
        <v>6.0E-5</v>
      </c>
      <c r="G137" s="43">
        <v>0.002</v>
      </c>
      <c r="H137" s="43">
        <v>6.09</v>
      </c>
      <c r="I137" s="43">
        <v>0.74</v>
      </c>
      <c r="J137" s="17"/>
    </row>
    <row r="138">
      <c r="A138" s="22">
        <v>134.0</v>
      </c>
      <c r="B138" s="37" t="s">
        <v>338</v>
      </c>
      <c r="C138" s="43">
        <v>0.29</v>
      </c>
      <c r="D138" s="26" t="s">
        <v>148</v>
      </c>
      <c r="E138" s="26" t="s">
        <v>148</v>
      </c>
      <c r="F138" s="43">
        <v>0.16</v>
      </c>
      <c r="G138" s="43">
        <v>0.15</v>
      </c>
      <c r="H138" s="43">
        <v>4.1</v>
      </c>
      <c r="I138" s="43">
        <v>0.6</v>
      </c>
      <c r="J138" s="17"/>
    </row>
    <row r="139">
      <c r="A139" s="22">
        <v>135.0</v>
      </c>
      <c r="B139" s="37" t="s">
        <v>339</v>
      </c>
      <c r="C139" s="26" t="s">
        <v>148</v>
      </c>
      <c r="D139" s="43">
        <v>0.26</v>
      </c>
      <c r="E139" s="43">
        <v>0.29</v>
      </c>
      <c r="F139" s="26" t="s">
        <v>148</v>
      </c>
      <c r="G139" s="26" t="s">
        <v>148</v>
      </c>
      <c r="H139" s="43">
        <v>4.39</v>
      </c>
      <c r="I139" s="43">
        <v>0.55</v>
      </c>
      <c r="J139" s="17"/>
    </row>
    <row r="140">
      <c r="A140" s="22">
        <v>136.0</v>
      </c>
      <c r="B140" s="37" t="s">
        <v>340</v>
      </c>
      <c r="C140" s="43">
        <v>0.14</v>
      </c>
      <c r="D140" s="43">
        <v>0.34</v>
      </c>
      <c r="E140" s="43">
        <v>0.06</v>
      </c>
      <c r="F140" s="43">
        <v>0.002</v>
      </c>
      <c r="G140" s="43">
        <v>0.001</v>
      </c>
      <c r="H140" s="43">
        <v>4.26</v>
      </c>
      <c r="I140" s="43">
        <v>0.54</v>
      </c>
      <c r="J140" s="17"/>
    </row>
    <row r="141">
      <c r="A141" s="22">
        <v>137.0</v>
      </c>
      <c r="B141" s="37" t="s">
        <v>342</v>
      </c>
      <c r="C141" s="26" t="s">
        <v>148</v>
      </c>
      <c r="D141" s="26" t="s">
        <v>148</v>
      </c>
      <c r="E141" s="26" t="s">
        <v>148</v>
      </c>
      <c r="F141" s="43">
        <v>0.01</v>
      </c>
      <c r="G141" s="43">
        <v>0.45</v>
      </c>
      <c r="H141" s="43">
        <v>3.94</v>
      </c>
      <c r="I141" s="43">
        <v>0.46</v>
      </c>
      <c r="J141" s="17"/>
    </row>
    <row r="142">
      <c r="A142" s="22">
        <v>138.0</v>
      </c>
      <c r="B142" s="37" t="s">
        <v>348</v>
      </c>
      <c r="C142" s="43">
        <v>0.16</v>
      </c>
      <c r="D142" s="26" t="s">
        <v>148</v>
      </c>
      <c r="E142" s="26" t="s">
        <v>148</v>
      </c>
      <c r="F142" s="26" t="s">
        <v>148</v>
      </c>
      <c r="G142" s="43">
        <v>0.27</v>
      </c>
      <c r="H142" s="43">
        <v>3.53</v>
      </c>
      <c r="I142" s="43">
        <v>0.44</v>
      </c>
      <c r="J142" s="17"/>
    </row>
    <row r="143">
      <c r="A143" s="22">
        <v>139.0</v>
      </c>
      <c r="B143" s="37" t="s">
        <v>349</v>
      </c>
      <c r="C143" s="43">
        <v>0.43</v>
      </c>
      <c r="D143" s="26" t="s">
        <v>148</v>
      </c>
      <c r="E143" s="26" t="s">
        <v>148</v>
      </c>
      <c r="F143" s="26" t="s">
        <v>148</v>
      </c>
      <c r="G143" s="26" t="s">
        <v>148</v>
      </c>
      <c r="H143" s="43">
        <v>1.96</v>
      </c>
      <c r="I143" s="43">
        <v>0.43</v>
      </c>
      <c r="J143" s="17"/>
    </row>
    <row r="144">
      <c r="A144" s="22">
        <v>140.0</v>
      </c>
      <c r="B144" s="37" t="s">
        <v>350</v>
      </c>
      <c r="C144" s="43">
        <v>0.35</v>
      </c>
      <c r="D144" s="26" t="s">
        <v>148</v>
      </c>
      <c r="E144" s="26" t="s">
        <v>148</v>
      </c>
      <c r="F144" s="26" t="s">
        <v>148</v>
      </c>
      <c r="G144" s="43">
        <v>0.02</v>
      </c>
      <c r="H144" s="43">
        <v>2.19</v>
      </c>
      <c r="I144" s="43">
        <v>0.36</v>
      </c>
      <c r="J144" s="17"/>
    </row>
    <row r="145">
      <c r="A145" s="22">
        <v>141.0</v>
      </c>
      <c r="B145" s="37" t="s">
        <v>351</v>
      </c>
      <c r="C145" s="43">
        <v>0.26</v>
      </c>
      <c r="D145" s="26" t="s">
        <v>148</v>
      </c>
      <c r="E145" s="26" t="s">
        <v>148</v>
      </c>
      <c r="F145" s="43">
        <v>0.04</v>
      </c>
      <c r="G145" s="26" t="s">
        <v>148</v>
      </c>
      <c r="H145" s="43">
        <v>1.59</v>
      </c>
      <c r="I145" s="43">
        <v>0.3</v>
      </c>
      <c r="J145" s="17"/>
    </row>
    <row r="146">
      <c r="A146" s="22">
        <v>142.0</v>
      </c>
      <c r="B146" s="37" t="s">
        <v>352</v>
      </c>
      <c r="C146" s="43">
        <v>0.27</v>
      </c>
      <c r="D146" s="26" t="s">
        <v>148</v>
      </c>
      <c r="E146" s="26" t="s">
        <v>148</v>
      </c>
      <c r="F146" s="26" t="s">
        <v>148</v>
      </c>
      <c r="G146" s="26" t="s">
        <v>148</v>
      </c>
      <c r="H146" s="43">
        <v>1.84</v>
      </c>
      <c r="I146" s="43">
        <v>0.27</v>
      </c>
      <c r="J146" s="17"/>
    </row>
    <row r="147">
      <c r="A147" s="22">
        <v>143.0</v>
      </c>
      <c r="B147" s="37" t="s">
        <v>353</v>
      </c>
      <c r="C147" s="43">
        <v>0.26</v>
      </c>
      <c r="D147" s="26" t="s">
        <v>148</v>
      </c>
      <c r="E147" s="26" t="s">
        <v>148</v>
      </c>
      <c r="F147" s="26" t="s">
        <v>148</v>
      </c>
      <c r="G147" s="26" t="s">
        <v>148</v>
      </c>
      <c r="H147" s="43">
        <v>1.99</v>
      </c>
      <c r="I147" s="43">
        <v>0.26</v>
      </c>
      <c r="J147" s="17"/>
    </row>
    <row r="148">
      <c r="A148" s="22">
        <v>144.0</v>
      </c>
      <c r="B148" s="37" t="s">
        <v>354</v>
      </c>
      <c r="C148" s="43">
        <v>0.25</v>
      </c>
      <c r="D148" s="26" t="s">
        <v>148</v>
      </c>
      <c r="E148" s="26" t="s">
        <v>148</v>
      </c>
      <c r="F148" s="26" t="s">
        <v>148</v>
      </c>
      <c r="G148" s="26" t="s">
        <v>148</v>
      </c>
      <c r="H148" s="43">
        <v>1.77</v>
      </c>
      <c r="I148" s="43">
        <v>0.25</v>
      </c>
      <c r="J148" s="17"/>
    </row>
    <row r="149">
      <c r="A149" s="22">
        <v>145.0</v>
      </c>
      <c r="B149" s="37" t="s">
        <v>355</v>
      </c>
      <c r="C149" s="43">
        <v>0.24</v>
      </c>
      <c r="D149" s="26" t="s">
        <v>148</v>
      </c>
      <c r="E149" s="26" t="s">
        <v>148</v>
      </c>
      <c r="F149" s="26" t="s">
        <v>148</v>
      </c>
      <c r="G149" s="26" t="s">
        <v>148</v>
      </c>
      <c r="H149" s="43">
        <v>1.13</v>
      </c>
      <c r="I149" s="43">
        <v>0.24</v>
      </c>
      <c r="J149" s="17"/>
    </row>
    <row r="150">
      <c r="A150" s="22">
        <v>146.0</v>
      </c>
      <c r="B150" s="37" t="s">
        <v>356</v>
      </c>
      <c r="C150" s="43">
        <v>0.21</v>
      </c>
      <c r="D150" s="26" t="s">
        <v>148</v>
      </c>
      <c r="E150" s="26" t="s">
        <v>148</v>
      </c>
      <c r="F150" s="26" t="s">
        <v>148</v>
      </c>
      <c r="G150" s="26" t="s">
        <v>148</v>
      </c>
      <c r="H150" s="43">
        <v>1.3</v>
      </c>
      <c r="I150" s="43">
        <v>0.21</v>
      </c>
      <c r="J150" s="17"/>
    </row>
    <row r="151">
      <c r="A151" s="22">
        <v>147.0</v>
      </c>
      <c r="B151" s="37" t="s">
        <v>357</v>
      </c>
      <c r="C151" s="43">
        <v>0.05</v>
      </c>
      <c r="D151" s="43">
        <v>0.09</v>
      </c>
      <c r="E151" s="26" t="s">
        <v>148</v>
      </c>
      <c r="F151" s="26" t="s">
        <v>148</v>
      </c>
      <c r="G151" s="26" t="s">
        <v>148</v>
      </c>
      <c r="H151" s="43">
        <v>1.04</v>
      </c>
      <c r="I151" s="43">
        <v>0.14</v>
      </c>
      <c r="J151" s="17"/>
    </row>
    <row r="152">
      <c r="A152" s="22">
        <v>148.0</v>
      </c>
      <c r="B152" s="37" t="s">
        <v>358</v>
      </c>
      <c r="C152" s="43">
        <v>0.04</v>
      </c>
      <c r="D152" s="43">
        <v>0.04</v>
      </c>
      <c r="E152" s="43">
        <v>0.03</v>
      </c>
      <c r="F152" s="26" t="s">
        <v>148</v>
      </c>
      <c r="G152" s="26" t="s">
        <v>148</v>
      </c>
      <c r="H152" s="43">
        <v>0.84</v>
      </c>
      <c r="I152" s="43">
        <v>0.11</v>
      </c>
      <c r="J152" s="17"/>
    </row>
    <row r="153">
      <c r="A153" s="22">
        <v>149.0</v>
      </c>
      <c r="B153" s="37" t="s">
        <v>359</v>
      </c>
      <c r="C153" s="43">
        <v>0.08</v>
      </c>
      <c r="D153" s="26" t="s">
        <v>148</v>
      </c>
      <c r="E153" s="43">
        <v>0.003</v>
      </c>
      <c r="F153" s="43">
        <v>0.002</v>
      </c>
      <c r="G153" s="43">
        <v>0.02</v>
      </c>
      <c r="H153" s="43">
        <v>0.67</v>
      </c>
      <c r="I153" s="43">
        <v>0.1</v>
      </c>
      <c r="J153" s="17"/>
    </row>
    <row r="154">
      <c r="A154" s="22">
        <v>150.0</v>
      </c>
      <c r="B154" s="37" t="s">
        <v>360</v>
      </c>
      <c r="C154" s="43">
        <v>0.07</v>
      </c>
      <c r="D154" s="26" t="s">
        <v>148</v>
      </c>
      <c r="E154" s="26" t="s">
        <v>148</v>
      </c>
      <c r="F154" s="26" t="s">
        <v>148</v>
      </c>
      <c r="G154" s="43">
        <v>0.02</v>
      </c>
      <c r="H154" s="43">
        <v>0.7</v>
      </c>
      <c r="I154" s="43">
        <v>0.09</v>
      </c>
      <c r="J154" s="17"/>
    </row>
    <row r="155">
      <c r="A155" s="22">
        <v>151.0</v>
      </c>
      <c r="B155" s="37" t="s">
        <v>361</v>
      </c>
      <c r="C155" s="43">
        <v>0.04</v>
      </c>
      <c r="D155" s="43">
        <v>0.005</v>
      </c>
      <c r="E155" s="43">
        <v>0.04</v>
      </c>
      <c r="F155" s="26" t="s">
        <v>148</v>
      </c>
      <c r="G155" s="26" t="s">
        <v>148</v>
      </c>
      <c r="H155" s="43">
        <v>0.66</v>
      </c>
      <c r="I155" s="43">
        <v>0.09</v>
      </c>
      <c r="J155" s="17"/>
    </row>
    <row r="156">
      <c r="A156" s="22">
        <v>152.0</v>
      </c>
      <c r="B156" s="37" t="s">
        <v>362</v>
      </c>
      <c r="C156" s="43">
        <v>0.008</v>
      </c>
      <c r="D156" s="26" t="s">
        <v>148</v>
      </c>
      <c r="E156" s="43">
        <v>0.06</v>
      </c>
      <c r="F156" s="26" t="s">
        <v>148</v>
      </c>
      <c r="G156" s="43">
        <v>0.009</v>
      </c>
      <c r="H156" s="43">
        <v>0.65</v>
      </c>
      <c r="I156" s="43">
        <v>0.08</v>
      </c>
      <c r="J156" s="17"/>
    </row>
    <row r="157">
      <c r="A157" s="22">
        <v>153.0</v>
      </c>
      <c r="B157" s="37" t="s">
        <v>363</v>
      </c>
      <c r="C157" s="43">
        <v>0.07</v>
      </c>
      <c r="D157" s="43">
        <v>4.0E-4</v>
      </c>
      <c r="E157" s="26" t="s">
        <v>148</v>
      </c>
      <c r="F157" s="26" t="s">
        <v>148</v>
      </c>
      <c r="G157" s="26" t="s">
        <v>148</v>
      </c>
      <c r="H157" s="43">
        <v>0.55</v>
      </c>
      <c r="I157" s="43">
        <v>0.08</v>
      </c>
      <c r="J157" s="17"/>
    </row>
    <row r="158">
      <c r="A158" s="22">
        <v>154.0</v>
      </c>
      <c r="B158" s="37" t="s">
        <v>364</v>
      </c>
      <c r="C158" s="43">
        <v>0.07</v>
      </c>
      <c r="D158" s="26" t="s">
        <v>148</v>
      </c>
      <c r="E158" s="26" t="s">
        <v>148</v>
      </c>
      <c r="F158" s="26" t="s">
        <v>148</v>
      </c>
      <c r="G158" s="26" t="s">
        <v>148</v>
      </c>
      <c r="H158" s="43">
        <v>0.28</v>
      </c>
      <c r="I158" s="43">
        <v>0.07</v>
      </c>
      <c r="J158" s="17"/>
    </row>
    <row r="159">
      <c r="A159" s="22">
        <v>155.0</v>
      </c>
      <c r="B159" s="37" t="s">
        <v>365</v>
      </c>
      <c r="C159" s="43">
        <v>0.004</v>
      </c>
      <c r="D159" s="43">
        <v>0.05</v>
      </c>
      <c r="E159" s="26" t="s">
        <v>148</v>
      </c>
      <c r="F159" s="26" t="s">
        <v>148</v>
      </c>
      <c r="G159" s="26" t="s">
        <v>148</v>
      </c>
      <c r="H159" s="43">
        <v>0.4</v>
      </c>
      <c r="I159" s="43">
        <v>0.05</v>
      </c>
      <c r="J159" s="17"/>
    </row>
    <row r="160">
      <c r="A160" s="22">
        <v>156.0</v>
      </c>
      <c r="B160" s="37" t="s">
        <v>366</v>
      </c>
      <c r="C160" s="43">
        <v>0.05</v>
      </c>
      <c r="D160" s="43">
        <v>0.001</v>
      </c>
      <c r="E160" s="26" t="s">
        <v>148</v>
      </c>
      <c r="F160" s="26" t="s">
        <v>148</v>
      </c>
      <c r="G160" s="26" t="s">
        <v>148</v>
      </c>
      <c r="H160" s="43">
        <v>0.25</v>
      </c>
      <c r="I160" s="43">
        <v>0.05</v>
      </c>
      <c r="J160" s="17"/>
    </row>
    <row r="161">
      <c r="A161" s="22">
        <v>157.0</v>
      </c>
      <c r="B161" s="37" t="s">
        <v>367</v>
      </c>
      <c r="C161" s="43">
        <v>0.05</v>
      </c>
      <c r="D161" s="26" t="s">
        <v>148</v>
      </c>
      <c r="E161" s="26" t="s">
        <v>148</v>
      </c>
      <c r="F161" s="26" t="s">
        <v>148</v>
      </c>
      <c r="G161" s="26" t="s">
        <v>148</v>
      </c>
      <c r="H161" s="43">
        <v>0.3</v>
      </c>
      <c r="I161" s="43">
        <v>0.05</v>
      </c>
      <c r="J161" s="17"/>
    </row>
    <row r="162">
      <c r="A162" s="22">
        <v>158.0</v>
      </c>
      <c r="B162" s="37" t="s">
        <v>368</v>
      </c>
      <c r="C162" s="43">
        <v>0.03</v>
      </c>
      <c r="D162" s="26" t="s">
        <v>148</v>
      </c>
      <c r="E162" s="43">
        <v>9.0E-4</v>
      </c>
      <c r="F162" s="26" t="s">
        <v>148</v>
      </c>
      <c r="G162" s="26" t="s">
        <v>148</v>
      </c>
      <c r="H162" s="43">
        <v>0.25</v>
      </c>
      <c r="I162" s="43">
        <v>0.03</v>
      </c>
      <c r="J162" s="17"/>
    </row>
    <row r="163">
      <c r="A163" s="22">
        <v>159.0</v>
      </c>
      <c r="B163" s="37" t="s">
        <v>369</v>
      </c>
      <c r="C163" s="43">
        <v>0.01</v>
      </c>
      <c r="D163" s="26" t="s">
        <v>148</v>
      </c>
      <c r="E163" s="26" t="s">
        <v>148</v>
      </c>
      <c r="F163" s="26" t="s">
        <v>148</v>
      </c>
      <c r="G163" s="26" t="s">
        <v>148</v>
      </c>
      <c r="H163" s="43">
        <v>0.1</v>
      </c>
      <c r="I163" s="43">
        <v>0.01</v>
      </c>
      <c r="J163" s="17"/>
    </row>
    <row r="164">
      <c r="A164" s="22">
        <v>160.0</v>
      </c>
      <c r="B164" s="37" t="s">
        <v>370</v>
      </c>
      <c r="C164" s="43">
        <v>0.01</v>
      </c>
      <c r="D164" s="26" t="s">
        <v>148</v>
      </c>
      <c r="E164" s="26" t="s">
        <v>148</v>
      </c>
      <c r="F164" s="26" t="s">
        <v>148</v>
      </c>
      <c r="G164" s="26" t="s">
        <v>148</v>
      </c>
      <c r="H164" s="43">
        <v>0.08</v>
      </c>
      <c r="I164" s="43">
        <v>0.01</v>
      </c>
      <c r="J164" s="17"/>
    </row>
    <row r="165">
      <c r="A165" s="22">
        <v>161.0</v>
      </c>
      <c r="B165" s="37" t="s">
        <v>371</v>
      </c>
      <c r="C165" s="26" t="s">
        <v>148</v>
      </c>
      <c r="D165" s="26" t="s">
        <v>148</v>
      </c>
      <c r="E165" s="26" t="s">
        <v>148</v>
      </c>
      <c r="F165" s="26" t="s">
        <v>148</v>
      </c>
      <c r="G165" s="43">
        <v>0.006</v>
      </c>
      <c r="H165" s="43">
        <v>0.05</v>
      </c>
      <c r="I165" s="43">
        <v>0.006</v>
      </c>
      <c r="J165" s="17"/>
    </row>
    <row r="166">
      <c r="A166" s="22">
        <v>162.0</v>
      </c>
      <c r="B166" s="37" t="s">
        <v>372</v>
      </c>
      <c r="C166" s="26" t="s">
        <v>148</v>
      </c>
      <c r="D166" s="26" t="s">
        <v>148</v>
      </c>
      <c r="E166" s="26" t="s">
        <v>148</v>
      </c>
      <c r="F166" s="26" t="s">
        <v>148</v>
      </c>
      <c r="G166" s="43">
        <v>0.006</v>
      </c>
      <c r="H166" s="43">
        <v>0.05</v>
      </c>
      <c r="I166" s="43">
        <v>0.006</v>
      </c>
      <c r="J166" s="17"/>
    </row>
    <row r="167">
      <c r="A167" s="22">
        <v>163.0</v>
      </c>
      <c r="B167" s="37" t="s">
        <v>373</v>
      </c>
      <c r="C167" s="43">
        <v>0.005</v>
      </c>
      <c r="D167" s="26" t="s">
        <v>148</v>
      </c>
      <c r="E167" s="26" t="s">
        <v>148</v>
      </c>
      <c r="F167" s="26" t="s">
        <v>148</v>
      </c>
      <c r="G167" s="26" t="s">
        <v>148</v>
      </c>
      <c r="H167" s="43">
        <v>0.03</v>
      </c>
      <c r="I167" s="43">
        <v>0.005</v>
      </c>
      <c r="J167" s="17"/>
    </row>
    <row r="168">
      <c r="A168" s="22">
        <v>164.0</v>
      </c>
      <c r="B168" s="37" t="s">
        <v>374</v>
      </c>
      <c r="C168" s="43">
        <v>0.0</v>
      </c>
      <c r="D168" s="26" t="s">
        <v>148</v>
      </c>
      <c r="E168" s="43">
        <v>0.005</v>
      </c>
      <c r="F168" s="26" t="s">
        <v>148</v>
      </c>
      <c r="G168" s="26" t="s">
        <v>148</v>
      </c>
      <c r="H168" s="43">
        <v>0.04</v>
      </c>
      <c r="I168" s="43">
        <v>0.005</v>
      </c>
      <c r="J168" s="17"/>
    </row>
    <row r="169">
      <c r="A169" s="22">
        <v>165.0</v>
      </c>
      <c r="B169" s="37" t="s">
        <v>375</v>
      </c>
      <c r="C169" s="26" t="s">
        <v>148</v>
      </c>
      <c r="D169" s="26" t="s">
        <v>148</v>
      </c>
      <c r="E169" s="26" t="s">
        <v>148</v>
      </c>
      <c r="F169" s="26" t="s">
        <v>148</v>
      </c>
      <c r="G169" s="43">
        <v>0.003</v>
      </c>
      <c r="H169" s="43">
        <v>0.03</v>
      </c>
      <c r="I169" s="43">
        <v>0.003</v>
      </c>
      <c r="J169" s="17"/>
    </row>
    <row r="170">
      <c r="A170" s="22">
        <v>166.0</v>
      </c>
      <c r="B170" s="37" t="s">
        <v>376</v>
      </c>
      <c r="C170" s="26" t="s">
        <v>148</v>
      </c>
      <c r="D170" s="26" t="s">
        <v>148</v>
      </c>
      <c r="E170" s="26" t="s">
        <v>148</v>
      </c>
      <c r="F170" s="43">
        <v>0.003</v>
      </c>
      <c r="G170" s="26" t="s">
        <v>148</v>
      </c>
      <c r="H170" s="43">
        <v>0.02</v>
      </c>
      <c r="I170" s="43">
        <v>0.003</v>
      </c>
      <c r="J170" s="17"/>
    </row>
    <row r="171">
      <c r="A171" s="22">
        <v>167.0</v>
      </c>
      <c r="B171" s="37" t="s">
        <v>377</v>
      </c>
      <c r="C171" s="43">
        <v>0.003</v>
      </c>
      <c r="D171" s="26" t="s">
        <v>148</v>
      </c>
      <c r="E171" s="26" t="s">
        <v>148</v>
      </c>
      <c r="F171" s="26" t="s">
        <v>148</v>
      </c>
      <c r="G171" s="26" t="s">
        <v>148</v>
      </c>
      <c r="H171" s="43">
        <v>0.01</v>
      </c>
      <c r="I171" s="43">
        <v>0.003</v>
      </c>
      <c r="J171" s="17"/>
    </row>
    <row r="172">
      <c r="A172" s="22">
        <v>168.0</v>
      </c>
      <c r="B172" s="37" t="s">
        <v>378</v>
      </c>
      <c r="C172" s="43">
        <v>0.002</v>
      </c>
      <c r="D172" s="26" t="s">
        <v>148</v>
      </c>
      <c r="E172" s="26" t="s">
        <v>148</v>
      </c>
      <c r="F172" s="26" t="s">
        <v>148</v>
      </c>
      <c r="G172" s="26" t="s">
        <v>148</v>
      </c>
      <c r="H172" s="43">
        <v>0.02</v>
      </c>
      <c r="I172" s="43">
        <v>0.002</v>
      </c>
      <c r="J172" s="17"/>
    </row>
    <row r="173">
      <c r="A173" s="22">
        <v>169.0</v>
      </c>
      <c r="B173" s="37" t="s">
        <v>380</v>
      </c>
      <c r="C173" s="43">
        <v>0.002</v>
      </c>
      <c r="D173" s="26" t="s">
        <v>148</v>
      </c>
      <c r="E173" s="26" t="s">
        <v>148</v>
      </c>
      <c r="F173" s="26" t="s">
        <v>148</v>
      </c>
      <c r="G173" s="26" t="s">
        <v>148</v>
      </c>
      <c r="H173" s="43">
        <v>0.01</v>
      </c>
      <c r="I173" s="43">
        <v>0.002</v>
      </c>
      <c r="J173" s="17"/>
    </row>
    <row r="174">
      <c r="A174" s="22">
        <v>170.0</v>
      </c>
      <c r="B174" s="37" t="s">
        <v>382</v>
      </c>
      <c r="C174" s="43">
        <v>0.002</v>
      </c>
      <c r="D174" s="26" t="s">
        <v>148</v>
      </c>
      <c r="E174" s="26" t="s">
        <v>148</v>
      </c>
      <c r="F174" s="26" t="s">
        <v>148</v>
      </c>
      <c r="G174" s="26" t="s">
        <v>148</v>
      </c>
      <c r="H174" s="43">
        <v>0.01</v>
      </c>
      <c r="I174" s="43">
        <v>0.002</v>
      </c>
      <c r="J174" s="17"/>
    </row>
    <row r="175">
      <c r="A175" s="22">
        <v>171.0</v>
      </c>
      <c r="B175" s="37" t="s">
        <v>384</v>
      </c>
      <c r="C175" s="26" t="s">
        <v>148</v>
      </c>
      <c r="D175" s="26" t="s">
        <v>148</v>
      </c>
      <c r="E175" s="43">
        <v>0.001</v>
      </c>
      <c r="F175" s="26" t="s">
        <v>148</v>
      </c>
      <c r="G175" s="26" t="s">
        <v>148</v>
      </c>
      <c r="H175" s="43">
        <v>0.01</v>
      </c>
      <c r="I175" s="43">
        <v>0.001</v>
      </c>
      <c r="J175" s="17"/>
    </row>
    <row r="176">
      <c r="A176" s="22">
        <v>172.0</v>
      </c>
      <c r="B176" s="37" t="s">
        <v>387</v>
      </c>
      <c r="C176" s="43">
        <v>0.001</v>
      </c>
      <c r="D176" s="26" t="s">
        <v>148</v>
      </c>
      <c r="E176" s="43">
        <v>9.0E-5</v>
      </c>
      <c r="F176" s="26" t="s">
        <v>148</v>
      </c>
      <c r="G176" s="26" t="s">
        <v>148</v>
      </c>
      <c r="H176" s="43">
        <v>0.009</v>
      </c>
      <c r="I176" s="43">
        <v>0.001</v>
      </c>
      <c r="J176" s="17"/>
    </row>
    <row r="177">
      <c r="A177" s="22">
        <v>173.0</v>
      </c>
      <c r="B177" s="37" t="s">
        <v>390</v>
      </c>
      <c r="C177" s="43">
        <v>8.0E-4</v>
      </c>
      <c r="D177" s="26" t="s">
        <v>148</v>
      </c>
      <c r="E177" s="26" t="s">
        <v>148</v>
      </c>
      <c r="F177" s="26" t="s">
        <v>148</v>
      </c>
      <c r="G177" s="26" t="s">
        <v>148</v>
      </c>
      <c r="H177" s="43">
        <v>0.005</v>
      </c>
      <c r="I177" s="43">
        <v>8.0E-4</v>
      </c>
      <c r="J177" s="17"/>
    </row>
    <row r="178">
      <c r="A178" s="22">
        <v>174.0</v>
      </c>
      <c r="B178" s="37" t="s">
        <v>392</v>
      </c>
      <c r="C178" s="43">
        <v>4.0E-4</v>
      </c>
      <c r="D178" s="26" t="s">
        <v>148</v>
      </c>
      <c r="E178" s="26" t="s">
        <v>148</v>
      </c>
      <c r="F178" s="43">
        <v>1.0E-4</v>
      </c>
      <c r="G178" s="26" t="s">
        <v>148</v>
      </c>
      <c r="H178" s="43">
        <v>0.004</v>
      </c>
      <c r="I178" s="43">
        <v>6.0E-4</v>
      </c>
      <c r="J178" s="17"/>
    </row>
    <row r="179">
      <c r="A179" s="22">
        <v>175.0</v>
      </c>
      <c r="B179" s="37" t="s">
        <v>397</v>
      </c>
      <c r="C179" s="26" t="s">
        <v>148</v>
      </c>
      <c r="D179" s="26" t="s">
        <v>148</v>
      </c>
      <c r="E179" s="26" t="s">
        <v>148</v>
      </c>
      <c r="F179" s="26" t="s">
        <v>148</v>
      </c>
      <c r="G179" s="43">
        <v>6.0E-4</v>
      </c>
      <c r="H179" s="43">
        <v>0.005</v>
      </c>
      <c r="I179" s="43">
        <v>6.0E-4</v>
      </c>
      <c r="J179" s="17"/>
    </row>
    <row r="180">
      <c r="A180" s="22">
        <v>176.0</v>
      </c>
      <c r="B180" s="37" t="s">
        <v>400</v>
      </c>
      <c r="C180" s="26" t="s">
        <v>148</v>
      </c>
      <c r="D180" s="26" t="s">
        <v>148</v>
      </c>
      <c r="E180" s="43">
        <v>5.0E-4</v>
      </c>
      <c r="F180" s="26" t="s">
        <v>148</v>
      </c>
      <c r="G180" s="26" t="s">
        <v>148</v>
      </c>
      <c r="H180" s="43">
        <v>0.004</v>
      </c>
      <c r="I180" s="43">
        <v>5.0E-4</v>
      </c>
      <c r="J180" s="17"/>
    </row>
    <row r="181">
      <c r="A181" s="22">
        <v>177.0</v>
      </c>
      <c r="B181" s="37" t="s">
        <v>403</v>
      </c>
      <c r="C181" s="43">
        <v>4.0E-4</v>
      </c>
      <c r="D181" s="26" t="s">
        <v>148</v>
      </c>
      <c r="E181" s="26" t="s">
        <v>148</v>
      </c>
      <c r="F181" s="26" t="s">
        <v>148</v>
      </c>
      <c r="G181" s="26" t="s">
        <v>148</v>
      </c>
      <c r="H181" s="43">
        <v>0.003</v>
      </c>
      <c r="I181" s="43">
        <v>4.0E-4</v>
      </c>
      <c r="J181" s="17"/>
    </row>
    <row r="182">
      <c r="A182" s="22">
        <v>178.0</v>
      </c>
      <c r="B182" s="37" t="s">
        <v>404</v>
      </c>
      <c r="C182" s="43">
        <v>1.0E-5</v>
      </c>
      <c r="D182" s="26" t="s">
        <v>148</v>
      </c>
      <c r="E182" s="26" t="s">
        <v>148</v>
      </c>
      <c r="F182" s="26" t="s">
        <v>148</v>
      </c>
      <c r="G182" s="26" t="s">
        <v>148</v>
      </c>
      <c r="H182" s="43">
        <v>1.0E-4</v>
      </c>
      <c r="I182" s="43">
        <v>1.0E-5</v>
      </c>
      <c r="J182" s="17"/>
    </row>
    <row r="183">
      <c r="A183" s="22">
        <v>179.0</v>
      </c>
      <c r="B183" s="37" t="s">
        <v>413</v>
      </c>
      <c r="C183" s="24">
        <v>6982.31</v>
      </c>
      <c r="D183" s="26" t="s">
        <v>148</v>
      </c>
      <c r="E183" s="26" t="s">
        <v>148</v>
      </c>
      <c r="F183" s="26" t="s">
        <v>148</v>
      </c>
      <c r="G183" s="26" t="s">
        <v>148</v>
      </c>
      <c r="H183" s="24">
        <v>30991.9</v>
      </c>
      <c r="I183" s="24">
        <v>6982.31</v>
      </c>
      <c r="J183" s="17"/>
    </row>
    <row r="184">
      <c r="A184" s="22">
        <v>180.0</v>
      </c>
      <c r="B184" s="37" t="s">
        <v>414</v>
      </c>
      <c r="C184" s="24">
        <v>4684.25</v>
      </c>
      <c r="D184" s="26" t="s">
        <v>148</v>
      </c>
      <c r="E184" s="26" t="s">
        <v>148</v>
      </c>
      <c r="F184" s="26" t="s">
        <v>148</v>
      </c>
      <c r="G184" s="26" t="s">
        <v>148</v>
      </c>
      <c r="H184" s="24">
        <v>20383.66</v>
      </c>
      <c r="I184" s="24">
        <v>4684.25</v>
      </c>
      <c r="J184" s="17"/>
    </row>
    <row r="185">
      <c r="A185" s="22">
        <v>181.0</v>
      </c>
      <c r="B185" s="37" t="s">
        <v>415</v>
      </c>
      <c r="C185" s="43">
        <v>0.06</v>
      </c>
      <c r="D185" s="26" t="s">
        <v>148</v>
      </c>
      <c r="E185" s="26" t="s">
        <v>148</v>
      </c>
      <c r="F185" s="26" t="s">
        <v>148</v>
      </c>
      <c r="G185" s="26" t="s">
        <v>148</v>
      </c>
      <c r="H185" s="43">
        <v>0.25</v>
      </c>
      <c r="I185" s="43">
        <v>0.06</v>
      </c>
      <c r="J185" s="17"/>
    </row>
    <row r="186">
      <c r="A186" s="18"/>
      <c r="B186" s="37" t="s">
        <v>416</v>
      </c>
      <c r="C186" s="24">
        <v>573473.81</v>
      </c>
      <c r="D186" s="24">
        <v>52345.55</v>
      </c>
      <c r="E186" s="24">
        <v>41324.78</v>
      </c>
      <c r="F186" s="24">
        <v>53058.03</v>
      </c>
      <c r="G186" s="24">
        <v>57220.72</v>
      </c>
      <c r="H186" s="26" t="s">
        <v>417</v>
      </c>
      <c r="I186" s="24">
        <v>777422.9</v>
      </c>
      <c r="J186" s="17"/>
    </row>
    <row r="187">
      <c r="A187" s="22">
        <v>182.0</v>
      </c>
      <c r="B187" s="37" t="s">
        <v>418</v>
      </c>
      <c r="C187" s="43">
        <v>134.37</v>
      </c>
      <c r="D187" s="43">
        <v>0.0</v>
      </c>
      <c r="E187" s="43">
        <v>0.0</v>
      </c>
      <c r="F187" s="43">
        <v>0.0</v>
      </c>
      <c r="G187" s="43">
        <v>0.0</v>
      </c>
      <c r="H187" s="43">
        <v>589.15</v>
      </c>
      <c r="I187" s="43">
        <v>134.37</v>
      </c>
      <c r="J187" s="17"/>
    </row>
    <row r="188">
      <c r="A188" s="18"/>
      <c r="B188" s="20" t="s">
        <v>419</v>
      </c>
      <c r="C188" s="63">
        <v>573608.18</v>
      </c>
      <c r="D188" s="63">
        <v>52345.55</v>
      </c>
      <c r="E188" s="63">
        <v>41324.78</v>
      </c>
      <c r="F188" s="63">
        <v>53058.03</v>
      </c>
      <c r="G188" s="63">
        <v>57220.72</v>
      </c>
      <c r="H188" s="21" t="s">
        <v>420</v>
      </c>
      <c r="I188" s="63">
        <v>777557.27</v>
      </c>
      <c r="J188" s="17"/>
    </row>
    <row r="189">
      <c r="A189" s="79" t="s">
        <v>421</v>
      </c>
    </row>
    <row r="193">
      <c r="A193" s="80" t="s">
        <v>422</v>
      </c>
    </row>
    <row r="194">
      <c r="A194" s="80" t="s">
        <v>423</v>
      </c>
    </row>
    <row r="195">
      <c r="A195" s="80" t="s">
        <v>424</v>
      </c>
    </row>
    <row r="196">
      <c r="A196" s="80" t="s">
        <v>425</v>
      </c>
    </row>
    <row r="197">
      <c r="A197" s="80" t="s">
        <v>426</v>
      </c>
    </row>
    <row r="198">
      <c r="A198" s="80" t="s">
        <v>427</v>
      </c>
    </row>
    <row r="199">
      <c r="A199" s="80" t="s">
        <v>428</v>
      </c>
    </row>
    <row r="200">
      <c r="A200" s="80" t="s">
        <v>429</v>
      </c>
    </row>
    <row r="201">
      <c r="A201" s="80" t="s">
        <v>430</v>
      </c>
    </row>
  </sheetData>
  <mergeCells count="4">
    <mergeCell ref="A1:J1"/>
    <mergeCell ref="A2:J2"/>
    <mergeCell ref="H3:I3"/>
    <mergeCell ref="A189:J189"/>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2.38"/>
    <col customWidth="1" min="2" max="2" width="13.25"/>
    <col customWidth="1" min="3" max="3" width="16.25"/>
    <col customWidth="1" min="5" max="5" width="17.38"/>
    <col customWidth="1" min="7" max="7" width="15.0"/>
  </cols>
  <sheetData>
    <row r="1">
      <c r="A1" s="53" t="s">
        <v>238</v>
      </c>
      <c r="B1" s="54"/>
      <c r="C1" s="54"/>
      <c r="D1" s="54"/>
      <c r="E1" s="54"/>
      <c r="F1" s="54"/>
      <c r="G1" s="54"/>
    </row>
    <row r="2">
      <c r="A2" s="56" t="s">
        <v>244</v>
      </c>
      <c r="B2" s="57" t="s">
        <v>252</v>
      </c>
      <c r="C2" s="16"/>
      <c r="D2" s="57" t="s">
        <v>261</v>
      </c>
      <c r="E2" s="16"/>
      <c r="F2" s="57" t="s">
        <v>266</v>
      </c>
      <c r="G2" s="16"/>
    </row>
    <row r="3">
      <c r="A3" s="58"/>
      <c r="B3" s="21" t="s">
        <v>274</v>
      </c>
      <c r="C3" s="21" t="s">
        <v>277</v>
      </c>
      <c r="D3" s="21" t="s">
        <v>274</v>
      </c>
      <c r="E3" s="21" t="s">
        <v>277</v>
      </c>
      <c r="F3" s="21" t="s">
        <v>274</v>
      </c>
      <c r="G3" s="21" t="s">
        <v>277</v>
      </c>
    </row>
    <row r="4">
      <c r="A4" s="22">
        <v>2000.0</v>
      </c>
      <c r="B4" s="59">
        <v>501.52</v>
      </c>
      <c r="C4" s="59">
        <v>116.63</v>
      </c>
      <c r="D4" s="24">
        <v>3568.64</v>
      </c>
      <c r="E4" s="43">
        <v>829.92</v>
      </c>
      <c r="F4" s="60">
        <v>1799.31</v>
      </c>
      <c r="G4" s="59">
        <v>418.44</v>
      </c>
    </row>
    <row r="5">
      <c r="A5" s="22">
        <v>2001.0</v>
      </c>
      <c r="B5" s="59">
        <v>160.66</v>
      </c>
      <c r="C5" s="59">
        <v>35.7</v>
      </c>
      <c r="D5" s="24">
        <v>7503.61</v>
      </c>
      <c r="E5" s="24">
        <v>1667.47</v>
      </c>
      <c r="F5" s="60">
        <v>1654.13</v>
      </c>
      <c r="G5" s="59">
        <v>367.59</v>
      </c>
    </row>
    <row r="6">
      <c r="A6" s="22">
        <v>2002.0</v>
      </c>
      <c r="B6" s="59">
        <v>226.23</v>
      </c>
      <c r="C6" s="59">
        <v>47.13</v>
      </c>
      <c r="D6" s="24">
        <v>7284.46</v>
      </c>
      <c r="E6" s="24">
        <v>1517.6</v>
      </c>
      <c r="F6" s="60">
        <v>1357.2</v>
      </c>
      <c r="G6" s="59">
        <v>282.75</v>
      </c>
    </row>
    <row r="7">
      <c r="A7" s="22">
        <v>2003.0</v>
      </c>
      <c r="B7" s="59">
        <v>168.05</v>
      </c>
      <c r="C7" s="59">
        <v>36.53</v>
      </c>
      <c r="D7" s="24">
        <v>2585.93</v>
      </c>
      <c r="E7" s="43">
        <v>562.16</v>
      </c>
      <c r="F7" s="60">
        <v>1904.09</v>
      </c>
      <c r="G7" s="59">
        <v>413.93</v>
      </c>
    </row>
    <row r="8">
      <c r="A8" s="22">
        <v>2004.0</v>
      </c>
      <c r="B8" s="59">
        <v>285.5</v>
      </c>
      <c r="C8" s="59">
        <v>62.07</v>
      </c>
      <c r="D8" s="24">
        <v>4616.21</v>
      </c>
      <c r="E8" s="24">
        <v>1003.52</v>
      </c>
      <c r="F8" s="60">
        <v>2979.17</v>
      </c>
      <c r="G8" s="59">
        <v>647.65</v>
      </c>
    </row>
    <row r="9">
      <c r="A9" s="22">
        <v>2005.0</v>
      </c>
      <c r="B9" s="60">
        <v>1416.9</v>
      </c>
      <c r="C9" s="59">
        <v>321.48</v>
      </c>
      <c r="D9" s="24">
        <v>9407.83</v>
      </c>
      <c r="E9" s="24">
        <v>2115.19</v>
      </c>
      <c r="F9" s="60">
        <v>2070.05</v>
      </c>
      <c r="G9" s="59">
        <v>472.15</v>
      </c>
    </row>
    <row r="10">
      <c r="A10" s="22">
        <v>2006.0</v>
      </c>
      <c r="B10" s="60">
        <v>2853.2</v>
      </c>
      <c r="C10" s="59">
        <v>620.66</v>
      </c>
      <c r="D10" s="24">
        <v>22220.75</v>
      </c>
      <c r="E10" s="24">
        <v>4883.54</v>
      </c>
      <c r="F10" s="60">
        <v>3320.38</v>
      </c>
      <c r="G10" s="59">
        <v>732.34</v>
      </c>
    </row>
    <row r="11">
      <c r="A11" s="22">
        <v>2007.0</v>
      </c>
      <c r="B11" s="60">
        <v>5830.61</v>
      </c>
      <c r="C11" s="60">
        <v>1455.72</v>
      </c>
      <c r="D11" s="24">
        <v>31943.7</v>
      </c>
      <c r="E11" s="24">
        <v>7711.66</v>
      </c>
      <c r="F11" s="60">
        <v>3638.37</v>
      </c>
      <c r="G11" s="59">
        <v>875.5</v>
      </c>
    </row>
    <row r="12">
      <c r="A12" s="22">
        <v>2008.0</v>
      </c>
      <c r="B12" s="60">
        <v>15775.86</v>
      </c>
      <c r="C12" s="60">
        <v>3763.49</v>
      </c>
      <c r="D12" s="24">
        <v>59858.65</v>
      </c>
      <c r="E12" s="24">
        <v>14138.01</v>
      </c>
      <c r="F12" s="60">
        <v>7541.98</v>
      </c>
      <c r="G12" s="60">
        <v>1797.18</v>
      </c>
    </row>
    <row r="13">
      <c r="A13" s="22">
        <v>2009.0</v>
      </c>
      <c r="B13" s="60">
        <v>14826.24</v>
      </c>
      <c r="C13" s="60">
        <v>3059.54</v>
      </c>
      <c r="D13" s="24">
        <v>56012.89</v>
      </c>
      <c r="E13" s="24">
        <v>11536.23</v>
      </c>
      <c r="F13" s="60">
        <v>9873.06</v>
      </c>
      <c r="G13" s="60">
        <v>2051.01</v>
      </c>
    </row>
    <row r="14">
      <c r="A14" s="22">
        <v>2010.0</v>
      </c>
      <c r="B14" s="60">
        <v>9675.78</v>
      </c>
      <c r="C14" s="60">
        <v>2121.32</v>
      </c>
      <c r="D14" s="24">
        <v>32940.0</v>
      </c>
      <c r="E14" s="24">
        <v>7207.85</v>
      </c>
      <c r="F14" s="60">
        <v>6482.4</v>
      </c>
      <c r="G14" s="60">
        <v>1414.19</v>
      </c>
    </row>
    <row r="15">
      <c r="A15" s="22">
        <v>2011.0</v>
      </c>
      <c r="B15" s="60">
        <v>19596.97</v>
      </c>
      <c r="C15" s="60">
        <v>4255.09</v>
      </c>
      <c r="D15" s="24">
        <v>43779.17</v>
      </c>
      <c r="E15" s="24">
        <v>9485.16</v>
      </c>
      <c r="F15" s="60">
        <v>4712.78</v>
      </c>
      <c r="G15" s="60">
        <v>1000.08</v>
      </c>
    </row>
    <row r="16">
      <c r="A16" s="22">
        <v>2012.0</v>
      </c>
      <c r="B16" s="60">
        <v>15242.18</v>
      </c>
      <c r="C16" s="60">
        <v>2897.2</v>
      </c>
      <c r="D16" s="24">
        <v>49141.88</v>
      </c>
      <c r="E16" s="24">
        <v>9150.64</v>
      </c>
      <c r="F16" s="60">
        <v>3383.29</v>
      </c>
      <c r="G16" s="59">
        <v>639.09</v>
      </c>
    </row>
    <row r="17">
      <c r="A17" s="22">
        <v>2013.0</v>
      </c>
      <c r="B17" s="60">
        <v>22211.63</v>
      </c>
      <c r="C17" s="60">
        <v>3874.14</v>
      </c>
      <c r="D17" s="24">
        <v>33129.05</v>
      </c>
      <c r="E17" s="24">
        <v>5722.39</v>
      </c>
      <c r="F17" s="60">
        <v>4478.18</v>
      </c>
      <c r="G17" s="59">
        <v>771.9</v>
      </c>
    </row>
    <row r="18">
      <c r="A18" s="22">
        <v>2014.0</v>
      </c>
      <c r="B18" s="60">
        <v>43286.11</v>
      </c>
      <c r="C18" s="60">
        <v>7092.38</v>
      </c>
      <c r="D18" s="24">
        <v>42945.67</v>
      </c>
      <c r="E18" s="24">
        <v>7073.12</v>
      </c>
      <c r="F18" s="60">
        <v>10147.61</v>
      </c>
      <c r="G18" s="60">
        <v>1663.45</v>
      </c>
    </row>
    <row r="19">
      <c r="A19" s="22">
        <v>2015.0</v>
      </c>
      <c r="B19" s="60">
        <v>86299.09</v>
      </c>
      <c r="C19" s="60">
        <v>13414.32</v>
      </c>
      <c r="D19" s="24">
        <v>51605.87</v>
      </c>
      <c r="E19" s="24">
        <v>8049.56</v>
      </c>
      <c r="F19" s="60">
        <v>25242.0</v>
      </c>
      <c r="G19" s="60">
        <v>3855.07</v>
      </c>
    </row>
    <row r="20">
      <c r="A20" s="22">
        <v>2016.0</v>
      </c>
      <c r="B20" s="60">
        <v>65973.58</v>
      </c>
      <c r="C20" s="60">
        <v>9822.18</v>
      </c>
      <c r="D20" s="26" t="s">
        <v>305</v>
      </c>
      <c r="E20" s="24">
        <v>15069.46</v>
      </c>
      <c r="F20" s="60">
        <v>17602.75</v>
      </c>
      <c r="G20" s="60">
        <v>2621.22</v>
      </c>
    </row>
    <row r="21">
      <c r="A21" s="22">
        <v>2017.0</v>
      </c>
      <c r="B21" s="60">
        <v>70109.01</v>
      </c>
      <c r="C21" s="60">
        <v>10808.82</v>
      </c>
      <c r="D21" s="26" t="s">
        <v>308</v>
      </c>
      <c r="E21" s="24">
        <v>16256.73</v>
      </c>
      <c r="F21" s="60">
        <v>14188.61</v>
      </c>
      <c r="G21" s="60">
        <v>2183.16</v>
      </c>
    </row>
    <row r="22">
      <c r="A22" s="22">
        <v>2018.0</v>
      </c>
      <c r="B22" s="60">
        <v>108627.3</v>
      </c>
      <c r="C22" s="60">
        <v>15943.36</v>
      </c>
      <c r="D22" s="24">
        <v>59346.16</v>
      </c>
      <c r="E22" s="24">
        <v>8615.61</v>
      </c>
      <c r="F22" s="60">
        <v>18991.1</v>
      </c>
      <c r="G22" s="60">
        <v>2692.58</v>
      </c>
    </row>
    <row r="23">
      <c r="A23" s="22">
        <v>2019.0</v>
      </c>
      <c r="B23" s="60">
        <v>104758.49</v>
      </c>
      <c r="C23" s="60">
        <v>14904.18</v>
      </c>
      <c r="D23" s="24">
        <v>66626.02</v>
      </c>
      <c r="E23" s="24">
        <v>9516.61</v>
      </c>
      <c r="F23" s="60">
        <v>25202.15</v>
      </c>
      <c r="G23" s="60">
        <v>3589.88</v>
      </c>
    </row>
    <row r="24">
      <c r="A24" s="22">
        <v>2020.0</v>
      </c>
      <c r="B24" s="60">
        <v>138553.14</v>
      </c>
      <c r="C24" s="60">
        <v>18735.44</v>
      </c>
      <c r="D24" s="24">
        <v>31563.1</v>
      </c>
      <c r="E24" s="24">
        <v>4260.71</v>
      </c>
      <c r="F24" s="60">
        <v>105501.14</v>
      </c>
      <c r="G24" s="60">
        <v>14257.8</v>
      </c>
    </row>
    <row r="25">
      <c r="A25" s="22">
        <v>2021.0</v>
      </c>
      <c r="B25" s="60">
        <v>99195.87</v>
      </c>
      <c r="C25" s="60">
        <v>13392.0</v>
      </c>
      <c r="D25" s="24">
        <v>64572.28</v>
      </c>
      <c r="E25" s="24">
        <v>8744.23</v>
      </c>
      <c r="F25" s="60">
        <v>63063.62</v>
      </c>
      <c r="G25" s="60">
        <v>8517.81</v>
      </c>
    </row>
    <row r="26">
      <c r="A26" s="22">
        <v>2022.0</v>
      </c>
      <c r="B26" s="60">
        <v>134913.86</v>
      </c>
      <c r="C26" s="60">
        <v>17265.57</v>
      </c>
      <c r="D26" s="24">
        <v>58498.56</v>
      </c>
      <c r="E26" s="24">
        <v>7543.24</v>
      </c>
      <c r="F26" s="60">
        <v>62431.85</v>
      </c>
      <c r="G26" s="60">
        <v>7983.22</v>
      </c>
    </row>
    <row r="27">
      <c r="A27" s="22">
        <v>2023.0</v>
      </c>
      <c r="B27" s="60">
        <v>95419.27</v>
      </c>
      <c r="C27" s="60">
        <v>11568.46</v>
      </c>
      <c r="D27" s="24">
        <v>69960.61</v>
      </c>
      <c r="E27" s="24">
        <v>8444.62</v>
      </c>
      <c r="F27" s="60">
        <v>32381.9</v>
      </c>
      <c r="G27" s="60">
        <v>3922.92</v>
      </c>
    </row>
    <row r="28">
      <c r="A28" s="22">
        <v>2024.0</v>
      </c>
      <c r="B28" s="60">
        <v>136547.3</v>
      </c>
      <c r="C28" s="60">
        <v>16310.16</v>
      </c>
      <c r="D28" s="24">
        <v>66077.21</v>
      </c>
      <c r="E28" s="24">
        <v>7892.58</v>
      </c>
      <c r="F28" s="60">
        <v>49301.27</v>
      </c>
      <c r="G28" s="60">
        <v>5900.74</v>
      </c>
    </row>
    <row r="29">
      <c r="A29" s="22">
        <v>2025.0</v>
      </c>
      <c r="B29" s="60">
        <v>179870.39</v>
      </c>
      <c r="C29" s="60">
        <v>20615.52</v>
      </c>
      <c r="D29" s="24">
        <v>53931.24</v>
      </c>
      <c r="E29" s="24">
        <v>6210.3</v>
      </c>
      <c r="F29" s="60">
        <v>82342.85</v>
      </c>
      <c r="G29" s="60">
        <v>9527.29</v>
      </c>
    </row>
    <row r="30">
      <c r="A30" s="62" t="s">
        <v>321</v>
      </c>
      <c r="B30" s="63">
        <v>772330.74</v>
      </c>
      <c r="C30" s="63">
        <v>192539.09</v>
      </c>
      <c r="D30" s="21" t="s">
        <v>72</v>
      </c>
      <c r="E30" s="63">
        <v>185208.11</v>
      </c>
      <c r="F30" s="63">
        <v>561591.24</v>
      </c>
      <c r="G30" s="63">
        <v>78598.94</v>
      </c>
    </row>
    <row r="33">
      <c r="A33" s="64" t="s">
        <v>323</v>
      </c>
    </row>
    <row r="34">
      <c r="A34" s="65" t="s">
        <v>324</v>
      </c>
    </row>
  </sheetData>
  <mergeCells count="5">
    <mergeCell ref="A1:G1"/>
    <mergeCell ref="A2:A3"/>
    <mergeCell ref="B2:C2"/>
    <mergeCell ref="D2:E2"/>
    <mergeCell ref="F2:G2"/>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38"/>
    <col customWidth="1" min="2" max="2" width="12.25"/>
    <col customWidth="1" min="3" max="3" width="9.88"/>
    <col customWidth="1" min="4" max="4" width="17.75"/>
    <col customWidth="1" min="5" max="5" width="19.63"/>
    <col customWidth="1" min="6" max="29" width="11.38"/>
  </cols>
  <sheetData>
    <row r="1">
      <c r="A1" s="55" t="s">
        <v>239</v>
      </c>
      <c r="B1" s="55" t="s">
        <v>240</v>
      </c>
      <c r="C1" s="55" t="s">
        <v>242</v>
      </c>
      <c r="D1" s="55" t="s">
        <v>243</v>
      </c>
      <c r="E1" s="55" t="s">
        <v>245</v>
      </c>
      <c r="F1" s="55" t="s">
        <v>246</v>
      </c>
      <c r="G1" s="55" t="s">
        <v>247</v>
      </c>
      <c r="H1" s="55" t="s">
        <v>248</v>
      </c>
      <c r="I1" s="55" t="s">
        <v>249</v>
      </c>
      <c r="J1" s="55" t="s">
        <v>250</v>
      </c>
      <c r="K1" s="55" t="s">
        <v>251</v>
      </c>
      <c r="L1" s="55" t="s">
        <v>253</v>
      </c>
      <c r="M1" s="55" t="s">
        <v>254</v>
      </c>
      <c r="N1" s="55" t="s">
        <v>255</v>
      </c>
      <c r="O1" s="55" t="s">
        <v>256</v>
      </c>
      <c r="P1" s="55" t="s">
        <v>257</v>
      </c>
      <c r="Q1" s="55" t="s">
        <v>258</v>
      </c>
      <c r="R1" s="55" t="s">
        <v>259</v>
      </c>
      <c r="S1" s="55" t="s">
        <v>260</v>
      </c>
      <c r="T1" s="55" t="s">
        <v>262</v>
      </c>
      <c r="U1" s="55" t="s">
        <v>263</v>
      </c>
      <c r="V1" s="55" t="s">
        <v>265</v>
      </c>
      <c r="W1" s="55" t="s">
        <v>267</v>
      </c>
      <c r="X1" s="55" t="s">
        <v>268</v>
      </c>
      <c r="Y1" s="55" t="s">
        <v>269</v>
      </c>
      <c r="Z1" s="55" t="s">
        <v>270</v>
      </c>
      <c r="AA1" s="55" t="s">
        <v>271</v>
      </c>
      <c r="AB1" s="55" t="s">
        <v>272</v>
      </c>
      <c r="AC1" s="55" t="s">
        <v>273</v>
      </c>
    </row>
    <row r="2">
      <c r="A2" s="55" t="s">
        <v>41</v>
      </c>
      <c r="B2" s="55" t="s">
        <v>60</v>
      </c>
      <c r="C2" s="55" t="s">
        <v>275</v>
      </c>
      <c r="D2" s="55" t="s">
        <v>276</v>
      </c>
      <c r="E2" s="55" t="s">
        <v>278</v>
      </c>
      <c r="F2" s="55">
        <v>4477.240000000001</v>
      </c>
      <c r="G2" s="55">
        <v>5120.789000000001</v>
      </c>
      <c r="H2" s="55">
        <v>3598.674</v>
      </c>
      <c r="I2" s="55">
        <v>6146.804</v>
      </c>
      <c r="J2" s="55">
        <v>6635.4800000000005</v>
      </c>
      <c r="K2" s="55">
        <v>7837.608</v>
      </c>
      <c r="L2" s="55">
        <v>8024.929999999999</v>
      </c>
      <c r="M2" s="55">
        <v>12819.191</v>
      </c>
      <c r="N2" s="55">
        <v>16627.195999999996</v>
      </c>
      <c r="O2" s="55">
        <v>23692.527999999995</v>
      </c>
      <c r="P2" s="55">
        <v>36284.146</v>
      </c>
      <c r="Q2" s="55">
        <v>47822.42700000001</v>
      </c>
      <c r="R2" s="55">
        <v>52397.149</v>
      </c>
      <c r="S2" s="55">
        <v>58301.392</v>
      </c>
      <c r="T2" s="55">
        <v>61584.799000000006</v>
      </c>
      <c r="U2" s="55">
        <v>59018.727</v>
      </c>
      <c r="V2" s="55">
        <v>55971.55499999999</v>
      </c>
      <c r="W2" s="55">
        <v>67572.00284532469</v>
      </c>
      <c r="X2" s="55">
        <v>165869.819561</v>
      </c>
      <c r="Y2" s="55">
        <v>179103.45966537332</v>
      </c>
      <c r="Z2" s="55">
        <v>95031.51767945921</v>
      </c>
      <c r="AA2" s="55">
        <v>134887.8820441782</v>
      </c>
      <c r="AB2" s="55">
        <v>161537.49947200002</v>
      </c>
      <c r="AC2" s="55">
        <v>71379.334107</v>
      </c>
    </row>
    <row r="3">
      <c r="A3" s="55" t="s">
        <v>41</v>
      </c>
      <c r="B3" s="55" t="s">
        <v>60</v>
      </c>
      <c r="C3" s="55" t="s">
        <v>275</v>
      </c>
      <c r="D3" s="55" t="s">
        <v>280</v>
      </c>
      <c r="E3" s="55" t="s">
        <v>278</v>
      </c>
      <c r="F3" s="55">
        <v>292394.8669999996</v>
      </c>
      <c r="G3" s="55">
        <v>329847.5410000005</v>
      </c>
      <c r="H3" s="55">
        <v>320038.15599999984</v>
      </c>
      <c r="I3" s="55">
        <v>416739.7770000001</v>
      </c>
      <c r="J3" s="55">
        <v>587495.0779999997</v>
      </c>
      <c r="K3" s="55">
        <v>833078.7160000015</v>
      </c>
      <c r="L3" s="55">
        <v>1008043.0269999994</v>
      </c>
      <c r="M3" s="55">
        <v>1196980.109000001</v>
      </c>
      <c r="N3" s="55">
        <v>1348513.6280000012</v>
      </c>
      <c r="O3" s="55">
        <v>1234523.5950000018</v>
      </c>
      <c r="P3" s="55">
        <v>1697534.953000001</v>
      </c>
      <c r="Q3" s="55">
        <v>2082710.1829999976</v>
      </c>
      <c r="R3" s="55">
        <v>2603297.5960000013</v>
      </c>
      <c r="S3" s="55">
        <v>2775387.2599999993</v>
      </c>
      <c r="T3" s="55">
        <v>3265732.551000001</v>
      </c>
      <c r="U3" s="55">
        <v>2915630.8270000005</v>
      </c>
      <c r="V3" s="55">
        <v>2356943.028999999</v>
      </c>
      <c r="W3" s="55">
        <v>2998813.7185613136</v>
      </c>
      <c r="X3" s="55">
        <v>4699730.512397996</v>
      </c>
      <c r="Y3" s="55">
        <v>4271723.978209148</v>
      </c>
      <c r="Z3" s="55">
        <v>3462174.0046182107</v>
      </c>
      <c r="AA3" s="55">
        <v>6280381.91285823</v>
      </c>
      <c r="AB3" s="55">
        <v>6040855.345477012</v>
      </c>
      <c r="AC3" s="55">
        <v>2951493.7368690036</v>
      </c>
    </row>
    <row r="4">
      <c r="A4" s="55" t="s">
        <v>41</v>
      </c>
      <c r="B4" s="55" t="s">
        <v>60</v>
      </c>
      <c r="C4" s="55" t="s">
        <v>275</v>
      </c>
      <c r="D4" s="55" t="s">
        <v>282</v>
      </c>
      <c r="E4" s="55" t="s">
        <v>278</v>
      </c>
      <c r="F4" s="55">
        <v>61970.61299999999</v>
      </c>
      <c r="G4" s="55">
        <v>56558.39999999999</v>
      </c>
      <c r="H4" s="55">
        <v>66109.118</v>
      </c>
      <c r="I4" s="55">
        <v>83665.39999999998</v>
      </c>
      <c r="J4" s="55">
        <v>104885.415</v>
      </c>
      <c r="K4" s="55">
        <v>153567.00400000002</v>
      </c>
      <c r="L4" s="55">
        <v>203785.82</v>
      </c>
      <c r="M4" s="55">
        <v>257972.22900000002</v>
      </c>
      <c r="N4" s="55">
        <v>314177.48199999996</v>
      </c>
      <c r="O4" s="55">
        <v>360382.359</v>
      </c>
      <c r="P4" s="55">
        <v>392121.791</v>
      </c>
      <c r="Q4" s="55">
        <v>396307.831</v>
      </c>
      <c r="R4" s="55">
        <v>416036.369</v>
      </c>
      <c r="S4" s="55">
        <v>348669.42199999996</v>
      </c>
      <c r="T4" s="55">
        <v>373866.641</v>
      </c>
      <c r="U4" s="55">
        <v>368723.87299999996</v>
      </c>
      <c r="V4" s="55">
        <v>392771.699</v>
      </c>
      <c r="W4" s="55">
        <v>464635.00544225675</v>
      </c>
      <c r="X4" s="55">
        <v>808621.872045</v>
      </c>
      <c r="Y4" s="55">
        <v>981110.1764644904</v>
      </c>
      <c r="Z4" s="55">
        <v>790600.045274808</v>
      </c>
      <c r="AA4" s="55">
        <v>1044521.4009558761</v>
      </c>
      <c r="AB4" s="55">
        <v>1228261.556898</v>
      </c>
      <c r="AC4" s="55">
        <v>550272.423463</v>
      </c>
    </row>
    <row r="5">
      <c r="A5" s="55" t="s">
        <v>41</v>
      </c>
      <c r="B5" s="55" t="s">
        <v>60</v>
      </c>
      <c r="C5" s="55" t="s">
        <v>275</v>
      </c>
      <c r="D5" s="55" t="s">
        <v>284</v>
      </c>
      <c r="E5" s="55" t="s">
        <v>278</v>
      </c>
      <c r="F5" s="55">
        <v>2452.045</v>
      </c>
      <c r="G5" s="55">
        <v>1142.659</v>
      </c>
      <c r="H5" s="55">
        <v>1336.0849999999998</v>
      </c>
      <c r="I5" s="55">
        <v>498.651</v>
      </c>
      <c r="J5" s="55">
        <v>1936.913</v>
      </c>
      <c r="K5" s="55">
        <v>722.902</v>
      </c>
      <c r="L5" s="55">
        <v>1113.752</v>
      </c>
      <c r="M5" s="55">
        <v>1914.617</v>
      </c>
      <c r="N5" s="55">
        <v>2444.898</v>
      </c>
      <c r="O5" s="55">
        <v>1512.0149999999999</v>
      </c>
      <c r="P5" s="55">
        <v>2226.7200000000003</v>
      </c>
      <c r="Q5" s="55">
        <v>6486.048000000001</v>
      </c>
      <c r="R5" s="55">
        <v>3889.562</v>
      </c>
      <c r="S5" s="55">
        <v>1518.851</v>
      </c>
      <c r="T5" s="55">
        <v>2589.37</v>
      </c>
      <c r="U5" s="55">
        <v>4592.052</v>
      </c>
      <c r="V5" s="55">
        <v>5775.579</v>
      </c>
      <c r="W5" s="55">
        <v>5579.72203178124</v>
      </c>
      <c r="X5" s="55">
        <v>11801.776903000002</v>
      </c>
      <c r="Y5" s="55">
        <v>17052.6318628523</v>
      </c>
      <c r="Z5" s="55">
        <v>11254.3847973045</v>
      </c>
      <c r="AA5" s="55">
        <v>21682.61865317885</v>
      </c>
      <c r="AB5" s="55">
        <v>24731.373750000002</v>
      </c>
      <c r="AC5" s="55">
        <v>807.916789</v>
      </c>
    </row>
    <row r="6">
      <c r="A6" s="55" t="s">
        <v>41</v>
      </c>
      <c r="B6" s="55" t="s">
        <v>60</v>
      </c>
      <c r="C6" s="55" t="s">
        <v>275</v>
      </c>
      <c r="D6" s="55" t="s">
        <v>285</v>
      </c>
      <c r="E6" s="55" t="s">
        <v>278</v>
      </c>
      <c r="F6" s="55">
        <v>37869.64000000001</v>
      </c>
      <c r="G6" s="55">
        <v>25415.98</v>
      </c>
      <c r="H6" s="55">
        <v>16933.518</v>
      </c>
      <c r="I6" s="55">
        <v>25976.192000000003</v>
      </c>
      <c r="J6" s="55">
        <v>46831.637</v>
      </c>
      <c r="K6" s="55">
        <v>16503.156</v>
      </c>
      <c r="L6" s="55">
        <v>23298.39</v>
      </c>
      <c r="M6" s="55">
        <v>31606.264</v>
      </c>
      <c r="N6" s="55">
        <v>60482.104999999996</v>
      </c>
      <c r="O6" s="55">
        <v>167221.18800000002</v>
      </c>
      <c r="P6" s="55">
        <v>95684.286</v>
      </c>
      <c r="Q6" s="55">
        <v>287573.64199999993</v>
      </c>
      <c r="R6" s="55">
        <v>745468.9069999999</v>
      </c>
      <c r="S6" s="55">
        <v>230157.76599999997</v>
      </c>
      <c r="T6" s="55">
        <v>356226.961</v>
      </c>
      <c r="U6" s="55">
        <v>168382.353</v>
      </c>
      <c r="V6" s="55">
        <v>344230.72800000006</v>
      </c>
      <c r="W6" s="55">
        <v>511229.8685620233</v>
      </c>
      <c r="X6" s="55">
        <v>547671.477066</v>
      </c>
      <c r="Y6" s="55">
        <v>449250.8502237403</v>
      </c>
      <c r="Z6" s="55">
        <v>540876.960434879</v>
      </c>
      <c r="AA6" s="55">
        <v>1859599.337537737</v>
      </c>
      <c r="AB6" s="55">
        <v>1209298.160027</v>
      </c>
      <c r="AC6" s="55">
        <v>484254.44667200005</v>
      </c>
    </row>
    <row r="7">
      <c r="A7" s="55" t="s">
        <v>41</v>
      </c>
      <c r="B7" s="55" t="s">
        <v>60</v>
      </c>
      <c r="C7" s="55" t="s">
        <v>275</v>
      </c>
      <c r="D7" s="55" t="s">
        <v>287</v>
      </c>
      <c r="E7" s="55" t="s">
        <v>278</v>
      </c>
      <c r="F7" s="55">
        <v>2192.154</v>
      </c>
      <c r="G7" s="55">
        <v>22450.187</v>
      </c>
      <c r="H7" s="55">
        <v>7243.9</v>
      </c>
      <c r="I7" s="55">
        <v>2014.1589999999999</v>
      </c>
      <c r="J7" s="55">
        <v>5182.99</v>
      </c>
      <c r="K7" s="55">
        <v>3657.622</v>
      </c>
      <c r="L7" s="55">
        <v>2843.174</v>
      </c>
      <c r="M7" s="55">
        <v>8964.58</v>
      </c>
      <c r="N7" s="55">
        <v>6201.630999999999</v>
      </c>
      <c r="O7" s="55">
        <v>7082.4619999999995</v>
      </c>
      <c r="P7" s="55">
        <v>6153.402</v>
      </c>
      <c r="Q7" s="55">
        <v>7639.435</v>
      </c>
      <c r="R7" s="55">
        <v>5222.736999999999</v>
      </c>
      <c r="S7" s="55">
        <v>6057.152</v>
      </c>
      <c r="T7" s="55">
        <v>6225.415</v>
      </c>
      <c r="U7" s="55">
        <v>5342.242</v>
      </c>
      <c r="V7" s="55">
        <v>4650.546</v>
      </c>
      <c r="W7" s="55">
        <v>5616.90065289078</v>
      </c>
      <c r="X7" s="55">
        <v>43465.015503</v>
      </c>
      <c r="Y7" s="55">
        <v>56706.3213600292</v>
      </c>
      <c r="Z7" s="55">
        <v>42477.638639752506</v>
      </c>
      <c r="AA7" s="55">
        <v>95366.90420825261</v>
      </c>
      <c r="AB7" s="55">
        <v>117969.92749799999</v>
      </c>
      <c r="AC7" s="55">
        <v>2304.86247</v>
      </c>
    </row>
    <row r="8">
      <c r="A8" s="55" t="s">
        <v>41</v>
      </c>
      <c r="B8" s="55" t="s">
        <v>60</v>
      </c>
      <c r="C8" s="55" t="s">
        <v>275</v>
      </c>
      <c r="D8" s="55" t="s">
        <v>289</v>
      </c>
      <c r="E8" s="55" t="s">
        <v>278</v>
      </c>
      <c r="F8" s="55">
        <v>328.085</v>
      </c>
      <c r="G8" s="55">
        <v>278.509</v>
      </c>
      <c r="H8" s="55">
        <v>36.975</v>
      </c>
      <c r="I8" s="55">
        <v>125.23400000000001</v>
      </c>
      <c r="J8" s="55">
        <v>192.93800000000002</v>
      </c>
      <c r="K8" s="55">
        <v>186.556</v>
      </c>
      <c r="L8" s="55">
        <v>473.722</v>
      </c>
      <c r="M8" s="55">
        <v>2297.827</v>
      </c>
      <c r="N8" s="55">
        <v>823.876</v>
      </c>
      <c r="O8" s="55">
        <v>570.7520000000001</v>
      </c>
      <c r="P8" s="55">
        <v>1245.8239999999998</v>
      </c>
      <c r="Q8" s="55">
        <v>4649.38</v>
      </c>
      <c r="R8" s="55">
        <v>1931.8859999999997</v>
      </c>
      <c r="S8" s="55">
        <v>1787.471</v>
      </c>
      <c r="T8" s="55">
        <v>1562.65</v>
      </c>
      <c r="U8" s="55">
        <v>1914.7110000000002</v>
      </c>
      <c r="V8" s="55">
        <v>3810.009</v>
      </c>
      <c r="W8" s="55">
        <v>4058.66042071317</v>
      </c>
      <c r="X8" s="55">
        <v>3072.555798</v>
      </c>
      <c r="Y8" s="55">
        <v>1588.01234109</v>
      </c>
      <c r="Z8" s="55">
        <v>270.51367695010003</v>
      </c>
      <c r="AA8" s="55">
        <v>361.46848872030006</v>
      </c>
      <c r="AB8" s="55">
        <v>879.814871</v>
      </c>
      <c r="AC8" s="55">
        <v>549.9808409999999</v>
      </c>
    </row>
    <row r="9">
      <c r="A9" s="55" t="s">
        <v>41</v>
      </c>
      <c r="B9" s="55" t="s">
        <v>60</v>
      </c>
      <c r="C9" s="55" t="s">
        <v>275</v>
      </c>
      <c r="D9" s="55" t="s">
        <v>291</v>
      </c>
      <c r="E9" s="55" t="s">
        <v>278</v>
      </c>
      <c r="F9" s="55">
        <v>37301.424</v>
      </c>
      <c r="G9" s="55">
        <v>39625.911</v>
      </c>
      <c r="H9" s="55">
        <v>99697.675</v>
      </c>
      <c r="I9" s="55">
        <v>269270.73</v>
      </c>
      <c r="J9" s="55">
        <v>316569.63899999997</v>
      </c>
      <c r="K9" s="55">
        <v>260949.05200000003</v>
      </c>
      <c r="L9" s="55">
        <v>388968.30700000003</v>
      </c>
      <c r="M9" s="55">
        <v>612305.108</v>
      </c>
      <c r="N9" s="55">
        <v>1087106.064</v>
      </c>
      <c r="O9" s="55">
        <v>506035.328</v>
      </c>
      <c r="P9" s="55">
        <v>458624.626</v>
      </c>
      <c r="Q9" s="55">
        <v>403347.56499999994</v>
      </c>
      <c r="R9" s="55">
        <v>983934.6560000001</v>
      </c>
      <c r="S9" s="55">
        <v>934058.468</v>
      </c>
      <c r="T9" s="55">
        <v>264212.767</v>
      </c>
      <c r="U9" s="55">
        <v>583832.784</v>
      </c>
      <c r="V9" s="55">
        <v>588813.6499999999</v>
      </c>
      <c r="W9" s="55">
        <v>382826.14237311</v>
      </c>
      <c r="X9" s="55">
        <v>1000166.925881</v>
      </c>
      <c r="Y9" s="55">
        <v>992431.3675510683</v>
      </c>
      <c r="Z9" s="55">
        <v>1306100.1479364769</v>
      </c>
      <c r="AA9" s="55">
        <v>1312826.8036012675</v>
      </c>
      <c r="AB9" s="55">
        <v>3236709.2409679997</v>
      </c>
      <c r="AC9" s="55">
        <v>188595.499895</v>
      </c>
    </row>
    <row r="10">
      <c r="A10" s="55" t="s">
        <v>41</v>
      </c>
      <c r="B10" s="55" t="s">
        <v>60</v>
      </c>
      <c r="C10" s="55" t="s">
        <v>275</v>
      </c>
      <c r="D10" s="55" t="s">
        <v>293</v>
      </c>
      <c r="E10" s="55" t="s">
        <v>278</v>
      </c>
      <c r="F10" s="55">
        <v>89026.826</v>
      </c>
      <c r="G10" s="55">
        <v>87456.27900000001</v>
      </c>
      <c r="H10" s="55">
        <v>81229.2</v>
      </c>
      <c r="I10" s="55">
        <v>94857.92599999999</v>
      </c>
      <c r="J10" s="55">
        <v>129593.20899999997</v>
      </c>
      <c r="K10" s="55">
        <v>188681.33</v>
      </c>
      <c r="L10" s="55">
        <v>200740.07400000002</v>
      </c>
      <c r="M10" s="55">
        <v>262486.189</v>
      </c>
      <c r="N10" s="55">
        <v>263549.871</v>
      </c>
      <c r="O10" s="55">
        <v>202479.94</v>
      </c>
      <c r="P10" s="55">
        <v>268943.71499999997</v>
      </c>
      <c r="Q10" s="55">
        <v>317192.03199999995</v>
      </c>
      <c r="R10" s="55">
        <v>305155.79099999997</v>
      </c>
      <c r="S10" s="55">
        <v>275720.73000000004</v>
      </c>
      <c r="T10" s="55">
        <v>579244.12</v>
      </c>
      <c r="U10" s="55">
        <v>697062.3660000002</v>
      </c>
      <c r="V10" s="55">
        <v>293540.59700000007</v>
      </c>
      <c r="W10" s="55">
        <v>286102.1662752037</v>
      </c>
      <c r="X10" s="55">
        <v>886261.3823759999</v>
      </c>
      <c r="Y10" s="55">
        <v>886819.1034404726</v>
      </c>
      <c r="Z10" s="55">
        <v>604580.137034087</v>
      </c>
      <c r="AA10" s="55">
        <v>1028527.9930124987</v>
      </c>
      <c r="AB10" s="55">
        <v>1124255.165843</v>
      </c>
      <c r="AC10" s="55">
        <v>305833.63975100004</v>
      </c>
    </row>
    <row r="11">
      <c r="A11" s="55" t="s">
        <v>41</v>
      </c>
      <c r="B11" s="55" t="s">
        <v>60</v>
      </c>
      <c r="C11" s="55" t="s">
        <v>275</v>
      </c>
      <c r="D11" s="55" t="s">
        <v>295</v>
      </c>
      <c r="E11" s="55" t="s">
        <v>278</v>
      </c>
      <c r="F11" s="55">
        <v>50030.58900000001</v>
      </c>
      <c r="G11" s="55">
        <v>58736.343</v>
      </c>
      <c r="H11" s="55">
        <v>65946.66500000001</v>
      </c>
      <c r="I11" s="55">
        <v>74130.26400000001</v>
      </c>
      <c r="J11" s="55">
        <v>119490.211</v>
      </c>
      <c r="K11" s="55">
        <v>142855.54200000002</v>
      </c>
      <c r="L11" s="55">
        <v>152563.456</v>
      </c>
      <c r="M11" s="55">
        <v>204862.184</v>
      </c>
      <c r="N11" s="55">
        <v>232025.23500000002</v>
      </c>
      <c r="O11" s="55">
        <v>258973.97199999998</v>
      </c>
      <c r="P11" s="55">
        <v>351673.159</v>
      </c>
      <c r="Q11" s="55">
        <v>408173.735</v>
      </c>
      <c r="R11" s="55">
        <v>480854.065</v>
      </c>
      <c r="S11" s="55">
        <v>613439.2069999999</v>
      </c>
      <c r="T11" s="55">
        <v>891648.7969999999</v>
      </c>
      <c r="U11" s="55">
        <v>813557.569</v>
      </c>
      <c r="V11" s="55">
        <v>769000.061</v>
      </c>
      <c r="W11" s="55">
        <v>914942.8923180834</v>
      </c>
      <c r="X11" s="55">
        <v>1425376.6445749998</v>
      </c>
      <c r="Y11" s="55">
        <v>1418432.907270786</v>
      </c>
      <c r="Z11" s="55">
        <v>1018267.0776014121</v>
      </c>
      <c r="AA11" s="55">
        <v>1529734.2359158762</v>
      </c>
      <c r="AB11" s="55">
        <v>1682713.6761989999</v>
      </c>
      <c r="AC11" s="55">
        <v>1098461.635642</v>
      </c>
    </row>
    <row r="12">
      <c r="A12" s="55" t="s">
        <v>41</v>
      </c>
      <c r="B12" s="55" t="s">
        <v>60</v>
      </c>
      <c r="C12" s="55" t="s">
        <v>275</v>
      </c>
      <c r="D12" s="55" t="s">
        <v>297</v>
      </c>
      <c r="E12" s="55" t="s">
        <v>278</v>
      </c>
      <c r="F12" s="55">
        <v>800009.462</v>
      </c>
      <c r="G12" s="55">
        <v>683153.352</v>
      </c>
      <c r="H12" s="55">
        <v>685980.191</v>
      </c>
      <c r="I12" s="55">
        <v>913713.513</v>
      </c>
      <c r="J12" s="55">
        <v>1209251.376</v>
      </c>
      <c r="K12" s="55">
        <v>1605113.079</v>
      </c>
      <c r="L12" s="55">
        <v>2083473.212</v>
      </c>
      <c r="M12" s="55">
        <v>2546842.0379999997</v>
      </c>
      <c r="N12" s="55">
        <v>1708259.881</v>
      </c>
      <c r="O12" s="55">
        <v>2609719.301</v>
      </c>
      <c r="P12" s="55">
        <v>2122164.76</v>
      </c>
      <c r="Q12" s="55">
        <v>2333391.2539999997</v>
      </c>
      <c r="R12" s="55">
        <v>2110361.753</v>
      </c>
      <c r="S12" s="55">
        <v>2010390.1090000002</v>
      </c>
      <c r="T12" s="55">
        <v>1970920.79</v>
      </c>
      <c r="U12" s="55">
        <v>2281769.9859999996</v>
      </c>
      <c r="V12" s="55">
        <v>2220776.032</v>
      </c>
      <c r="W12" s="55">
        <v>2297644.7516317097</v>
      </c>
      <c r="X12" s="55">
        <v>5008926.793941</v>
      </c>
      <c r="Y12" s="55">
        <v>5655924.39559934</v>
      </c>
      <c r="Z12" s="55">
        <v>4717471.28104567</v>
      </c>
      <c r="AA12" s="55">
        <v>5919318.2440809095</v>
      </c>
      <c r="AB12" s="55">
        <v>7497597.885299</v>
      </c>
      <c r="AC12" s="55">
        <v>2024639.556764</v>
      </c>
    </row>
    <row r="13">
      <c r="A13" s="55" t="s">
        <v>41</v>
      </c>
      <c r="B13" s="55" t="s">
        <v>60</v>
      </c>
      <c r="C13" s="55" t="s">
        <v>275</v>
      </c>
      <c r="D13" s="55" t="s">
        <v>299</v>
      </c>
      <c r="E13" s="55" t="s">
        <v>278</v>
      </c>
      <c r="F13" s="55">
        <v>784940.2870000008</v>
      </c>
      <c r="G13" s="55">
        <v>674148.0309999995</v>
      </c>
      <c r="H13" s="55">
        <v>728553.362000001</v>
      </c>
      <c r="I13" s="55">
        <v>1128746.5480000013</v>
      </c>
      <c r="J13" s="55">
        <v>1462569.4789999987</v>
      </c>
      <c r="K13" s="55">
        <v>1748320.961</v>
      </c>
      <c r="L13" s="55">
        <v>2386830.5470000003</v>
      </c>
      <c r="M13" s="55">
        <v>3078562.1870000022</v>
      </c>
      <c r="N13" s="55">
        <v>2881255.6940000006</v>
      </c>
      <c r="O13" s="55">
        <v>2951236.7840000005</v>
      </c>
      <c r="P13" s="55">
        <v>2558540.6500000027</v>
      </c>
      <c r="Q13" s="55">
        <v>2753527.1750000026</v>
      </c>
      <c r="R13" s="55">
        <v>3228982.215000003</v>
      </c>
      <c r="S13" s="55">
        <v>3051629.1829999997</v>
      </c>
      <c r="T13" s="55">
        <v>2372602.6199999996</v>
      </c>
      <c r="U13" s="55">
        <v>3042789.418999996</v>
      </c>
      <c r="V13" s="55">
        <v>3007251.626</v>
      </c>
      <c r="W13" s="55">
        <v>2851685.753729358</v>
      </c>
      <c r="X13" s="55">
        <v>6293028.868675995</v>
      </c>
      <c r="Y13" s="55">
        <v>7044869.985989243</v>
      </c>
      <c r="Z13" s="55">
        <v>6437597.526092251</v>
      </c>
      <c r="AA13" s="55">
        <v>7843052.6182288835</v>
      </c>
      <c r="AB13" s="55">
        <v>1.1232211614676002E7</v>
      </c>
      <c r="AC13" s="55">
        <v>2556627.4687089995</v>
      </c>
    </row>
    <row r="14">
      <c r="A14" s="55" t="s">
        <v>41</v>
      </c>
      <c r="B14" s="55" t="s">
        <v>60</v>
      </c>
      <c r="C14" s="55" t="s">
        <v>275</v>
      </c>
      <c r="D14" s="55" t="s">
        <v>301</v>
      </c>
      <c r="E14" s="55" t="s">
        <v>278</v>
      </c>
      <c r="F14" s="55">
        <v>65067.901</v>
      </c>
      <c r="G14" s="55">
        <v>83001.46500000001</v>
      </c>
      <c r="H14" s="55">
        <v>54390.59</v>
      </c>
      <c r="I14" s="55">
        <v>46728.651</v>
      </c>
      <c r="J14" s="55">
        <v>73817.741</v>
      </c>
      <c r="K14" s="55">
        <v>89529.65900000003</v>
      </c>
      <c r="L14" s="55">
        <v>76327.63000000005</v>
      </c>
      <c r="M14" s="55">
        <v>105927.38200000001</v>
      </c>
      <c r="N14" s="55">
        <v>112529.94799999993</v>
      </c>
      <c r="O14" s="55">
        <v>66600.93999999999</v>
      </c>
      <c r="P14" s="55">
        <v>116050.319</v>
      </c>
      <c r="Q14" s="55">
        <v>144684.69899999994</v>
      </c>
      <c r="R14" s="55">
        <v>194907.0870000001</v>
      </c>
      <c r="S14" s="55">
        <v>185881.02299999996</v>
      </c>
      <c r="T14" s="55">
        <v>399870.73900000006</v>
      </c>
      <c r="U14" s="55">
        <v>297065.58400000003</v>
      </c>
      <c r="V14" s="55">
        <v>407073.671</v>
      </c>
      <c r="W14" s="55">
        <v>430117.2748401145</v>
      </c>
      <c r="X14" s="55">
        <v>1492561.6345080005</v>
      </c>
      <c r="Y14" s="55">
        <v>1500754.1590526532</v>
      </c>
      <c r="Z14" s="55">
        <v>889862.251739679</v>
      </c>
      <c r="AA14" s="55">
        <v>1777723.3841087734</v>
      </c>
      <c r="AB14" s="55">
        <v>3973486.4463920007</v>
      </c>
      <c r="AC14" s="55">
        <v>242133.35522699996</v>
      </c>
    </row>
    <row r="15">
      <c r="A15" s="55" t="s">
        <v>41</v>
      </c>
      <c r="B15" s="55" t="s">
        <v>60</v>
      </c>
      <c r="C15" s="55" t="s">
        <v>275</v>
      </c>
      <c r="D15" s="55" t="s">
        <v>303</v>
      </c>
      <c r="E15" s="55" t="s">
        <v>278</v>
      </c>
      <c r="F15" s="55">
        <v>95623.67</v>
      </c>
      <c r="G15" s="55">
        <v>138477.089</v>
      </c>
      <c r="H15" s="55">
        <v>107886.91200000001</v>
      </c>
      <c r="I15" s="55">
        <v>122843.617</v>
      </c>
      <c r="J15" s="55">
        <v>174050.668</v>
      </c>
      <c r="K15" s="55">
        <v>232205.507</v>
      </c>
      <c r="L15" s="55">
        <v>329685.95999999996</v>
      </c>
      <c r="M15" s="55">
        <v>342291.52900000004</v>
      </c>
      <c r="N15" s="55">
        <v>182730.15099999998</v>
      </c>
      <c r="O15" s="55">
        <v>48503.42100000001</v>
      </c>
      <c r="P15" s="55">
        <v>50715.922000000006</v>
      </c>
      <c r="Q15" s="55">
        <v>223651.96600000001</v>
      </c>
      <c r="R15" s="55">
        <v>212764.37300000002</v>
      </c>
      <c r="S15" s="55">
        <v>84034.671</v>
      </c>
      <c r="T15" s="55">
        <v>41576.27</v>
      </c>
      <c r="U15" s="55">
        <v>38987.732</v>
      </c>
      <c r="V15" s="55">
        <v>38897.884</v>
      </c>
      <c r="W15" s="55">
        <v>53326.90843045642</v>
      </c>
      <c r="X15" s="55">
        <v>189552.262599</v>
      </c>
      <c r="Y15" s="55">
        <v>260857.6688709827</v>
      </c>
      <c r="Z15" s="55">
        <v>140952.4103149297</v>
      </c>
      <c r="AA15" s="55">
        <v>148946.14246551858</v>
      </c>
      <c r="AB15" s="55">
        <v>210854.77668699998</v>
      </c>
      <c r="AC15" s="55">
        <v>22088.138579</v>
      </c>
    </row>
    <row r="16">
      <c r="A16" s="55" t="s">
        <v>41</v>
      </c>
      <c r="B16" s="55" t="s">
        <v>60</v>
      </c>
      <c r="C16" s="55" t="s">
        <v>275</v>
      </c>
      <c r="D16" s="55" t="s">
        <v>307</v>
      </c>
      <c r="E16" s="55" t="s">
        <v>278</v>
      </c>
      <c r="F16" s="55">
        <v>241260.58600000007</v>
      </c>
      <c r="G16" s="55">
        <v>261293.52599999987</v>
      </c>
      <c r="H16" s="55">
        <v>227892.0010000001</v>
      </c>
      <c r="I16" s="55">
        <v>259271.11500000005</v>
      </c>
      <c r="J16" s="55">
        <v>359960.0749999999</v>
      </c>
      <c r="K16" s="55">
        <v>468602.1200000005</v>
      </c>
      <c r="L16" s="55">
        <v>1490748.114000002</v>
      </c>
      <c r="M16" s="55">
        <v>2468661.3460000013</v>
      </c>
      <c r="N16" s="55">
        <v>3315570.5329999942</v>
      </c>
      <c r="O16" s="55">
        <v>1821844.2880000004</v>
      </c>
      <c r="P16" s="55">
        <v>2813348.994999999</v>
      </c>
      <c r="Q16" s="55">
        <v>3129291.7989999955</v>
      </c>
      <c r="R16" s="55">
        <v>1739991.989</v>
      </c>
      <c r="S16" s="55">
        <v>977338.9149999991</v>
      </c>
      <c r="T16" s="55">
        <v>1000964.217999999</v>
      </c>
      <c r="U16" s="55">
        <v>1128843.7870000007</v>
      </c>
      <c r="V16" s="55">
        <v>923715.2869999999</v>
      </c>
      <c r="W16" s="55">
        <v>922083.1730570763</v>
      </c>
      <c r="X16" s="55">
        <v>1930694.5557879992</v>
      </c>
      <c r="Y16" s="55">
        <v>2053249.9884896092</v>
      </c>
      <c r="Z16" s="55">
        <v>1488438.519166805</v>
      </c>
      <c r="AA16" s="55">
        <v>2257094.9198990366</v>
      </c>
      <c r="AB16" s="55">
        <v>3011791.779947</v>
      </c>
      <c r="AC16" s="55">
        <v>1177229.7361620003</v>
      </c>
    </row>
    <row r="17">
      <c r="A17" s="55" t="s">
        <v>41</v>
      </c>
      <c r="B17" s="55" t="s">
        <v>60</v>
      </c>
      <c r="C17" s="55" t="s">
        <v>275</v>
      </c>
      <c r="D17" s="55" t="s">
        <v>309</v>
      </c>
      <c r="E17" s="55" t="s">
        <v>278</v>
      </c>
      <c r="F17" s="55">
        <v>161349.692</v>
      </c>
      <c r="G17" s="55">
        <v>197882.67200000002</v>
      </c>
      <c r="H17" s="55">
        <v>168453.55399999997</v>
      </c>
      <c r="I17" s="55">
        <v>233426.36500000002</v>
      </c>
      <c r="J17" s="55">
        <v>342650.81200000003</v>
      </c>
      <c r="K17" s="55">
        <v>501929.912</v>
      </c>
      <c r="L17" s="55">
        <v>655318.627</v>
      </c>
      <c r="M17" s="55">
        <v>754627.624</v>
      </c>
      <c r="N17" s="55">
        <v>889982.2150000001</v>
      </c>
      <c r="O17" s="55">
        <v>685701.9769999998</v>
      </c>
      <c r="P17" s="55">
        <v>1083544.7609999997</v>
      </c>
      <c r="Q17" s="55">
        <v>1162052.5510000002</v>
      </c>
      <c r="R17" s="55">
        <v>1275053.843</v>
      </c>
      <c r="S17" s="55">
        <v>1864894.7800000003</v>
      </c>
      <c r="T17" s="55">
        <v>1836049.574</v>
      </c>
      <c r="U17" s="55">
        <v>1533821.534</v>
      </c>
      <c r="V17" s="55">
        <v>1354260.614</v>
      </c>
      <c r="W17" s="55">
        <v>1715138.0187647862</v>
      </c>
      <c r="X17" s="55">
        <v>2459437.635562</v>
      </c>
      <c r="Y17" s="55">
        <v>1947249.5416474657</v>
      </c>
      <c r="Z17" s="55">
        <v>1556773.9601717542</v>
      </c>
      <c r="AA17" s="55">
        <v>2188214.9828962972</v>
      </c>
      <c r="AB17" s="55">
        <v>2375088.105236</v>
      </c>
      <c r="AC17" s="55">
        <v>1361516.663357</v>
      </c>
    </row>
    <row r="18">
      <c r="A18" s="55" t="s">
        <v>41</v>
      </c>
      <c r="B18" s="55" t="s">
        <v>60</v>
      </c>
      <c r="C18" s="55" t="s">
        <v>275</v>
      </c>
      <c r="D18" s="55" t="s">
        <v>311</v>
      </c>
      <c r="E18" s="55" t="s">
        <v>278</v>
      </c>
      <c r="F18" s="55">
        <v>11967.548</v>
      </c>
      <c r="G18" s="55">
        <v>11814.475000000002</v>
      </c>
      <c r="H18" s="55">
        <v>10063.368999999999</v>
      </c>
      <c r="I18" s="55">
        <v>11160.076000000001</v>
      </c>
      <c r="J18" s="55">
        <v>11766.384</v>
      </c>
      <c r="K18" s="55">
        <v>11456.933000000003</v>
      </c>
      <c r="L18" s="55">
        <v>13896.629</v>
      </c>
      <c r="M18" s="55">
        <v>14248.331</v>
      </c>
      <c r="N18" s="55">
        <v>15903.116000000002</v>
      </c>
      <c r="O18" s="55">
        <v>16486.3</v>
      </c>
      <c r="P18" s="55">
        <v>22600.888</v>
      </c>
      <c r="Q18" s="55">
        <v>30102.884000000002</v>
      </c>
      <c r="R18" s="55">
        <v>26094.718999999997</v>
      </c>
      <c r="S18" s="55">
        <v>21715.75</v>
      </c>
      <c r="T18" s="55">
        <v>26385.672</v>
      </c>
      <c r="U18" s="55">
        <v>24484.382</v>
      </c>
      <c r="V18" s="55">
        <v>28507.589999999997</v>
      </c>
      <c r="W18" s="55">
        <v>29449.163318281644</v>
      </c>
      <c r="X18" s="55">
        <v>58763.76599699999</v>
      </c>
      <c r="Y18" s="55">
        <v>109626.31036000008</v>
      </c>
      <c r="Z18" s="55">
        <v>71893.8151109432</v>
      </c>
      <c r="AA18" s="55">
        <v>83328.1537817536</v>
      </c>
      <c r="AB18" s="55">
        <v>235721.480988</v>
      </c>
      <c r="AC18" s="55">
        <v>15287.667988</v>
      </c>
    </row>
    <row r="19">
      <c r="A19" s="55" t="s">
        <v>41</v>
      </c>
      <c r="B19" s="55" t="s">
        <v>60</v>
      </c>
      <c r="C19" s="55" t="s">
        <v>275</v>
      </c>
      <c r="D19" s="61" t="s">
        <v>313</v>
      </c>
      <c r="E19" s="55" t="s">
        <v>278</v>
      </c>
      <c r="F19" s="55">
        <v>1401559.789</v>
      </c>
      <c r="G19" s="55">
        <v>1354741.831</v>
      </c>
      <c r="H19" s="55">
        <v>1333690.954</v>
      </c>
      <c r="I19" s="55">
        <v>1867028.654</v>
      </c>
      <c r="J19" s="55">
        <v>2492154.91</v>
      </c>
      <c r="K19" s="55">
        <v>3159415.863</v>
      </c>
      <c r="L19" s="55">
        <v>5184561.868</v>
      </c>
      <c r="M19" s="55">
        <v>6901607.086</v>
      </c>
      <c r="N19" s="55">
        <v>8304750.689</v>
      </c>
      <c r="O19" s="55">
        <v>6141634.234</v>
      </c>
      <c r="P19" s="55">
        <v>7263136.243</v>
      </c>
      <c r="Q19" s="55">
        <v>8155302.039</v>
      </c>
      <c r="R19" s="55">
        <v>7797327.222</v>
      </c>
      <c r="S19" s="55">
        <v>7026636.514</v>
      </c>
      <c r="T19" s="55">
        <v>7069416.666</v>
      </c>
      <c r="U19" s="55">
        <v>7395997.582</v>
      </c>
      <c r="V19" s="55">
        <v>6719479.245</v>
      </c>
      <c r="W19" s="55">
        <v>7235416.29667579</v>
      </c>
      <c r="X19" s="55">
        <v>1.4436507548189E7</v>
      </c>
      <c r="Y19" s="55">
        <v>1.48938918553071E7</v>
      </c>
      <c r="Z19" s="55">
        <v>1.23067469775282E7</v>
      </c>
      <c r="AA19" s="55">
        <v>1.8201531477632802E7</v>
      </c>
      <c r="AB19" s="55">
        <v>2.4418725272813E7</v>
      </c>
      <c r="AC19" s="55">
        <v>6934788.486977</v>
      </c>
    </row>
    <row r="20">
      <c r="A20" s="55" t="s">
        <v>41</v>
      </c>
      <c r="B20" s="55" t="s">
        <v>60</v>
      </c>
      <c r="C20" s="55" t="s">
        <v>275</v>
      </c>
      <c r="D20" s="55" t="s">
        <v>316</v>
      </c>
      <c r="E20" s="55" t="s">
        <v>278</v>
      </c>
      <c r="F20" s="55">
        <v>13156.638</v>
      </c>
      <c r="G20" s="55">
        <v>7957.918</v>
      </c>
      <c r="H20" s="55">
        <v>9646.423</v>
      </c>
      <c r="I20" s="55">
        <v>3992.969</v>
      </c>
      <c r="J20" s="55">
        <v>10447.481</v>
      </c>
      <c r="K20" s="55">
        <v>9638.216</v>
      </c>
      <c r="L20" s="55">
        <v>892200.556</v>
      </c>
      <c r="M20" s="55">
        <v>1787979.103</v>
      </c>
      <c r="N20" s="55">
        <v>2869839.104</v>
      </c>
      <c r="O20" s="55">
        <v>1247115.426</v>
      </c>
      <c r="P20" s="55">
        <v>2359504.26</v>
      </c>
      <c r="Q20" s="55">
        <v>2497806.697</v>
      </c>
      <c r="R20" s="55">
        <v>1161827.658</v>
      </c>
      <c r="S20" s="55">
        <v>566930.408</v>
      </c>
      <c r="T20" s="55">
        <v>636313.335</v>
      </c>
      <c r="U20" s="55">
        <v>807020.02</v>
      </c>
      <c r="V20" s="55">
        <v>606421.586</v>
      </c>
      <c r="W20" s="55">
        <v>491475.252011994</v>
      </c>
      <c r="X20" s="55">
        <v>1472746.192267</v>
      </c>
      <c r="Y20" s="55">
        <v>1562552.82273736</v>
      </c>
      <c r="Z20" s="55">
        <v>1113640.56380901</v>
      </c>
      <c r="AA20" s="55">
        <v>2304374.44705201</v>
      </c>
      <c r="AB20" s="55">
        <v>4754248.729694</v>
      </c>
      <c r="AC20" s="55">
        <v>801166.504118</v>
      </c>
    </row>
    <row r="21" ht="15.75" customHeight="1">
      <c r="A21" s="55" t="s">
        <v>41</v>
      </c>
      <c r="B21" s="55" t="s">
        <v>60</v>
      </c>
      <c r="C21" s="55" t="s">
        <v>275</v>
      </c>
      <c r="D21" s="55" t="s">
        <v>318</v>
      </c>
      <c r="E21" s="55" t="s">
        <v>278</v>
      </c>
      <c r="F21" s="55">
        <v>15672.419</v>
      </c>
      <c r="G21" s="55">
        <v>11977.299</v>
      </c>
      <c r="H21" s="55">
        <v>6613.994</v>
      </c>
      <c r="I21" s="55">
        <v>10533.228000000001</v>
      </c>
      <c r="J21" s="55">
        <v>4727.802000000001</v>
      </c>
      <c r="K21" s="55">
        <v>4436.080999999999</v>
      </c>
      <c r="L21" s="55">
        <v>6379.774</v>
      </c>
      <c r="M21" s="55">
        <v>10044.505000000001</v>
      </c>
      <c r="N21" s="55">
        <v>10235.446000000002</v>
      </c>
      <c r="O21" s="55">
        <v>5699.314</v>
      </c>
      <c r="P21" s="55">
        <v>10665.07</v>
      </c>
      <c r="Q21" s="55">
        <v>26197.292000000005</v>
      </c>
      <c r="R21" s="55">
        <v>13784.588000000002</v>
      </c>
      <c r="S21" s="55">
        <v>7069.869000000001</v>
      </c>
      <c r="T21" s="55">
        <v>19574.95</v>
      </c>
      <c r="U21" s="55">
        <v>5222.888000000001</v>
      </c>
      <c r="V21" s="55">
        <v>9404.657</v>
      </c>
      <c r="W21" s="55">
        <v>3615.8541888967197</v>
      </c>
      <c r="X21" s="55">
        <v>347959.136001</v>
      </c>
      <c r="Y21" s="55">
        <v>369606.7761978985</v>
      </c>
      <c r="Z21" s="55">
        <v>292176.2155398819</v>
      </c>
      <c r="AA21" s="55">
        <v>523386.48760073015</v>
      </c>
      <c r="AB21" s="55">
        <v>546005.6708409999</v>
      </c>
      <c r="AC21" s="55">
        <v>4941.918676</v>
      </c>
    </row>
    <row r="22" ht="15.75" customHeight="1">
      <c r="A22" s="55" t="s">
        <v>41</v>
      </c>
      <c r="B22" s="55" t="s">
        <v>60</v>
      </c>
      <c r="C22" s="55" t="s">
        <v>275</v>
      </c>
      <c r="D22" s="55" t="s">
        <v>320</v>
      </c>
      <c r="E22" s="55" t="s">
        <v>278</v>
      </c>
      <c r="F22" s="55">
        <v>338.371</v>
      </c>
      <c r="G22" s="55">
        <v>249.53699999999998</v>
      </c>
      <c r="H22" s="55">
        <v>118.946</v>
      </c>
      <c r="I22" s="55">
        <v>112.224</v>
      </c>
      <c r="J22" s="55">
        <v>243.05999999999997</v>
      </c>
      <c r="K22" s="55">
        <v>549.365</v>
      </c>
      <c r="L22" s="55">
        <v>290.01899999999995</v>
      </c>
      <c r="M22" s="55">
        <v>623.897</v>
      </c>
      <c r="N22" s="55">
        <v>698.601</v>
      </c>
      <c r="O22" s="55">
        <v>457.95300000000003</v>
      </c>
      <c r="P22" s="55">
        <v>982.914</v>
      </c>
      <c r="Q22" s="55">
        <v>2907.298</v>
      </c>
      <c r="R22" s="55">
        <v>2549.166</v>
      </c>
      <c r="S22" s="55">
        <v>1890.4700000000003</v>
      </c>
      <c r="T22" s="55">
        <v>1434.556</v>
      </c>
      <c r="U22" s="55">
        <v>2264.365</v>
      </c>
      <c r="V22" s="55">
        <v>2646.456</v>
      </c>
      <c r="W22" s="55">
        <v>2202.9874082737197</v>
      </c>
      <c r="X22" s="55">
        <v>6814.292119</v>
      </c>
      <c r="Y22" s="55">
        <v>5579.50971411925</v>
      </c>
      <c r="Z22" s="55">
        <v>4380.308460852</v>
      </c>
      <c r="AA22" s="55">
        <v>6454.3753379409</v>
      </c>
      <c r="AB22" s="55">
        <v>12852.208545</v>
      </c>
      <c r="AC22" s="55">
        <v>2688.29787</v>
      </c>
    </row>
    <row r="23" ht="15.75" customHeight="1"/>
    <row r="24" ht="15.75" customHeight="1"/>
    <row r="25" ht="15.75" customHeight="1"/>
    <row r="26" ht="15.75" customHeight="1"/>
    <row r="27" ht="15.75" customHeight="1">
      <c r="A27" s="55" t="s">
        <v>239</v>
      </c>
      <c r="B27" s="55" t="s">
        <v>240</v>
      </c>
      <c r="C27" s="55" t="s">
        <v>242</v>
      </c>
      <c r="D27" s="55" t="s">
        <v>243</v>
      </c>
      <c r="E27" s="55" t="s">
        <v>245</v>
      </c>
      <c r="F27" s="55" t="s">
        <v>246</v>
      </c>
      <c r="G27" s="55" t="s">
        <v>247</v>
      </c>
      <c r="H27" s="55" t="s">
        <v>248</v>
      </c>
      <c r="I27" s="55" t="s">
        <v>249</v>
      </c>
      <c r="J27" s="55" t="s">
        <v>250</v>
      </c>
      <c r="K27" s="55" t="s">
        <v>251</v>
      </c>
      <c r="L27" s="55" t="s">
        <v>253</v>
      </c>
      <c r="M27" s="55" t="s">
        <v>254</v>
      </c>
      <c r="N27" s="55" t="s">
        <v>255</v>
      </c>
      <c r="O27" s="55" t="s">
        <v>256</v>
      </c>
      <c r="P27" s="55" t="s">
        <v>257</v>
      </c>
      <c r="Q27" s="55" t="s">
        <v>258</v>
      </c>
      <c r="R27" s="55" t="s">
        <v>259</v>
      </c>
      <c r="S27" s="55" t="s">
        <v>260</v>
      </c>
      <c r="T27" s="55" t="s">
        <v>262</v>
      </c>
      <c r="U27" s="55" t="s">
        <v>263</v>
      </c>
      <c r="V27" s="55" t="s">
        <v>265</v>
      </c>
      <c r="W27" s="55" t="s">
        <v>267</v>
      </c>
      <c r="X27" s="55" t="s">
        <v>268</v>
      </c>
      <c r="Y27" s="55" t="s">
        <v>269</v>
      </c>
      <c r="Z27" s="55" t="s">
        <v>270</v>
      </c>
      <c r="AA27" s="55" t="s">
        <v>271</v>
      </c>
      <c r="AB27" s="55" t="s">
        <v>272</v>
      </c>
      <c r="AC27" s="55" t="s">
        <v>273</v>
      </c>
    </row>
    <row r="28" ht="15.75" customHeight="1">
      <c r="A28" s="55" t="s">
        <v>41</v>
      </c>
      <c r="B28" s="55" t="s">
        <v>60</v>
      </c>
      <c r="C28" s="55" t="s">
        <v>326</v>
      </c>
      <c r="D28" s="55" t="s">
        <v>276</v>
      </c>
      <c r="E28" s="55" t="s">
        <v>327</v>
      </c>
      <c r="F28" s="55">
        <v>80252.37900000002</v>
      </c>
      <c r="G28" s="55">
        <v>83050.49799999999</v>
      </c>
      <c r="H28" s="55">
        <v>70256.309</v>
      </c>
      <c r="I28" s="55">
        <v>55755.37899999999</v>
      </c>
      <c r="J28" s="55">
        <v>67032.293</v>
      </c>
      <c r="K28" s="55">
        <v>79320.232</v>
      </c>
      <c r="L28" s="55">
        <v>87784.422</v>
      </c>
      <c r="M28" s="55">
        <v>59992.045000000006</v>
      </c>
      <c r="N28" s="55">
        <v>109244.00699999998</v>
      </c>
      <c r="O28" s="55">
        <v>72554.322</v>
      </c>
      <c r="P28" s="55">
        <v>75375.31</v>
      </c>
      <c r="Q28" s="55">
        <v>85285.07400000001</v>
      </c>
      <c r="R28" s="55">
        <v>133818.824</v>
      </c>
      <c r="S28" s="55">
        <v>101388.66</v>
      </c>
      <c r="T28" s="55">
        <v>78597.36699999998</v>
      </c>
      <c r="U28" s="55">
        <v>110423.345</v>
      </c>
      <c r="V28" s="55">
        <v>85440.782</v>
      </c>
      <c r="W28" s="55">
        <v>86120.65924866458</v>
      </c>
      <c r="X28" s="55">
        <v>105506.438218</v>
      </c>
      <c r="Y28" s="55">
        <v>102416.95340128937</v>
      </c>
      <c r="Z28" s="55">
        <v>129958.78570547598</v>
      </c>
      <c r="AA28" s="55">
        <v>131641.7473867592</v>
      </c>
      <c r="AB28" s="55">
        <v>146901.431008</v>
      </c>
      <c r="AC28" s="55">
        <v>127556.35669300001</v>
      </c>
    </row>
    <row r="29" ht="15.75" customHeight="1">
      <c r="A29" s="55" t="s">
        <v>41</v>
      </c>
      <c r="B29" s="55" t="s">
        <v>60</v>
      </c>
      <c r="C29" s="55" t="s">
        <v>326</v>
      </c>
      <c r="D29" s="55" t="s">
        <v>280</v>
      </c>
      <c r="E29" s="55" t="s">
        <v>327</v>
      </c>
      <c r="F29" s="55">
        <v>413892.30400000064</v>
      </c>
      <c r="G29" s="55">
        <v>422013.6400000002</v>
      </c>
      <c r="H29" s="55">
        <v>593690.1600000001</v>
      </c>
      <c r="I29" s="55">
        <v>526862.5490000002</v>
      </c>
      <c r="J29" s="55">
        <v>783413.4689999996</v>
      </c>
      <c r="K29" s="55">
        <v>2230762.718999999</v>
      </c>
      <c r="L29" s="55">
        <v>1005047.3310000001</v>
      </c>
      <c r="M29" s="55">
        <v>1080993.0920000016</v>
      </c>
      <c r="N29" s="55">
        <v>1451540.4619999998</v>
      </c>
      <c r="O29" s="55">
        <v>1469035.607000001</v>
      </c>
      <c r="P29" s="55">
        <v>1132604.023000001</v>
      </c>
      <c r="Q29" s="55">
        <v>1571162.3150000009</v>
      </c>
      <c r="R29" s="55">
        <v>1778107.1890000002</v>
      </c>
      <c r="S29" s="55">
        <v>2012556.7939999988</v>
      </c>
      <c r="T29" s="55">
        <v>1480268.4490000017</v>
      </c>
      <c r="U29" s="55">
        <v>1263762.8979999998</v>
      </c>
      <c r="V29" s="55">
        <v>1371502.8950000023</v>
      </c>
      <c r="W29" s="55">
        <v>1402060.846791427</v>
      </c>
      <c r="X29" s="55">
        <v>1209461.0209339987</v>
      </c>
      <c r="Y29" s="55">
        <v>1379223.192934814</v>
      </c>
      <c r="Z29" s="55">
        <v>1376344.4628621484</v>
      </c>
      <c r="AA29" s="55">
        <v>1600892.7860928103</v>
      </c>
      <c r="AB29" s="55">
        <v>1930759.2093149996</v>
      </c>
      <c r="AC29" s="55">
        <v>1841881.1790250023</v>
      </c>
    </row>
    <row r="30" ht="15.75" customHeight="1">
      <c r="A30" s="55" t="s">
        <v>41</v>
      </c>
      <c r="B30" s="55" t="s">
        <v>60</v>
      </c>
      <c r="C30" s="55" t="s">
        <v>326</v>
      </c>
      <c r="D30" s="55" t="s">
        <v>282</v>
      </c>
      <c r="E30" s="55" t="s">
        <v>327</v>
      </c>
      <c r="F30" s="55">
        <v>14686.345000000001</v>
      </c>
      <c r="G30" s="55">
        <v>19611.151</v>
      </c>
      <c r="H30" s="55">
        <v>21541.994</v>
      </c>
      <c r="I30" s="55">
        <v>29519.427</v>
      </c>
      <c r="J30" s="55">
        <v>52605.00200000001</v>
      </c>
      <c r="K30" s="55">
        <v>65439.098000000005</v>
      </c>
      <c r="L30" s="55">
        <v>78119.717</v>
      </c>
      <c r="M30" s="55">
        <v>199316.27000000002</v>
      </c>
      <c r="N30" s="55">
        <v>134421.092</v>
      </c>
      <c r="O30" s="55">
        <v>825284.7689999999</v>
      </c>
      <c r="P30" s="55">
        <v>876524.608</v>
      </c>
      <c r="Q30" s="55">
        <v>545902.64</v>
      </c>
      <c r="R30" s="55">
        <v>393838.67500000005</v>
      </c>
      <c r="S30" s="55">
        <v>247551.499</v>
      </c>
      <c r="T30" s="55">
        <v>229317.704</v>
      </c>
      <c r="U30" s="55">
        <v>1221489.248</v>
      </c>
      <c r="V30" s="55">
        <v>237292.338</v>
      </c>
      <c r="W30" s="55">
        <v>196459.80502290436</v>
      </c>
      <c r="X30" s="55">
        <v>224842.03194599997</v>
      </c>
      <c r="Y30" s="55">
        <v>265276.18467023224</v>
      </c>
      <c r="Z30" s="55">
        <v>207299.4293295957</v>
      </c>
      <c r="AA30" s="55">
        <v>211245.29246819555</v>
      </c>
      <c r="AB30" s="55">
        <v>250499.31730800003</v>
      </c>
      <c r="AC30" s="55">
        <v>292033.1835269999</v>
      </c>
    </row>
    <row r="31" ht="15.75" customHeight="1">
      <c r="A31" s="55" t="s">
        <v>41</v>
      </c>
      <c r="B31" s="55" t="s">
        <v>60</v>
      </c>
      <c r="C31" s="55" t="s">
        <v>326</v>
      </c>
      <c r="D31" s="55" t="s">
        <v>284</v>
      </c>
      <c r="E31" s="55" t="s">
        <v>327</v>
      </c>
      <c r="F31" s="55">
        <v>5688.019</v>
      </c>
      <c r="G31" s="55">
        <v>4600.335</v>
      </c>
      <c r="H31" s="55">
        <v>4733.204</v>
      </c>
      <c r="I31" s="55">
        <v>2660.971</v>
      </c>
      <c r="J31" s="55">
        <v>7019.537</v>
      </c>
      <c r="K31" s="55">
        <v>5652.586</v>
      </c>
      <c r="L31" s="55">
        <v>6647.135</v>
      </c>
      <c r="M31" s="55">
        <v>7372.138</v>
      </c>
      <c r="N31" s="55">
        <v>6172.846</v>
      </c>
      <c r="O31" s="55">
        <v>7639.368</v>
      </c>
      <c r="P31" s="55">
        <v>5072.879</v>
      </c>
      <c r="Q31" s="55">
        <v>7551.84</v>
      </c>
      <c r="R31" s="55">
        <v>6870.695</v>
      </c>
      <c r="S31" s="55">
        <v>9025.453</v>
      </c>
      <c r="T31" s="55">
        <v>9314.633</v>
      </c>
      <c r="U31" s="55">
        <v>10956.003999999999</v>
      </c>
      <c r="V31" s="55">
        <v>10125.758</v>
      </c>
      <c r="W31" s="55">
        <v>10455.84409570748</v>
      </c>
      <c r="X31" s="55">
        <v>7717.215964000001</v>
      </c>
      <c r="Y31" s="55">
        <v>7407.831363804361</v>
      </c>
      <c r="Z31" s="55">
        <v>3888.28713624976</v>
      </c>
      <c r="AA31" s="55">
        <v>6017.71134556215</v>
      </c>
      <c r="AB31" s="55">
        <v>8532.76432</v>
      </c>
      <c r="AC31" s="55">
        <v>9673.00791</v>
      </c>
    </row>
    <row r="32" ht="15.75" customHeight="1">
      <c r="A32" s="55" t="s">
        <v>41</v>
      </c>
      <c r="B32" s="55" t="s">
        <v>60</v>
      </c>
      <c r="C32" s="55" t="s">
        <v>326</v>
      </c>
      <c r="D32" s="55" t="s">
        <v>285</v>
      </c>
      <c r="E32" s="55" t="s">
        <v>327</v>
      </c>
      <c r="F32" s="55">
        <v>130141.579</v>
      </c>
      <c r="G32" s="55">
        <v>122721.445</v>
      </c>
      <c r="H32" s="55">
        <v>259409.42799999999</v>
      </c>
      <c r="I32" s="55">
        <v>200040.737</v>
      </c>
      <c r="J32" s="55">
        <v>331921.17799999996</v>
      </c>
      <c r="K32" s="55">
        <v>1500122.4889999998</v>
      </c>
      <c r="L32" s="55">
        <v>157439.448</v>
      </c>
      <c r="M32" s="55">
        <v>206016.49099999998</v>
      </c>
      <c r="N32" s="55">
        <v>310851.91599999997</v>
      </c>
      <c r="O32" s="55">
        <v>773854.0410000001</v>
      </c>
      <c r="P32" s="55">
        <v>464858.18499999994</v>
      </c>
      <c r="Q32" s="55">
        <v>631974.454</v>
      </c>
      <c r="R32" s="55">
        <v>601981.624</v>
      </c>
      <c r="S32" s="55">
        <v>657091.114</v>
      </c>
      <c r="T32" s="55">
        <v>513059.27699999994</v>
      </c>
      <c r="U32" s="55">
        <v>370734.609</v>
      </c>
      <c r="V32" s="55">
        <v>512647.597</v>
      </c>
      <c r="W32" s="55">
        <v>542075.5691285655</v>
      </c>
      <c r="X32" s="55">
        <v>682929.922737</v>
      </c>
      <c r="Y32" s="55">
        <v>652559.5754656534</v>
      </c>
      <c r="Z32" s="55">
        <v>289575.0950222987</v>
      </c>
      <c r="AA32" s="55">
        <v>670139.4531900259</v>
      </c>
      <c r="AB32" s="55">
        <v>1297720.3804579999</v>
      </c>
      <c r="AC32" s="55">
        <v>727864.9924169999</v>
      </c>
    </row>
    <row r="33" ht="15.75" customHeight="1">
      <c r="A33" s="55" t="s">
        <v>41</v>
      </c>
      <c r="B33" s="55" t="s">
        <v>60</v>
      </c>
      <c r="C33" s="55" t="s">
        <v>326</v>
      </c>
      <c r="D33" s="55" t="s">
        <v>287</v>
      </c>
      <c r="E33" s="55" t="s">
        <v>327</v>
      </c>
      <c r="F33" s="55">
        <v>6801.186000000001</v>
      </c>
      <c r="G33" s="55">
        <v>8300.554</v>
      </c>
      <c r="H33" s="55">
        <v>7579.715</v>
      </c>
      <c r="I33" s="55">
        <v>7252.058</v>
      </c>
      <c r="J33" s="55">
        <v>10584.948</v>
      </c>
      <c r="K33" s="55">
        <v>27111.948</v>
      </c>
      <c r="L33" s="55">
        <v>36989.121</v>
      </c>
      <c r="M33" s="55">
        <v>15012.289999999999</v>
      </c>
      <c r="N33" s="55">
        <v>17560.841</v>
      </c>
      <c r="O33" s="55">
        <v>37885.935</v>
      </c>
      <c r="P33" s="55">
        <v>19510.946</v>
      </c>
      <c r="Q33" s="55">
        <v>10596.844000000001</v>
      </c>
      <c r="R33" s="55">
        <v>10322.695</v>
      </c>
      <c r="S33" s="55">
        <v>21153.252</v>
      </c>
      <c r="T33" s="55">
        <v>8062.43</v>
      </c>
      <c r="U33" s="55">
        <v>5101.433</v>
      </c>
      <c r="V33" s="55">
        <v>5606.053</v>
      </c>
      <c r="W33" s="55">
        <v>13865.23265539446</v>
      </c>
      <c r="X33" s="55">
        <v>6143.271924000001</v>
      </c>
      <c r="Y33" s="55">
        <v>4718.21534421993</v>
      </c>
      <c r="Z33" s="55">
        <v>4364.806322543681</v>
      </c>
      <c r="AA33" s="55">
        <v>8395.27440501525</v>
      </c>
      <c r="AB33" s="55">
        <v>6576.9511</v>
      </c>
      <c r="AC33" s="55">
        <v>5591.12534</v>
      </c>
    </row>
    <row r="34" ht="15.75" customHeight="1">
      <c r="A34" s="55" t="s">
        <v>41</v>
      </c>
      <c r="B34" s="55" t="s">
        <v>60</v>
      </c>
      <c r="C34" s="55" t="s">
        <v>326</v>
      </c>
      <c r="D34" s="55" t="s">
        <v>289</v>
      </c>
      <c r="E34" s="55" t="s">
        <v>327</v>
      </c>
      <c r="F34" s="55">
        <v>22626.170000000002</v>
      </c>
      <c r="G34" s="55">
        <v>18274.288</v>
      </c>
      <c r="H34" s="55">
        <v>22987.108</v>
      </c>
      <c r="I34" s="55">
        <v>19658.874</v>
      </c>
      <c r="J34" s="55">
        <v>23055.537999999997</v>
      </c>
      <c r="K34" s="55">
        <v>25010.397</v>
      </c>
      <c r="L34" s="55">
        <v>25924.147</v>
      </c>
      <c r="M34" s="55">
        <v>32965.873</v>
      </c>
      <c r="N34" s="55">
        <v>36917.913</v>
      </c>
      <c r="O34" s="55">
        <v>38132.75</v>
      </c>
      <c r="P34" s="55">
        <v>36566.241</v>
      </c>
      <c r="Q34" s="55">
        <v>50556.237</v>
      </c>
      <c r="R34" s="55">
        <v>56040.311</v>
      </c>
      <c r="S34" s="55">
        <v>67437.856</v>
      </c>
      <c r="T34" s="55">
        <v>57586.587</v>
      </c>
      <c r="U34" s="55">
        <v>49084.7</v>
      </c>
      <c r="V34" s="55">
        <v>53374.131</v>
      </c>
      <c r="W34" s="55">
        <v>40032.50777586994</v>
      </c>
      <c r="X34" s="55">
        <v>33310.800061999995</v>
      </c>
      <c r="Y34" s="55">
        <v>32801.00589323664</v>
      </c>
      <c r="Z34" s="55">
        <v>32583.826345617665</v>
      </c>
      <c r="AA34" s="55">
        <v>37074.5426409131</v>
      </c>
      <c r="AB34" s="55">
        <v>45477.7578</v>
      </c>
      <c r="AC34" s="55">
        <v>51877.836404999995</v>
      </c>
    </row>
    <row r="35" ht="15.75" customHeight="1">
      <c r="A35" s="55" t="s">
        <v>41</v>
      </c>
      <c r="B35" s="55" t="s">
        <v>60</v>
      </c>
      <c r="C35" s="55" t="s">
        <v>326</v>
      </c>
      <c r="D35" s="55" t="s">
        <v>291</v>
      </c>
      <c r="E35" s="55" t="s">
        <v>327</v>
      </c>
      <c r="F35" s="55">
        <v>10431.824999999997</v>
      </c>
      <c r="G35" s="55">
        <v>18108.386</v>
      </c>
      <c r="H35" s="55">
        <v>10209.419</v>
      </c>
      <c r="I35" s="55">
        <v>6458.302</v>
      </c>
      <c r="J35" s="55">
        <v>145205.82799999998</v>
      </c>
      <c r="K35" s="55">
        <v>271296.793</v>
      </c>
      <c r="L35" s="55">
        <v>472980.832</v>
      </c>
      <c r="M35" s="55">
        <v>455163.67699999997</v>
      </c>
      <c r="N35" s="55">
        <v>1610526.661</v>
      </c>
      <c r="O35" s="55">
        <v>1116804.749</v>
      </c>
      <c r="P35" s="55">
        <v>1039608.308</v>
      </c>
      <c r="Q35" s="55">
        <v>3634160.847</v>
      </c>
      <c r="R35" s="55">
        <v>1926835.034</v>
      </c>
      <c r="S35" s="55">
        <v>2326545.4790000003</v>
      </c>
      <c r="T35" s="55">
        <v>1462887.161</v>
      </c>
      <c r="U35" s="55">
        <v>1022934.129</v>
      </c>
      <c r="V35" s="55">
        <v>985181.74</v>
      </c>
      <c r="W35" s="55">
        <v>1671403.4095138933</v>
      </c>
      <c r="X35" s="55">
        <v>888071.807527</v>
      </c>
      <c r="Y35" s="55">
        <v>2605452.8201190727</v>
      </c>
      <c r="Z35" s="55">
        <v>1279940.4100733574</v>
      </c>
      <c r="AA35" s="55">
        <v>968793.6862106628</v>
      </c>
      <c r="AB35" s="55">
        <v>1207323.0204190002</v>
      </c>
      <c r="AC35" s="55">
        <v>1521495.6746629998</v>
      </c>
    </row>
    <row r="36" ht="15.75" customHeight="1">
      <c r="A36" s="55" t="s">
        <v>41</v>
      </c>
      <c r="B36" s="55" t="s">
        <v>60</v>
      </c>
      <c r="C36" s="55" t="s">
        <v>326</v>
      </c>
      <c r="D36" s="55" t="s">
        <v>293</v>
      </c>
      <c r="E36" s="55" t="s">
        <v>327</v>
      </c>
      <c r="F36" s="55">
        <v>113073.892</v>
      </c>
      <c r="G36" s="55">
        <v>130180.89700000001</v>
      </c>
      <c r="H36" s="55">
        <v>195562.513</v>
      </c>
      <c r="I36" s="55">
        <v>115338.51799999998</v>
      </c>
      <c r="J36" s="55">
        <v>192720.57299999997</v>
      </c>
      <c r="K36" s="55">
        <v>316314.69299999997</v>
      </c>
      <c r="L36" s="55">
        <v>510356.537</v>
      </c>
      <c r="M36" s="55">
        <v>552229.5349999999</v>
      </c>
      <c r="N36" s="55">
        <v>572644.6070000001</v>
      </c>
      <c r="O36" s="55">
        <v>405470.5</v>
      </c>
      <c r="P36" s="55">
        <v>249505.00199999998</v>
      </c>
      <c r="Q36" s="55">
        <v>379474.969</v>
      </c>
      <c r="R36" s="55">
        <v>321982.50899999996</v>
      </c>
      <c r="S36" s="55">
        <v>611703.442</v>
      </c>
      <c r="T36" s="55">
        <v>707351.9040000001</v>
      </c>
      <c r="U36" s="55">
        <v>568693.8160000001</v>
      </c>
      <c r="V36" s="55">
        <v>472501.14300000004</v>
      </c>
      <c r="W36" s="55">
        <v>476902.19738366274</v>
      </c>
      <c r="X36" s="55">
        <v>211252.82509799994</v>
      </c>
      <c r="Y36" s="55">
        <v>299705.24925011594</v>
      </c>
      <c r="Z36" s="55">
        <v>462574.9836414393</v>
      </c>
      <c r="AA36" s="55">
        <v>735319.0411629585</v>
      </c>
      <c r="AB36" s="55">
        <v>558003.960196</v>
      </c>
      <c r="AC36" s="55">
        <v>522724.445146</v>
      </c>
    </row>
    <row r="37" ht="15.75" customHeight="1">
      <c r="A37" s="55" t="s">
        <v>41</v>
      </c>
      <c r="B37" s="55" t="s">
        <v>60</v>
      </c>
      <c r="C37" s="55" t="s">
        <v>326</v>
      </c>
      <c r="D37" s="55" t="s">
        <v>295</v>
      </c>
      <c r="E37" s="55" t="s">
        <v>327</v>
      </c>
      <c r="F37" s="55">
        <v>23138.674</v>
      </c>
      <c r="G37" s="55">
        <v>15798.578</v>
      </c>
      <c r="H37" s="55">
        <v>15442.638</v>
      </c>
      <c r="I37" s="55">
        <v>31945.29</v>
      </c>
      <c r="J37" s="55">
        <v>31772.144</v>
      </c>
      <c r="K37" s="55">
        <v>34254.136</v>
      </c>
      <c r="L37" s="55">
        <v>39423.657</v>
      </c>
      <c r="M37" s="55">
        <v>41005.707</v>
      </c>
      <c r="N37" s="55">
        <v>58623.12300000001</v>
      </c>
      <c r="O37" s="55">
        <v>49630.859000000004</v>
      </c>
      <c r="P37" s="55">
        <v>55966.923</v>
      </c>
      <c r="Q37" s="55">
        <v>145924.544</v>
      </c>
      <c r="R37" s="55">
        <v>136665.352</v>
      </c>
      <c r="S37" s="55">
        <v>73150.734</v>
      </c>
      <c r="T37" s="55">
        <v>53039.82399999999</v>
      </c>
      <c r="U37" s="55">
        <v>48343.122</v>
      </c>
      <c r="V37" s="55">
        <v>45525.047</v>
      </c>
      <c r="W37" s="55">
        <v>51830.5132198909</v>
      </c>
      <c r="X37" s="55">
        <v>53197.322176</v>
      </c>
      <c r="Y37" s="55">
        <v>82194.93795914119</v>
      </c>
      <c r="Z37" s="55">
        <v>112381.93451806881</v>
      </c>
      <c r="AA37" s="55">
        <v>86308.58561066329</v>
      </c>
      <c r="AB37" s="55">
        <v>86572.048759</v>
      </c>
      <c r="AC37" s="55">
        <v>83962.90796499999</v>
      </c>
    </row>
    <row r="38" ht="15.75" customHeight="1">
      <c r="A38" s="55" t="s">
        <v>41</v>
      </c>
      <c r="B38" s="55" t="s">
        <v>60</v>
      </c>
      <c r="C38" s="55" t="s">
        <v>326</v>
      </c>
      <c r="D38" s="55" t="s">
        <v>297</v>
      </c>
      <c r="E38" s="55" t="s">
        <v>327</v>
      </c>
      <c r="F38" s="55">
        <v>137814.295</v>
      </c>
      <c r="G38" s="55">
        <v>170295.802</v>
      </c>
      <c r="H38" s="55">
        <v>195939.853</v>
      </c>
      <c r="I38" s="55">
        <v>203510.47</v>
      </c>
      <c r="J38" s="55">
        <v>244196.288</v>
      </c>
      <c r="K38" s="55">
        <v>341206.176</v>
      </c>
      <c r="L38" s="55">
        <v>425251.666</v>
      </c>
      <c r="M38" s="55">
        <v>479286.984</v>
      </c>
      <c r="N38" s="55">
        <v>642983.2409999999</v>
      </c>
      <c r="O38" s="55">
        <v>996859.067</v>
      </c>
      <c r="P38" s="55">
        <v>641710.536</v>
      </c>
      <c r="Q38" s="55">
        <v>847026.2069999999</v>
      </c>
      <c r="R38" s="55">
        <v>590445.4990000001</v>
      </c>
      <c r="S38" s="55">
        <v>716514.387</v>
      </c>
      <c r="T38" s="55">
        <v>661869.595</v>
      </c>
      <c r="U38" s="55">
        <v>581131.227</v>
      </c>
      <c r="V38" s="55">
        <v>616984.832</v>
      </c>
      <c r="W38" s="55">
        <v>724100.451370439</v>
      </c>
      <c r="X38" s="55">
        <v>951191.4195709999</v>
      </c>
      <c r="Y38" s="55">
        <v>1153704.2607221191</v>
      </c>
      <c r="Z38" s="55">
        <v>963470.5887075029</v>
      </c>
      <c r="AA38" s="55">
        <v>1168381.681832665</v>
      </c>
      <c r="AB38" s="55">
        <v>1653444.129607</v>
      </c>
      <c r="AC38" s="55">
        <v>1806338.65597</v>
      </c>
    </row>
    <row r="39" ht="15.75" customHeight="1">
      <c r="A39" s="55" t="s">
        <v>41</v>
      </c>
      <c r="B39" s="55" t="s">
        <v>60</v>
      </c>
      <c r="C39" s="55" t="s">
        <v>326</v>
      </c>
      <c r="D39" s="55" t="s">
        <v>299</v>
      </c>
      <c r="E39" s="55" t="s">
        <v>327</v>
      </c>
      <c r="F39" s="55">
        <v>80035.56899999996</v>
      </c>
      <c r="G39" s="55">
        <v>108679.64700000008</v>
      </c>
      <c r="H39" s="55">
        <v>135147.6269999999</v>
      </c>
      <c r="I39" s="55">
        <v>141041.2</v>
      </c>
      <c r="J39" s="55">
        <v>337703.2829999997</v>
      </c>
      <c r="K39" s="55">
        <v>569531.7890000005</v>
      </c>
      <c r="L39" s="55">
        <v>865405.7330000002</v>
      </c>
      <c r="M39" s="55">
        <v>938677.129</v>
      </c>
      <c r="N39" s="55">
        <v>2102374.876000001</v>
      </c>
      <c r="O39" s="55">
        <v>1932447.3049999997</v>
      </c>
      <c r="P39" s="55">
        <v>1612990.002</v>
      </c>
      <c r="Q39" s="55">
        <v>4348050.1759999925</v>
      </c>
      <c r="R39" s="55">
        <v>2600965.3589999983</v>
      </c>
      <c r="S39" s="55">
        <v>3022835.1650000014</v>
      </c>
      <c r="T39" s="55">
        <v>2165452.216000002</v>
      </c>
      <c r="U39" s="55">
        <v>1689765.059000001</v>
      </c>
      <c r="V39" s="55">
        <v>1538590.3449999993</v>
      </c>
      <c r="W39" s="55">
        <v>2250494.120330694</v>
      </c>
      <c r="X39" s="55">
        <v>1771500.7003289992</v>
      </c>
      <c r="Y39" s="55">
        <v>3788575.928944102</v>
      </c>
      <c r="Z39" s="55">
        <v>2269849.311144711</v>
      </c>
      <c r="AA39" s="55">
        <v>2191425.4041087436</v>
      </c>
      <c r="AB39" s="55">
        <v>2812114.0077599995</v>
      </c>
      <c r="AC39" s="55">
        <v>3432904.785157999</v>
      </c>
    </row>
    <row r="40" ht="15.75" customHeight="1">
      <c r="A40" s="55" t="s">
        <v>41</v>
      </c>
      <c r="B40" s="55" t="s">
        <v>60</v>
      </c>
      <c r="C40" s="55" t="s">
        <v>326</v>
      </c>
      <c r="D40" s="55" t="s">
        <v>301</v>
      </c>
      <c r="E40" s="55" t="s">
        <v>327</v>
      </c>
      <c r="F40" s="55">
        <v>47657.551</v>
      </c>
      <c r="G40" s="55">
        <v>51034.949</v>
      </c>
      <c r="H40" s="55">
        <v>57866.785</v>
      </c>
      <c r="I40" s="55">
        <v>56069.479999999996</v>
      </c>
      <c r="J40" s="55">
        <v>68271.052</v>
      </c>
      <c r="K40" s="55">
        <v>73311.42100000002</v>
      </c>
      <c r="L40" s="55">
        <v>91302.91500000002</v>
      </c>
      <c r="M40" s="55">
        <v>72525.088</v>
      </c>
      <c r="N40" s="55">
        <v>95756.91099999996</v>
      </c>
      <c r="O40" s="55">
        <v>110239.03699999998</v>
      </c>
      <c r="P40" s="55">
        <v>101947.22399999999</v>
      </c>
      <c r="Q40" s="55">
        <v>124587.70299999994</v>
      </c>
      <c r="R40" s="55">
        <v>112499.27300000003</v>
      </c>
      <c r="S40" s="55">
        <v>165572.03899999996</v>
      </c>
      <c r="T40" s="55">
        <v>117903.33600000002</v>
      </c>
      <c r="U40" s="55">
        <v>142789.18399999992</v>
      </c>
      <c r="V40" s="55">
        <v>275336.15300000005</v>
      </c>
      <c r="W40" s="55">
        <v>322996.81208266766</v>
      </c>
      <c r="X40" s="55">
        <v>302852.55443399993</v>
      </c>
      <c r="Y40" s="55">
        <v>208962.37196339705</v>
      </c>
      <c r="Z40" s="55">
        <v>119997.01085104235</v>
      </c>
      <c r="AA40" s="55">
        <v>169125.6983380883</v>
      </c>
      <c r="AB40" s="55">
        <v>304438.13751000015</v>
      </c>
      <c r="AC40" s="55">
        <v>199724.075669</v>
      </c>
    </row>
    <row r="41" ht="15.75" customHeight="1">
      <c r="A41" s="55" t="s">
        <v>41</v>
      </c>
      <c r="B41" s="55" t="s">
        <v>60</v>
      </c>
      <c r="C41" s="55" t="s">
        <v>326</v>
      </c>
      <c r="D41" s="55" t="s">
        <v>303</v>
      </c>
      <c r="E41" s="55" t="s">
        <v>327</v>
      </c>
      <c r="F41" s="55">
        <v>5687.469999999999</v>
      </c>
      <c r="G41" s="55">
        <v>5065.3099999999995</v>
      </c>
      <c r="H41" s="55">
        <v>7859.211</v>
      </c>
      <c r="I41" s="55">
        <v>7143.6140000000005</v>
      </c>
      <c r="J41" s="55">
        <v>7611.61</v>
      </c>
      <c r="K41" s="55">
        <v>7347.763000000001</v>
      </c>
      <c r="L41" s="55">
        <v>8111.848</v>
      </c>
      <c r="M41" s="55">
        <v>11209.979</v>
      </c>
      <c r="N41" s="55">
        <v>16775.175</v>
      </c>
      <c r="O41" s="55">
        <v>16470.216</v>
      </c>
      <c r="P41" s="55">
        <v>21268.142999999996</v>
      </c>
      <c r="Q41" s="55">
        <v>25789.880999999998</v>
      </c>
      <c r="R41" s="55">
        <v>30376.697000000004</v>
      </c>
      <c r="S41" s="55">
        <v>35890.441999999995</v>
      </c>
      <c r="T41" s="55">
        <v>37622.024</v>
      </c>
      <c r="U41" s="55">
        <v>28880.933</v>
      </c>
      <c r="V41" s="55">
        <v>25799.22</v>
      </c>
      <c r="W41" s="55">
        <v>24256.2290161487</v>
      </c>
      <c r="X41" s="55">
        <v>29039.557419</v>
      </c>
      <c r="Y41" s="55">
        <v>27654.00745026521</v>
      </c>
      <c r="Z41" s="55">
        <v>24252.30911218686</v>
      </c>
      <c r="AA41" s="55">
        <v>49366.11916446965</v>
      </c>
      <c r="AB41" s="55">
        <v>30445.351669</v>
      </c>
      <c r="AC41" s="55">
        <v>28454.998497</v>
      </c>
    </row>
    <row r="42" ht="15.75" customHeight="1">
      <c r="A42" s="55" t="s">
        <v>41</v>
      </c>
      <c r="B42" s="55" t="s">
        <v>60</v>
      </c>
      <c r="C42" s="55" t="s">
        <v>326</v>
      </c>
      <c r="D42" s="55" t="s">
        <v>307</v>
      </c>
      <c r="E42" s="55" t="s">
        <v>327</v>
      </c>
      <c r="F42" s="55">
        <v>229896.06300000017</v>
      </c>
      <c r="G42" s="55">
        <v>249334.81600000017</v>
      </c>
      <c r="H42" s="55">
        <v>535373.240999999</v>
      </c>
      <c r="I42" s="55">
        <v>899616.4680000007</v>
      </c>
      <c r="J42" s="55">
        <v>1979470.8699999985</v>
      </c>
      <c r="K42" s="55">
        <v>2413287.3700000057</v>
      </c>
      <c r="L42" s="55">
        <v>3746095.817000001</v>
      </c>
      <c r="M42" s="55">
        <v>3802877.04</v>
      </c>
      <c r="N42" s="55">
        <v>4888987.990000002</v>
      </c>
      <c r="O42" s="55">
        <v>2610009.006999995</v>
      </c>
      <c r="P42" s="55">
        <v>5547819.038999997</v>
      </c>
      <c r="Q42" s="55">
        <v>9314284.905000003</v>
      </c>
      <c r="R42" s="55">
        <v>8940501.795999978</v>
      </c>
      <c r="S42" s="55">
        <v>8957240.628000004</v>
      </c>
      <c r="T42" s="55">
        <v>5868325.207000003</v>
      </c>
      <c r="U42" s="55">
        <v>3674482.171000003</v>
      </c>
      <c r="V42" s="55">
        <v>4122852.6090000006</v>
      </c>
      <c r="W42" s="55">
        <v>7555470.955847671</v>
      </c>
      <c r="X42" s="55">
        <v>7166254.578818995</v>
      </c>
      <c r="Y42" s="55">
        <v>5360387.397042609</v>
      </c>
      <c r="Z42" s="55">
        <v>4528508.375871489</v>
      </c>
      <c r="AA42" s="55">
        <v>6687389.305998457</v>
      </c>
      <c r="AB42" s="55">
        <v>6742421.070115</v>
      </c>
      <c r="AC42" s="55">
        <v>6559957.593128007</v>
      </c>
    </row>
    <row r="43" ht="15.75" customHeight="1">
      <c r="A43" s="55" t="s">
        <v>41</v>
      </c>
      <c r="B43" s="55" t="s">
        <v>60</v>
      </c>
      <c r="C43" s="55" t="s">
        <v>326</v>
      </c>
      <c r="D43" s="55" t="s">
        <v>309</v>
      </c>
      <c r="E43" s="55" t="s">
        <v>327</v>
      </c>
      <c r="F43" s="55">
        <v>91431.00000000001</v>
      </c>
      <c r="G43" s="55">
        <v>96973.51099999998</v>
      </c>
      <c r="H43" s="55">
        <v>101086.883</v>
      </c>
      <c r="I43" s="55">
        <v>111666.503</v>
      </c>
      <c r="J43" s="55">
        <v>175392.53900000002</v>
      </c>
      <c r="K43" s="55">
        <v>315231.006</v>
      </c>
      <c r="L43" s="55">
        <v>310341.218</v>
      </c>
      <c r="M43" s="55">
        <v>309697.34200000006</v>
      </c>
      <c r="N43" s="55">
        <v>309312.759</v>
      </c>
      <c r="O43" s="55">
        <v>308111.46400000004</v>
      </c>
      <c r="P43" s="55">
        <v>423466.2860000001</v>
      </c>
      <c r="Q43" s="55">
        <v>552207.793</v>
      </c>
      <c r="R43" s="55">
        <v>895557.474</v>
      </c>
      <c r="S43" s="55">
        <v>754936.407</v>
      </c>
      <c r="T43" s="55">
        <v>515265.50700000004</v>
      </c>
      <c r="U43" s="55">
        <v>530822.1919999999</v>
      </c>
      <c r="V43" s="55">
        <v>568348.397</v>
      </c>
      <c r="W43" s="55">
        <v>633604.4689551983</v>
      </c>
      <c r="X43" s="55">
        <v>661788.0114240001</v>
      </c>
      <c r="Y43" s="55">
        <v>693417.7757841622</v>
      </c>
      <c r="Z43" s="55">
        <v>595599.7152572204</v>
      </c>
      <c r="AA43" s="55">
        <v>742534.4703493662</v>
      </c>
      <c r="AB43" s="55">
        <v>764530.913321</v>
      </c>
      <c r="AC43" s="55">
        <v>1015548.170479</v>
      </c>
    </row>
    <row r="44" ht="15.75" customHeight="1">
      <c r="A44" s="55" t="s">
        <v>41</v>
      </c>
      <c r="B44" s="55" t="s">
        <v>60</v>
      </c>
      <c r="C44" s="55" t="s">
        <v>326</v>
      </c>
      <c r="D44" s="55" t="s">
        <v>311</v>
      </c>
      <c r="E44" s="55" t="s">
        <v>327</v>
      </c>
      <c r="F44" s="55">
        <v>89828.23</v>
      </c>
      <c r="G44" s="55">
        <v>94370.23</v>
      </c>
      <c r="H44" s="55">
        <v>120757.29299999999</v>
      </c>
      <c r="I44" s="55">
        <v>146833.731</v>
      </c>
      <c r="J44" s="55">
        <v>148791.478</v>
      </c>
      <c r="K44" s="55">
        <v>113123.503</v>
      </c>
      <c r="L44" s="55">
        <v>105849.35800000001</v>
      </c>
      <c r="M44" s="55">
        <v>109169.88699999997</v>
      </c>
      <c r="N44" s="55">
        <v>119259.657</v>
      </c>
      <c r="O44" s="55">
        <v>143409.38600000003</v>
      </c>
      <c r="P44" s="55">
        <v>192035.502</v>
      </c>
      <c r="Q44" s="55">
        <v>189575.166</v>
      </c>
      <c r="R44" s="55">
        <v>127801.04299999999</v>
      </c>
      <c r="S44" s="55">
        <v>169976.573</v>
      </c>
      <c r="T44" s="55">
        <v>125388.651</v>
      </c>
      <c r="U44" s="55">
        <v>110587.61</v>
      </c>
      <c r="V44" s="55">
        <v>92577.36600000001</v>
      </c>
      <c r="W44" s="55">
        <v>98210.60539176987</v>
      </c>
      <c r="X44" s="55">
        <v>67965.649061</v>
      </c>
      <c r="Y44" s="55">
        <v>71505.26987642742</v>
      </c>
      <c r="Z44" s="55">
        <v>52802.524214930214</v>
      </c>
      <c r="AA44" s="55">
        <v>56616.20219997895</v>
      </c>
      <c r="AB44" s="55">
        <v>71998.810444</v>
      </c>
      <c r="AC44" s="55">
        <v>73815.982186</v>
      </c>
    </row>
    <row r="45" ht="15.75" customHeight="1">
      <c r="A45" s="55" t="s">
        <v>41</v>
      </c>
      <c r="B45" s="55" t="s">
        <v>60</v>
      </c>
      <c r="C45" s="55" t="s">
        <v>326</v>
      </c>
      <c r="D45" s="61" t="s">
        <v>313</v>
      </c>
      <c r="E45" s="55" t="s">
        <v>327</v>
      </c>
      <c r="F45" s="55">
        <v>787048.12</v>
      </c>
      <c r="G45" s="55">
        <v>926001.602</v>
      </c>
      <c r="H45" s="55">
        <v>1380393.756</v>
      </c>
      <c r="I45" s="55">
        <v>1701905.229</v>
      </c>
      <c r="J45" s="55">
        <v>3416459.399</v>
      </c>
      <c r="K45" s="55">
        <v>5427554.724</v>
      </c>
      <c r="L45" s="55">
        <v>6127249.915</v>
      </c>
      <c r="M45" s="55">
        <v>6390067.965</v>
      </c>
      <c r="N45" s="55">
        <v>8853899.608</v>
      </c>
      <c r="O45" s="55">
        <v>6827539.205</v>
      </c>
      <c r="P45" s="55">
        <v>9066230.08</v>
      </c>
      <c r="Q45" s="55">
        <v>1.5627481316E7</v>
      </c>
      <c r="R45" s="55">
        <v>1.355271081E7</v>
      </c>
      <c r="S45" s="55">
        <v>1.4189021907E7</v>
      </c>
      <c r="T45" s="55">
        <v>9676616.024</v>
      </c>
      <c r="U45" s="55">
        <v>7805083.993</v>
      </c>
      <c r="V45" s="55">
        <v>7354855.146</v>
      </c>
      <c r="W45" s="55">
        <v>1.15599406680704E7</v>
      </c>
      <c r="X45" s="55">
        <v>1.0450884382922001E7</v>
      </c>
      <c r="Y45" s="55">
        <v>1.07386886032972E7</v>
      </c>
      <c r="Z45" s="55">
        <v>8295020.16616131</v>
      </c>
      <c r="AA45" s="55">
        <v>1.06500865915734E7</v>
      </c>
      <c r="AB45" s="55">
        <v>1.1830795241580999E7</v>
      </c>
      <c r="AC45" s="55">
        <v>1.203571927894E7</v>
      </c>
    </row>
    <row r="46" ht="15.75" customHeight="1">
      <c r="A46" s="55" t="s">
        <v>41</v>
      </c>
      <c r="B46" s="55" t="s">
        <v>60</v>
      </c>
      <c r="C46" s="55" t="s">
        <v>326</v>
      </c>
      <c r="D46" s="55" t="s">
        <v>316</v>
      </c>
      <c r="E46" s="55" t="s">
        <v>327</v>
      </c>
      <c r="F46" s="55">
        <v>43.981</v>
      </c>
      <c r="G46" s="55">
        <v>293.096</v>
      </c>
      <c r="H46" s="55">
        <v>234182.663</v>
      </c>
      <c r="I46" s="55">
        <v>644064.446</v>
      </c>
      <c r="J46" s="55">
        <v>1684591.478</v>
      </c>
      <c r="K46" s="55">
        <v>2136461.081</v>
      </c>
      <c r="L46" s="55">
        <v>3391186.059</v>
      </c>
      <c r="M46" s="55">
        <v>3346472.475</v>
      </c>
      <c r="N46" s="55">
        <v>4523879.452</v>
      </c>
      <c r="O46" s="55">
        <v>1965466.866</v>
      </c>
      <c r="P46" s="55">
        <v>4884925.417</v>
      </c>
      <c r="Q46" s="55">
        <v>8373415.251</v>
      </c>
      <c r="R46" s="55">
        <v>8168662.361</v>
      </c>
      <c r="S46" s="55">
        <v>8190634.098</v>
      </c>
      <c r="T46" s="55">
        <v>5009464.667</v>
      </c>
      <c r="U46" s="55">
        <v>2967465.591</v>
      </c>
      <c r="V46" s="55">
        <v>3479064.3</v>
      </c>
      <c r="W46" s="55">
        <v>6845361.19876819</v>
      </c>
      <c r="X46" s="55">
        <v>6393044.977475001</v>
      </c>
      <c r="Y46" s="55">
        <v>4600497.13414873</v>
      </c>
      <c r="Z46" s="55">
        <v>3988500.9176293896</v>
      </c>
      <c r="AA46" s="55">
        <v>5608204.026328281</v>
      </c>
      <c r="AB46" s="55">
        <v>5508569.794973</v>
      </c>
      <c r="AC46" s="55">
        <v>5539527.341725</v>
      </c>
    </row>
    <row r="47" ht="15.75" customHeight="1">
      <c r="A47" s="55" t="s">
        <v>41</v>
      </c>
      <c r="B47" s="55" t="s">
        <v>60</v>
      </c>
      <c r="C47" s="55" t="s">
        <v>326</v>
      </c>
      <c r="D47" s="55" t="s">
        <v>318</v>
      </c>
      <c r="E47" s="55" t="s">
        <v>327</v>
      </c>
      <c r="F47" s="55">
        <v>37166.543</v>
      </c>
      <c r="G47" s="55">
        <v>40080.451</v>
      </c>
      <c r="H47" s="55">
        <v>52532.166000000005</v>
      </c>
      <c r="I47" s="55">
        <v>40267.85599999999</v>
      </c>
      <c r="J47" s="55">
        <v>44781.87</v>
      </c>
      <c r="K47" s="55">
        <v>46959.028999999995</v>
      </c>
      <c r="L47" s="55">
        <v>50381.32400000001</v>
      </c>
      <c r="M47" s="55">
        <v>67496.47300000001</v>
      </c>
      <c r="N47" s="55">
        <v>69478.16600000001</v>
      </c>
      <c r="O47" s="55">
        <v>66887.043</v>
      </c>
      <c r="P47" s="55">
        <v>70462.26000000001</v>
      </c>
      <c r="Q47" s="55">
        <v>139611.021</v>
      </c>
      <c r="R47" s="55">
        <v>141666.14400000003</v>
      </c>
      <c r="S47" s="55">
        <v>192393.698</v>
      </c>
      <c r="T47" s="55">
        <v>190266.087</v>
      </c>
      <c r="U47" s="55">
        <v>164246.80500000002</v>
      </c>
      <c r="V47" s="55">
        <v>135865.992</v>
      </c>
      <c r="W47" s="55">
        <v>135420.30902082022</v>
      </c>
      <c r="X47" s="55">
        <v>129237.59610699999</v>
      </c>
      <c r="Y47" s="55">
        <v>132910.9360426574</v>
      </c>
      <c r="Z47" s="55">
        <v>143868.75405017246</v>
      </c>
      <c r="AA47" s="55">
        <v>162531.462066639</v>
      </c>
      <c r="AB47" s="55">
        <v>183394.184587</v>
      </c>
      <c r="AC47" s="55">
        <v>216971.912679</v>
      </c>
    </row>
    <row r="48" ht="15.75" customHeight="1">
      <c r="A48" s="55" t="s">
        <v>41</v>
      </c>
      <c r="B48" s="55" t="s">
        <v>60</v>
      </c>
      <c r="C48" s="55" t="s">
        <v>326</v>
      </c>
      <c r="D48" s="55" t="s">
        <v>320</v>
      </c>
      <c r="E48" s="55" t="s">
        <v>327</v>
      </c>
      <c r="F48" s="55">
        <v>2669.888</v>
      </c>
      <c r="G48" s="55">
        <v>3338.517</v>
      </c>
      <c r="H48" s="55">
        <v>1997.3940000000002</v>
      </c>
      <c r="I48" s="55">
        <v>1477.088</v>
      </c>
      <c r="J48" s="55">
        <v>1621.9239999999998</v>
      </c>
      <c r="K48" s="55">
        <v>2232.281</v>
      </c>
      <c r="L48" s="55">
        <v>1576.075</v>
      </c>
      <c r="M48" s="55">
        <v>3092.179</v>
      </c>
      <c r="N48" s="55">
        <v>1648.1100000000001</v>
      </c>
      <c r="O48" s="55">
        <v>3077.87</v>
      </c>
      <c r="P48" s="55">
        <v>9373.537</v>
      </c>
      <c r="Q48" s="55">
        <v>8428.549</v>
      </c>
      <c r="R48" s="55">
        <v>9845.876</v>
      </c>
      <c r="S48" s="55">
        <v>13628.812</v>
      </c>
      <c r="T48" s="55">
        <v>17522.604</v>
      </c>
      <c r="U48" s="55">
        <v>14189.226</v>
      </c>
      <c r="V48" s="55">
        <v>28520.452</v>
      </c>
      <c r="W48" s="55">
        <v>9841.66750328094</v>
      </c>
      <c r="X48" s="55">
        <v>5645.536212</v>
      </c>
      <c r="Y48" s="55">
        <v>6466.44580603338</v>
      </c>
      <c r="Z48" s="55">
        <v>3957.79909524544</v>
      </c>
      <c r="AA48" s="55">
        <v>7517.2952112534</v>
      </c>
      <c r="AB48" s="55">
        <v>10804.425610999999</v>
      </c>
      <c r="AC48" s="55">
        <v>12282.687331000001</v>
      </c>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16.0"/>
    <col customWidth="1" min="3" max="3" width="16.25"/>
    <col customWidth="1" min="4" max="4" width="14.25"/>
    <col customWidth="1" min="5" max="6" width="20.88"/>
    <col customWidth="1" min="7" max="8" width="27.38"/>
    <col customWidth="1" min="9" max="9" width="35.75"/>
    <col customWidth="1" min="10" max="26" width="8.63"/>
  </cols>
  <sheetData>
    <row r="1">
      <c r="A1" s="66" t="s">
        <v>341</v>
      </c>
      <c r="B1" s="66" t="s">
        <v>239</v>
      </c>
      <c r="C1" s="66" t="s">
        <v>240</v>
      </c>
      <c r="D1" s="66" t="s">
        <v>243</v>
      </c>
      <c r="E1" s="67" t="s">
        <v>343</v>
      </c>
      <c r="F1" s="67" t="s">
        <v>344</v>
      </c>
      <c r="G1" s="67" t="s">
        <v>345</v>
      </c>
      <c r="H1" s="67" t="s">
        <v>346</v>
      </c>
      <c r="I1" s="67" t="s">
        <v>347</v>
      </c>
      <c r="J1" s="66"/>
      <c r="K1" s="66"/>
      <c r="L1" s="66"/>
      <c r="M1" s="66"/>
      <c r="N1" s="66"/>
      <c r="O1" s="66"/>
      <c r="P1" s="68"/>
      <c r="Q1" s="68"/>
      <c r="R1" s="68"/>
      <c r="S1" s="68"/>
      <c r="T1" s="68"/>
      <c r="U1" s="68"/>
      <c r="V1" s="68"/>
      <c r="W1" s="68"/>
      <c r="X1" s="68"/>
      <c r="Y1" s="68"/>
      <c r="Z1" s="68"/>
    </row>
    <row r="2">
      <c r="A2" s="55">
        <v>2000.0</v>
      </c>
      <c r="B2" s="55" t="s">
        <v>41</v>
      </c>
      <c r="C2" s="55" t="s">
        <v>60</v>
      </c>
      <c r="D2" s="55" t="s">
        <v>313</v>
      </c>
      <c r="E2" s="55">
        <v>787048.12</v>
      </c>
      <c r="F2" s="55">
        <f t="shared" ref="F2:F25" si="1">E2/1000</f>
        <v>787.04812</v>
      </c>
      <c r="G2" s="55">
        <v>1401559.789</v>
      </c>
      <c r="H2" s="55">
        <f t="shared" ref="H2:H25" si="2">G2/1000</f>
        <v>1401.559789</v>
      </c>
      <c r="I2" s="69">
        <v>116.63</v>
      </c>
    </row>
    <row r="3">
      <c r="A3" s="55">
        <v>2001.0</v>
      </c>
      <c r="B3" s="55" t="s">
        <v>41</v>
      </c>
      <c r="C3" s="55" t="s">
        <v>60</v>
      </c>
      <c r="D3" s="55" t="s">
        <v>313</v>
      </c>
      <c r="E3" s="55">
        <v>926001.602</v>
      </c>
      <c r="F3" s="55">
        <f t="shared" si="1"/>
        <v>926.001602</v>
      </c>
      <c r="G3" s="55">
        <v>1354741.831</v>
      </c>
      <c r="H3" s="55">
        <f t="shared" si="2"/>
        <v>1354.741831</v>
      </c>
      <c r="I3" s="69">
        <v>35.7</v>
      </c>
    </row>
    <row r="4">
      <c r="A4" s="55">
        <v>2002.0</v>
      </c>
      <c r="B4" s="55" t="s">
        <v>41</v>
      </c>
      <c r="C4" s="55" t="s">
        <v>60</v>
      </c>
      <c r="D4" s="55" t="s">
        <v>313</v>
      </c>
      <c r="E4" s="55">
        <v>1380393.756</v>
      </c>
      <c r="F4" s="55">
        <f t="shared" si="1"/>
        <v>1380.393756</v>
      </c>
      <c r="G4" s="55">
        <v>1333690.954</v>
      </c>
      <c r="H4" s="55">
        <f t="shared" si="2"/>
        <v>1333.690954</v>
      </c>
      <c r="I4" s="69">
        <v>47.13</v>
      </c>
    </row>
    <row r="5">
      <c r="A5" s="55">
        <v>2003.0</v>
      </c>
      <c r="B5" s="55" t="s">
        <v>41</v>
      </c>
      <c r="C5" s="55" t="s">
        <v>60</v>
      </c>
      <c r="D5" s="55" t="s">
        <v>313</v>
      </c>
      <c r="E5" s="55">
        <v>1701905.229</v>
      </c>
      <c r="F5" s="55">
        <f t="shared" si="1"/>
        <v>1701.905229</v>
      </c>
      <c r="G5" s="55">
        <v>1867028.654</v>
      </c>
      <c r="H5" s="55">
        <f t="shared" si="2"/>
        <v>1867.028654</v>
      </c>
      <c r="I5" s="69">
        <v>36.53</v>
      </c>
    </row>
    <row r="6">
      <c r="A6" s="55">
        <v>2004.0</v>
      </c>
      <c r="B6" s="55" t="s">
        <v>41</v>
      </c>
      <c r="C6" s="55" t="s">
        <v>60</v>
      </c>
      <c r="D6" s="55" t="s">
        <v>313</v>
      </c>
      <c r="E6" s="55">
        <v>3416459.399</v>
      </c>
      <c r="F6" s="55">
        <f t="shared" si="1"/>
        <v>3416.459399</v>
      </c>
      <c r="G6" s="55">
        <v>2492154.91</v>
      </c>
      <c r="H6" s="55">
        <f t="shared" si="2"/>
        <v>2492.15491</v>
      </c>
      <c r="I6" s="69">
        <v>62.07</v>
      </c>
    </row>
    <row r="7">
      <c r="A7" s="55">
        <v>2005.0</v>
      </c>
      <c r="B7" s="55" t="s">
        <v>41</v>
      </c>
      <c r="C7" s="55" t="s">
        <v>60</v>
      </c>
      <c r="D7" s="55" t="s">
        <v>313</v>
      </c>
      <c r="E7" s="55">
        <v>5427554.724</v>
      </c>
      <c r="F7" s="55">
        <f t="shared" si="1"/>
        <v>5427.554724</v>
      </c>
      <c r="G7" s="55">
        <v>3159415.863</v>
      </c>
      <c r="H7" s="55">
        <f t="shared" si="2"/>
        <v>3159.415863</v>
      </c>
      <c r="I7" s="69">
        <v>321.48</v>
      </c>
    </row>
    <row r="8">
      <c r="A8" s="55">
        <v>2006.0</v>
      </c>
      <c r="B8" s="55" t="s">
        <v>41</v>
      </c>
      <c r="C8" s="55" t="s">
        <v>60</v>
      </c>
      <c r="D8" s="55" t="s">
        <v>313</v>
      </c>
      <c r="E8" s="55">
        <v>6127249.915</v>
      </c>
      <c r="F8" s="55">
        <f t="shared" si="1"/>
        <v>6127.249915</v>
      </c>
      <c r="G8" s="55">
        <v>5184561.868</v>
      </c>
      <c r="H8" s="55">
        <f t="shared" si="2"/>
        <v>5184.561868</v>
      </c>
      <c r="I8" s="69">
        <v>620.66</v>
      </c>
    </row>
    <row r="9">
      <c r="A9" s="55">
        <v>2007.0</v>
      </c>
      <c r="B9" s="55" t="s">
        <v>41</v>
      </c>
      <c r="C9" s="55" t="s">
        <v>60</v>
      </c>
      <c r="D9" s="55" t="s">
        <v>313</v>
      </c>
      <c r="E9" s="55">
        <v>6390067.965</v>
      </c>
      <c r="F9" s="55">
        <f t="shared" si="1"/>
        <v>6390.067965</v>
      </c>
      <c r="G9" s="55">
        <v>6901607.086</v>
      </c>
      <c r="H9" s="55">
        <f t="shared" si="2"/>
        <v>6901.607086</v>
      </c>
      <c r="I9" s="70">
        <v>1455.72</v>
      </c>
    </row>
    <row r="10">
      <c r="A10" s="55">
        <v>2008.0</v>
      </c>
      <c r="B10" s="55" t="s">
        <v>41</v>
      </c>
      <c r="C10" s="55" t="s">
        <v>60</v>
      </c>
      <c r="D10" s="55" t="s">
        <v>313</v>
      </c>
      <c r="E10" s="55">
        <v>8853899.608</v>
      </c>
      <c r="F10" s="55">
        <f t="shared" si="1"/>
        <v>8853.899608</v>
      </c>
      <c r="G10" s="55">
        <v>8304750.689</v>
      </c>
      <c r="H10" s="55">
        <f t="shared" si="2"/>
        <v>8304.750689</v>
      </c>
      <c r="I10" s="70">
        <v>3763.49</v>
      </c>
    </row>
    <row r="11">
      <c r="A11" s="55">
        <v>2009.0</v>
      </c>
      <c r="B11" s="55" t="s">
        <v>41</v>
      </c>
      <c r="C11" s="55" t="s">
        <v>60</v>
      </c>
      <c r="D11" s="55" t="s">
        <v>313</v>
      </c>
      <c r="E11" s="55">
        <v>6827539.205</v>
      </c>
      <c r="F11" s="55">
        <f t="shared" si="1"/>
        <v>6827.539205</v>
      </c>
      <c r="G11" s="55">
        <v>6141634.234</v>
      </c>
      <c r="H11" s="55">
        <f t="shared" si="2"/>
        <v>6141.634234</v>
      </c>
      <c r="I11" s="70">
        <v>3059.54</v>
      </c>
    </row>
    <row r="12">
      <c r="A12" s="55">
        <v>2010.0</v>
      </c>
      <c r="B12" s="55" t="s">
        <v>41</v>
      </c>
      <c r="C12" s="55" t="s">
        <v>60</v>
      </c>
      <c r="D12" s="55" t="s">
        <v>313</v>
      </c>
      <c r="E12" s="55">
        <v>9066230.08</v>
      </c>
      <c r="F12" s="55">
        <f t="shared" si="1"/>
        <v>9066.23008</v>
      </c>
      <c r="G12" s="55">
        <v>7263136.243</v>
      </c>
      <c r="H12" s="55">
        <f t="shared" si="2"/>
        <v>7263.136243</v>
      </c>
      <c r="I12" s="70">
        <v>2121.32</v>
      </c>
    </row>
    <row r="13">
      <c r="A13" s="55">
        <v>2011.0</v>
      </c>
      <c r="B13" s="55" t="s">
        <v>41</v>
      </c>
      <c r="C13" s="55" t="s">
        <v>60</v>
      </c>
      <c r="D13" s="55" t="s">
        <v>313</v>
      </c>
      <c r="E13" s="55">
        <v>1.5627481316E7</v>
      </c>
      <c r="F13" s="55">
        <f t="shared" si="1"/>
        <v>15627.48132</v>
      </c>
      <c r="G13" s="55">
        <v>8155302.039</v>
      </c>
      <c r="H13" s="55">
        <f t="shared" si="2"/>
        <v>8155.302039</v>
      </c>
      <c r="I13" s="70">
        <v>4255.09</v>
      </c>
    </row>
    <row r="14">
      <c r="A14" s="55">
        <v>2012.0</v>
      </c>
      <c r="B14" s="55" t="s">
        <v>41</v>
      </c>
      <c r="C14" s="55" t="s">
        <v>60</v>
      </c>
      <c r="D14" s="55" t="s">
        <v>313</v>
      </c>
      <c r="E14" s="55">
        <v>1.355271081E7</v>
      </c>
      <c r="F14" s="55">
        <f t="shared" si="1"/>
        <v>13552.71081</v>
      </c>
      <c r="G14" s="55">
        <v>7797327.222</v>
      </c>
      <c r="H14" s="55">
        <f t="shared" si="2"/>
        <v>7797.327222</v>
      </c>
      <c r="I14" s="70">
        <v>2897.2</v>
      </c>
    </row>
    <row r="15">
      <c r="A15" s="55">
        <v>2013.0</v>
      </c>
      <c r="B15" s="55" t="s">
        <v>41</v>
      </c>
      <c r="C15" s="55" t="s">
        <v>60</v>
      </c>
      <c r="D15" s="55" t="s">
        <v>313</v>
      </c>
      <c r="E15" s="55">
        <v>1.4189021907E7</v>
      </c>
      <c r="F15" s="55">
        <f t="shared" si="1"/>
        <v>14189.02191</v>
      </c>
      <c r="G15" s="55">
        <v>7026636.514</v>
      </c>
      <c r="H15" s="55">
        <f t="shared" si="2"/>
        <v>7026.636514</v>
      </c>
      <c r="I15" s="70">
        <v>3874.14</v>
      </c>
    </row>
    <row r="16">
      <c r="A16" s="55">
        <v>2014.0</v>
      </c>
      <c r="B16" s="55" t="s">
        <v>41</v>
      </c>
      <c r="C16" s="55" t="s">
        <v>60</v>
      </c>
      <c r="D16" s="55" t="s">
        <v>313</v>
      </c>
      <c r="E16" s="55">
        <v>9676616.024</v>
      </c>
      <c r="F16" s="55">
        <f t="shared" si="1"/>
        <v>9676.616024</v>
      </c>
      <c r="G16" s="55">
        <v>7069416.666</v>
      </c>
      <c r="H16" s="55">
        <f t="shared" si="2"/>
        <v>7069.416666</v>
      </c>
      <c r="I16" s="70">
        <v>7092.38</v>
      </c>
    </row>
    <row r="17">
      <c r="A17" s="55">
        <v>2015.0</v>
      </c>
      <c r="B17" s="55" t="s">
        <v>41</v>
      </c>
      <c r="C17" s="55" t="s">
        <v>60</v>
      </c>
      <c r="D17" s="55" t="s">
        <v>313</v>
      </c>
      <c r="E17" s="55">
        <v>7805083.993</v>
      </c>
      <c r="F17" s="55">
        <f t="shared" si="1"/>
        <v>7805.083993</v>
      </c>
      <c r="G17" s="55">
        <v>7395997.582</v>
      </c>
      <c r="H17" s="55">
        <f t="shared" si="2"/>
        <v>7395.997582</v>
      </c>
      <c r="I17" s="70">
        <v>13414.32</v>
      </c>
    </row>
    <row r="18">
      <c r="A18" s="55">
        <v>2016.0</v>
      </c>
      <c r="B18" s="55" t="s">
        <v>41</v>
      </c>
      <c r="C18" s="55" t="s">
        <v>60</v>
      </c>
      <c r="D18" s="55" t="s">
        <v>313</v>
      </c>
      <c r="E18" s="55">
        <v>7354855.146</v>
      </c>
      <c r="F18" s="55">
        <f t="shared" si="1"/>
        <v>7354.855146</v>
      </c>
      <c r="G18" s="55">
        <v>6719479.245</v>
      </c>
      <c r="H18" s="55">
        <f t="shared" si="2"/>
        <v>6719.479245</v>
      </c>
      <c r="I18" s="70">
        <v>9822.18</v>
      </c>
    </row>
    <row r="19">
      <c r="A19" s="55">
        <v>2017.0</v>
      </c>
      <c r="B19" s="55" t="s">
        <v>41</v>
      </c>
      <c r="C19" s="55" t="s">
        <v>60</v>
      </c>
      <c r="D19" s="55" t="s">
        <v>313</v>
      </c>
      <c r="E19" s="55">
        <v>1.15599406680704E7</v>
      </c>
      <c r="F19" s="55">
        <f t="shared" si="1"/>
        <v>11559.94067</v>
      </c>
      <c r="G19" s="55">
        <v>7235416.29667579</v>
      </c>
      <c r="H19" s="55">
        <f t="shared" si="2"/>
        <v>7235.416297</v>
      </c>
      <c r="I19" s="70">
        <v>10808.82</v>
      </c>
    </row>
    <row r="20">
      <c r="A20" s="55">
        <v>2018.0</v>
      </c>
      <c r="B20" s="55" t="s">
        <v>41</v>
      </c>
      <c r="C20" s="55" t="s">
        <v>60</v>
      </c>
      <c r="D20" s="55" t="s">
        <v>313</v>
      </c>
      <c r="E20" s="55">
        <v>1.0450884382922001E7</v>
      </c>
      <c r="F20" s="55">
        <f t="shared" si="1"/>
        <v>10450.88438</v>
      </c>
      <c r="G20" s="55">
        <v>1.4436507548189E7</v>
      </c>
      <c r="H20" s="55">
        <f t="shared" si="2"/>
        <v>14436.50755</v>
      </c>
      <c r="I20" s="70">
        <v>15943.36</v>
      </c>
    </row>
    <row r="21" ht="15.75" customHeight="1">
      <c r="A21" s="55">
        <v>2019.0</v>
      </c>
      <c r="B21" s="55" t="s">
        <v>41</v>
      </c>
      <c r="C21" s="55" t="s">
        <v>60</v>
      </c>
      <c r="D21" s="55" t="s">
        <v>313</v>
      </c>
      <c r="E21" s="55">
        <v>1.07386886032972E7</v>
      </c>
      <c r="F21" s="55">
        <f t="shared" si="1"/>
        <v>10738.6886</v>
      </c>
      <c r="G21" s="55">
        <v>1.48938918553071E7</v>
      </c>
      <c r="H21" s="55">
        <f t="shared" si="2"/>
        <v>14893.89186</v>
      </c>
      <c r="I21" s="70">
        <v>14904.18</v>
      </c>
    </row>
    <row r="22" ht="15.75" customHeight="1">
      <c r="A22" s="55">
        <v>2020.0</v>
      </c>
      <c r="B22" s="55" t="s">
        <v>41</v>
      </c>
      <c r="C22" s="55" t="s">
        <v>60</v>
      </c>
      <c r="D22" s="55" t="s">
        <v>313</v>
      </c>
      <c r="E22" s="55">
        <v>8295020.16616131</v>
      </c>
      <c r="F22" s="55">
        <f t="shared" si="1"/>
        <v>8295.020166</v>
      </c>
      <c r="G22" s="55">
        <v>1.23067469775282E7</v>
      </c>
      <c r="H22" s="55">
        <f t="shared" si="2"/>
        <v>12306.74698</v>
      </c>
      <c r="I22" s="70">
        <v>18735.44</v>
      </c>
    </row>
    <row r="23" ht="15.75" customHeight="1">
      <c r="A23" s="55">
        <v>2021.0</v>
      </c>
      <c r="B23" s="55" t="s">
        <v>41</v>
      </c>
      <c r="C23" s="55" t="s">
        <v>60</v>
      </c>
      <c r="D23" s="55" t="s">
        <v>313</v>
      </c>
      <c r="E23" s="55">
        <v>1.06500865915734E7</v>
      </c>
      <c r="F23" s="55">
        <f t="shared" si="1"/>
        <v>10650.08659</v>
      </c>
      <c r="G23" s="55">
        <v>1.8201531477632802E7</v>
      </c>
      <c r="H23" s="55">
        <f t="shared" si="2"/>
        <v>18201.53148</v>
      </c>
      <c r="I23" s="70">
        <v>13392.0</v>
      </c>
    </row>
    <row r="24" ht="15.75" customHeight="1">
      <c r="A24" s="55">
        <v>2022.0</v>
      </c>
      <c r="B24" s="55" t="s">
        <v>41</v>
      </c>
      <c r="C24" s="55" t="s">
        <v>60</v>
      </c>
      <c r="D24" s="55" t="s">
        <v>313</v>
      </c>
      <c r="E24" s="55">
        <v>1.1830795241580999E7</v>
      </c>
      <c r="F24" s="55">
        <f t="shared" si="1"/>
        <v>11830.79524</v>
      </c>
      <c r="G24" s="55">
        <v>2.4418725272813E7</v>
      </c>
      <c r="H24" s="55">
        <f t="shared" si="2"/>
        <v>24418.72527</v>
      </c>
      <c r="I24" s="70">
        <v>17265.57</v>
      </c>
    </row>
    <row r="25" ht="15.75" customHeight="1">
      <c r="A25" s="55">
        <v>2023.0</v>
      </c>
      <c r="B25" s="55" t="s">
        <v>41</v>
      </c>
      <c r="C25" s="55" t="s">
        <v>60</v>
      </c>
      <c r="D25" s="55" t="s">
        <v>313</v>
      </c>
      <c r="E25" s="55">
        <v>1.203571927894E7</v>
      </c>
      <c r="F25" s="55">
        <f t="shared" si="1"/>
        <v>12035.71928</v>
      </c>
      <c r="G25" s="55">
        <v>6934788.486977</v>
      </c>
      <c r="H25" s="55">
        <f t="shared" si="2"/>
        <v>6934.788487</v>
      </c>
      <c r="I25" s="70">
        <v>11568.46</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row r="1">
      <c r="A1" s="71" t="s">
        <v>379</v>
      </c>
      <c r="C1" s="71"/>
      <c r="D1" s="71"/>
      <c r="E1" s="71"/>
      <c r="F1" s="71"/>
      <c r="G1" s="71"/>
      <c r="H1" s="71"/>
      <c r="I1" s="71"/>
      <c r="J1" s="71"/>
    </row>
    <row r="2">
      <c r="A2" s="71"/>
      <c r="B2" s="71"/>
      <c r="C2" s="71"/>
      <c r="D2" s="71"/>
      <c r="E2" s="71"/>
      <c r="F2" s="71"/>
      <c r="G2" s="71"/>
      <c r="H2" s="71"/>
      <c r="I2" s="71"/>
      <c r="J2" s="71"/>
    </row>
    <row r="3">
      <c r="A3" s="72" t="s">
        <v>381</v>
      </c>
      <c r="B3" s="73"/>
      <c r="C3" s="71"/>
      <c r="D3" s="71"/>
      <c r="E3" s="71"/>
      <c r="F3" s="71"/>
      <c r="G3" s="71"/>
      <c r="H3" s="71"/>
      <c r="I3" s="71"/>
      <c r="J3" s="71"/>
    </row>
    <row r="4">
      <c r="A4" s="71" t="s">
        <v>383</v>
      </c>
      <c r="B4" s="74">
        <v>0.87343512</v>
      </c>
      <c r="C4" s="71"/>
      <c r="D4" s="71"/>
      <c r="E4" s="71"/>
      <c r="F4" s="71"/>
      <c r="G4" s="71"/>
      <c r="H4" s="71"/>
      <c r="I4" s="71"/>
      <c r="J4" s="71"/>
    </row>
    <row r="5">
      <c r="A5" s="71" t="s">
        <v>385</v>
      </c>
      <c r="B5" s="74">
        <v>0.76288891</v>
      </c>
      <c r="C5" s="71"/>
      <c r="D5" s="71"/>
      <c r="E5" s="71"/>
      <c r="F5" s="71"/>
      <c r="G5" s="71"/>
      <c r="H5" s="71"/>
      <c r="I5" s="71"/>
      <c r="J5" s="71"/>
    </row>
    <row r="6">
      <c r="A6" s="71" t="s">
        <v>386</v>
      </c>
      <c r="B6" s="74">
        <v>0.74181237</v>
      </c>
      <c r="C6" s="71"/>
      <c r="D6" s="71"/>
      <c r="E6" s="71"/>
      <c r="F6" s="71"/>
      <c r="G6" s="71"/>
      <c r="H6" s="71"/>
      <c r="I6" s="71"/>
      <c r="J6" s="71"/>
    </row>
    <row r="7">
      <c r="A7" s="71" t="s">
        <v>388</v>
      </c>
      <c r="B7" s="74">
        <v>9.712733205E9</v>
      </c>
      <c r="C7" s="71"/>
      <c r="D7" s="71"/>
      <c r="E7" s="71"/>
      <c r="F7" s="71"/>
      <c r="G7" s="71"/>
      <c r="H7" s="71"/>
      <c r="I7" s="71"/>
      <c r="J7" s="71"/>
    </row>
    <row r="8">
      <c r="A8" s="75" t="s">
        <v>389</v>
      </c>
      <c r="B8" s="76">
        <v>50.0</v>
      </c>
      <c r="C8" s="71"/>
      <c r="D8" s="71"/>
      <c r="E8" s="71"/>
      <c r="F8" s="71"/>
      <c r="G8" s="71"/>
      <c r="H8" s="71"/>
      <c r="I8" s="71"/>
      <c r="J8" s="71"/>
    </row>
    <row r="9">
      <c r="A9" s="71"/>
      <c r="B9" s="71"/>
      <c r="C9" s="71"/>
      <c r="D9" s="71"/>
      <c r="E9" s="71"/>
      <c r="F9" s="71"/>
      <c r="G9" s="71"/>
      <c r="H9" s="71"/>
      <c r="I9" s="71"/>
      <c r="J9" s="71"/>
    </row>
    <row r="10">
      <c r="A10" s="71" t="s">
        <v>391</v>
      </c>
      <c r="B10" s="71"/>
      <c r="C10" s="71"/>
      <c r="D10" s="71"/>
      <c r="E10" s="71"/>
      <c r="F10" s="71"/>
      <c r="G10" s="71"/>
      <c r="H10" s="71"/>
      <c r="I10" s="71"/>
      <c r="J10" s="71"/>
    </row>
    <row r="11">
      <c r="A11" s="72"/>
      <c r="B11" s="72" t="s">
        <v>393</v>
      </c>
      <c r="C11" s="72" t="s">
        <v>394</v>
      </c>
      <c r="D11" s="72" t="s">
        <v>395</v>
      </c>
      <c r="E11" s="72" t="s">
        <v>396</v>
      </c>
      <c r="F11" s="72" t="s">
        <v>398</v>
      </c>
      <c r="G11" s="71"/>
      <c r="H11" s="71"/>
      <c r="I11" s="71"/>
      <c r="J11" s="71"/>
    </row>
    <row r="12">
      <c r="A12" s="71" t="s">
        <v>399</v>
      </c>
      <c r="B12" s="74">
        <v>4.0</v>
      </c>
      <c r="C12" s="77">
        <v>1.3659E22</v>
      </c>
      <c r="D12" s="77">
        <v>3.4146E21</v>
      </c>
      <c r="E12" s="74">
        <v>36.1961158</v>
      </c>
      <c r="F12" s="77">
        <v>1.5691E-13</v>
      </c>
      <c r="G12" s="71"/>
      <c r="H12" s="71"/>
      <c r="I12" s="71"/>
      <c r="J12" s="71"/>
    </row>
    <row r="13">
      <c r="A13" s="71" t="s">
        <v>401</v>
      </c>
      <c r="B13" s="74">
        <v>45.0</v>
      </c>
      <c r="C13" s="77">
        <v>4.2452E21</v>
      </c>
      <c r="D13" s="77">
        <v>9.4337E19</v>
      </c>
      <c r="E13" s="71"/>
      <c r="F13" s="71"/>
      <c r="G13" s="71"/>
      <c r="H13" s="71"/>
      <c r="I13" s="71"/>
      <c r="J13" s="71"/>
    </row>
    <row r="14">
      <c r="A14" s="75" t="s">
        <v>402</v>
      </c>
      <c r="B14" s="76">
        <v>49.0</v>
      </c>
      <c r="C14" s="78">
        <v>1.7904E22</v>
      </c>
      <c r="D14" s="75"/>
      <c r="E14" s="75"/>
      <c r="F14" s="75"/>
      <c r="G14" s="71"/>
      <c r="H14" s="71"/>
      <c r="I14" s="71"/>
      <c r="J14" s="71"/>
    </row>
    <row r="15">
      <c r="A15" s="71"/>
      <c r="B15" s="71"/>
      <c r="C15" s="71"/>
      <c r="D15" s="71"/>
      <c r="E15" s="71"/>
      <c r="F15" s="71"/>
      <c r="G15" s="71"/>
      <c r="H15" s="71"/>
      <c r="I15" s="71"/>
      <c r="J15" s="71"/>
    </row>
    <row r="16">
      <c r="A16" s="72"/>
      <c r="B16" s="72" t="s">
        <v>405</v>
      </c>
      <c r="C16" s="72" t="s">
        <v>388</v>
      </c>
      <c r="D16" s="72" t="s">
        <v>406</v>
      </c>
      <c r="E16" s="72" t="s">
        <v>407</v>
      </c>
      <c r="F16" s="72" t="s">
        <v>408</v>
      </c>
      <c r="G16" s="72" t="s">
        <v>409</v>
      </c>
      <c r="H16" s="72" t="s">
        <v>410</v>
      </c>
      <c r="I16" s="72" t="s">
        <v>411</v>
      </c>
      <c r="J16" s="71"/>
    </row>
    <row r="17">
      <c r="A17" s="71" t="s">
        <v>412</v>
      </c>
      <c r="B17" s="77">
        <v>5.6995E10</v>
      </c>
      <c r="C17" s="77">
        <v>2.2636E10</v>
      </c>
      <c r="D17" s="74">
        <v>2.51786281</v>
      </c>
      <c r="E17" s="74">
        <v>0.01543418</v>
      </c>
      <c r="F17" s="77">
        <v>1.1403E10</v>
      </c>
      <c r="G17" s="77">
        <v>1.0259E11</v>
      </c>
      <c r="H17" s="77">
        <v>1.1403E10</v>
      </c>
      <c r="I17" s="77">
        <v>1.0259E11</v>
      </c>
      <c r="J17" s="71"/>
    </row>
    <row r="18">
      <c r="A18" s="71" t="s">
        <v>13</v>
      </c>
      <c r="B18" s="77">
        <v>-1.061E9</v>
      </c>
      <c r="C18" s="74">
        <v>5.55422911E8</v>
      </c>
      <c r="D18" s="74">
        <v>-1.9100405</v>
      </c>
      <c r="E18" s="74">
        <v>0.06251398</v>
      </c>
      <c r="F18" s="77">
        <v>-2.18E9</v>
      </c>
      <c r="G18" s="74">
        <v>5.77989373E7</v>
      </c>
      <c r="H18" s="77">
        <v>-2.18E9</v>
      </c>
      <c r="I18" s="74">
        <v>5.77989373E7</v>
      </c>
      <c r="J18" s="71"/>
    </row>
    <row r="19">
      <c r="A19" s="71" t="s">
        <v>26</v>
      </c>
      <c r="B19" s="74">
        <v>-1.18962344E8</v>
      </c>
      <c r="C19" s="74">
        <v>2.64672137E8</v>
      </c>
      <c r="D19" s="74">
        <v>-0.4494706</v>
      </c>
      <c r="E19" s="74">
        <v>0.65524973</v>
      </c>
      <c r="F19" s="74">
        <v>-6.52039392E8</v>
      </c>
      <c r="G19" s="74">
        <v>4.14114704E8</v>
      </c>
      <c r="H19" s="74">
        <v>-6.52039392E8</v>
      </c>
      <c r="I19" s="74">
        <v>4.14114704E8</v>
      </c>
      <c r="J19" s="71"/>
    </row>
    <row r="20">
      <c r="A20" s="71" t="s">
        <v>50</v>
      </c>
      <c r="B20" s="77">
        <v>-4.006E9</v>
      </c>
      <c r="C20" s="74">
        <v>1.323969118E9</v>
      </c>
      <c r="D20" s="74">
        <v>-3.0256446</v>
      </c>
      <c r="E20" s="74">
        <v>0.00409226</v>
      </c>
      <c r="F20" s="77">
        <v>-6.672E9</v>
      </c>
      <c r="G20" s="77">
        <v>-1.339E9</v>
      </c>
      <c r="H20" s="77">
        <v>-6.672E9</v>
      </c>
      <c r="I20" s="77">
        <v>-1.339E9</v>
      </c>
      <c r="J20" s="71"/>
    </row>
    <row r="21">
      <c r="A21" s="75" t="s">
        <v>57</v>
      </c>
      <c r="B21" s="76">
        <v>9.66818277E8</v>
      </c>
      <c r="C21" s="76">
        <v>1.07131265E8</v>
      </c>
      <c r="D21" s="76">
        <v>9.02461368</v>
      </c>
      <c r="E21" s="78">
        <v>1.1697E-11</v>
      </c>
      <c r="F21" s="76">
        <v>7.51044833E8</v>
      </c>
      <c r="G21" s="76">
        <v>1.18259172E9</v>
      </c>
      <c r="H21" s="76">
        <v>7.51044833E8</v>
      </c>
      <c r="I21" s="76">
        <v>1.18259172E9</v>
      </c>
      <c r="J21" s="71"/>
    </row>
    <row r="22">
      <c r="A22" s="71"/>
      <c r="B22" s="71"/>
      <c r="C22" s="71"/>
      <c r="D22" s="71"/>
      <c r="E22" s="71"/>
      <c r="F22" s="71"/>
      <c r="G22" s="71"/>
      <c r="H22" s="71"/>
      <c r="I22" s="71"/>
      <c r="J22" s="71"/>
    </row>
    <row r="23">
      <c r="A23" s="71"/>
      <c r="B23" s="71"/>
      <c r="C23" s="71"/>
      <c r="D23" s="71"/>
      <c r="E23" s="71"/>
      <c r="F23" s="71"/>
      <c r="G23" s="71"/>
      <c r="H23" s="71"/>
      <c r="I23" s="71"/>
      <c r="J23" s="71"/>
    </row>
    <row r="24">
      <c r="A24" s="71"/>
      <c r="B24" s="71"/>
      <c r="C24" s="71"/>
      <c r="D24" s="71"/>
      <c r="E24" s="71"/>
      <c r="F24" s="71"/>
      <c r="G24" s="71"/>
      <c r="H24" s="71"/>
      <c r="I24" s="71"/>
      <c r="J24" s="71"/>
    </row>
    <row r="25">
      <c r="A25" s="71"/>
      <c r="B25" s="71"/>
      <c r="C25" s="71"/>
      <c r="D25" s="71"/>
      <c r="E25" s="71"/>
      <c r="F25" s="71"/>
      <c r="G25" s="71"/>
      <c r="H25" s="71"/>
      <c r="I25" s="71"/>
      <c r="J25" s="71"/>
    </row>
  </sheetData>
  <mergeCells count="2">
    <mergeCell ref="A1:B1"/>
    <mergeCell ref="A3:B3"/>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sheetViews>
  <sheetFormatPr customHeight="1" defaultColWidth="12.63" defaultRowHeight="15.0"/>
  <sheetData>
    <row r="1">
      <c r="A1" s="81" t="s">
        <v>239</v>
      </c>
      <c r="B1" s="81" t="s">
        <v>240</v>
      </c>
      <c r="C1" s="81" t="s">
        <v>242</v>
      </c>
      <c r="D1" s="81" t="s">
        <v>243</v>
      </c>
      <c r="E1" s="81" t="s">
        <v>245</v>
      </c>
      <c r="F1" s="81">
        <v>2000.0</v>
      </c>
      <c r="G1" s="81">
        <v>2001.0</v>
      </c>
      <c r="H1" s="81">
        <v>2002.0</v>
      </c>
      <c r="I1" s="81">
        <v>2003.0</v>
      </c>
      <c r="J1" s="81">
        <v>2004.0</v>
      </c>
      <c r="K1" s="81">
        <v>2005.0</v>
      </c>
      <c r="L1" s="81">
        <v>2006.0</v>
      </c>
      <c r="M1" s="81">
        <v>2007.0</v>
      </c>
      <c r="N1" s="81">
        <v>2008.0</v>
      </c>
      <c r="O1" s="81">
        <v>2009.0</v>
      </c>
      <c r="P1" s="81">
        <v>2010.0</v>
      </c>
      <c r="Q1" s="81">
        <v>2011.0</v>
      </c>
      <c r="R1" s="81">
        <v>2012.0</v>
      </c>
      <c r="S1" s="81">
        <v>2013.0</v>
      </c>
      <c r="T1" s="81">
        <v>2014.0</v>
      </c>
      <c r="U1" s="81">
        <v>2015.0</v>
      </c>
      <c r="V1" s="81">
        <v>2016.0</v>
      </c>
      <c r="W1" s="81">
        <v>2017.0</v>
      </c>
      <c r="X1" s="81">
        <v>2018.0</v>
      </c>
      <c r="Y1" s="81">
        <v>2019.0</v>
      </c>
      <c r="Z1" s="81">
        <v>2020.0</v>
      </c>
      <c r="AA1" s="81">
        <v>2021.0</v>
      </c>
      <c r="AB1" s="81">
        <v>2022.0</v>
      </c>
      <c r="AC1" s="81">
        <v>2023.0</v>
      </c>
    </row>
    <row r="2">
      <c r="A2" s="81" t="s">
        <v>41</v>
      </c>
      <c r="B2" s="81" t="s">
        <v>130</v>
      </c>
      <c r="C2" s="81" t="s">
        <v>275</v>
      </c>
      <c r="D2" s="81" t="s">
        <v>431</v>
      </c>
      <c r="E2" s="81" t="s">
        <v>278</v>
      </c>
      <c r="F2" s="82">
        <v>1477580.0</v>
      </c>
      <c r="G2" s="82">
        <v>1827549.0</v>
      </c>
      <c r="H2" s="82">
        <v>2619849.26</v>
      </c>
      <c r="I2" s="82">
        <v>3615125.64</v>
      </c>
      <c r="J2" s="82">
        <v>6051256.74</v>
      </c>
      <c r="K2" s="82">
        <v>1.01670611E7</v>
      </c>
      <c r="L2" s="82">
        <v>1.56390635E7</v>
      </c>
      <c r="M2" s="82">
        <v>2.45757717E7</v>
      </c>
      <c r="N2" s="82">
        <v>3.15860242E7</v>
      </c>
      <c r="O2" s="82">
        <v>3.06133707E7</v>
      </c>
      <c r="P2" s="82">
        <v>4.12491158E7</v>
      </c>
      <c r="Q2" s="82">
        <v>5.54830254E7</v>
      </c>
      <c r="R2" s="82">
        <v>5.41404554E7</v>
      </c>
      <c r="S2" s="82">
        <v>5.1635444E7</v>
      </c>
      <c r="T2" s="82">
        <v>5.82305463E7</v>
      </c>
      <c r="U2" s="82">
        <v>6.16044267E7</v>
      </c>
      <c r="V2" s="82">
        <v>6.04831033E7</v>
      </c>
      <c r="W2" s="82">
        <v>7.19227478E7</v>
      </c>
      <c r="X2" s="82">
        <v>7.3605378E7</v>
      </c>
      <c r="Y2" s="82">
        <v>6.84020926E7</v>
      </c>
      <c r="Z2" s="82">
        <v>5.87988247E7</v>
      </c>
      <c r="AA2" s="82">
        <v>8.75351357E7</v>
      </c>
      <c r="AB2" s="82">
        <v>1.0224918E8</v>
      </c>
      <c r="AC2" s="82">
        <v>1.2196741E8</v>
      </c>
    </row>
    <row r="3">
      <c r="A3" s="81" t="s">
        <v>41</v>
      </c>
      <c r="B3" s="81" t="s">
        <v>130</v>
      </c>
      <c r="C3" s="81" t="s">
        <v>326</v>
      </c>
      <c r="D3" s="81" t="s">
        <v>431</v>
      </c>
      <c r="E3" s="81" t="s">
        <v>327</v>
      </c>
      <c r="F3" s="82">
        <v>734887.75</v>
      </c>
      <c r="G3" s="82">
        <v>922542.3</v>
      </c>
      <c r="H3" s="82">
        <v>1531603.81</v>
      </c>
      <c r="I3" s="82">
        <v>2567161.9</v>
      </c>
      <c r="J3" s="82">
        <v>4098514.37</v>
      </c>
      <c r="K3" s="82">
        <v>7183792.31</v>
      </c>
      <c r="L3" s="82">
        <v>7829167.58</v>
      </c>
      <c r="M3" s="82">
        <v>9491978.18</v>
      </c>
      <c r="N3" s="82">
        <v>1.00939268E7</v>
      </c>
      <c r="O3" s="82">
        <v>1.03700525E7</v>
      </c>
      <c r="P3" s="82">
        <v>1.74399913E7</v>
      </c>
      <c r="Q3" s="82">
        <v>1.67177863E7</v>
      </c>
      <c r="R3" s="82">
        <v>1.47293166E7</v>
      </c>
      <c r="S3" s="82">
        <v>1.6416825E7</v>
      </c>
      <c r="T3" s="82">
        <v>1.34342505E7</v>
      </c>
      <c r="U3" s="82">
        <v>9576578.8</v>
      </c>
      <c r="V3" s="82">
        <v>8916072.98</v>
      </c>
      <c r="W3" s="82">
        <v>1.24952305E7</v>
      </c>
      <c r="X3" s="82">
        <v>1.6375997E7</v>
      </c>
      <c r="Y3" s="82">
        <v>1.72788327E7</v>
      </c>
      <c r="Z3" s="82">
        <v>1.90082667E7</v>
      </c>
      <c r="AA3" s="82">
        <v>2.30365973E7</v>
      </c>
      <c r="AB3" s="82">
        <v>1.5084401E7</v>
      </c>
      <c r="AC3" s="82">
        <v>1.62454219E7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sheetViews>
  <sheetFormatPr customHeight="1" defaultColWidth="12.63" defaultRowHeight="15.0"/>
  <cols>
    <col customWidth="1" min="1" max="1" width="4.75"/>
    <col customWidth="1" min="2" max="2" width="18.13"/>
    <col customWidth="1" min="3" max="3" width="18.25"/>
    <col customWidth="1" min="4" max="4" width="21.38"/>
    <col customWidth="1" min="5" max="5" width="13.25"/>
  </cols>
  <sheetData>
    <row r="1">
      <c r="A1" s="81" t="s">
        <v>341</v>
      </c>
      <c r="B1" s="81" t="s">
        <v>327</v>
      </c>
      <c r="C1" s="81" t="s">
        <v>278</v>
      </c>
      <c r="D1" s="81" t="s">
        <v>432</v>
      </c>
      <c r="E1" s="81" t="s">
        <v>433</v>
      </c>
    </row>
    <row r="2">
      <c r="A2" s="81">
        <v>2000.0</v>
      </c>
      <c r="B2" s="82">
        <v>734887.75</v>
      </c>
      <c r="C2" s="82">
        <v>1477580.01</v>
      </c>
      <c r="D2" s="82">
        <v>2212467.76</v>
      </c>
      <c r="E2" s="83"/>
    </row>
    <row r="3">
      <c r="A3" s="81">
        <v>2001.0</v>
      </c>
      <c r="B3" s="82">
        <v>922542.34</v>
      </c>
      <c r="C3" s="82">
        <v>1827549.4</v>
      </c>
      <c r="D3" s="82">
        <v>2750091.74</v>
      </c>
      <c r="E3" s="82">
        <v>24.3</v>
      </c>
    </row>
    <row r="4">
      <c r="A4" s="81">
        <v>2002.0</v>
      </c>
      <c r="B4" s="82">
        <v>1531603.81</v>
      </c>
      <c r="C4" s="82">
        <v>2619849.261</v>
      </c>
      <c r="D4" s="82">
        <v>4151453.071</v>
      </c>
      <c r="E4" s="82">
        <v>50.96</v>
      </c>
    </row>
    <row r="5">
      <c r="A5" s="81">
        <v>2003.0</v>
      </c>
      <c r="B5" s="82">
        <v>2567161.9</v>
      </c>
      <c r="C5" s="82">
        <v>3615125.641</v>
      </c>
      <c r="D5" s="82">
        <v>6182287.541</v>
      </c>
      <c r="E5" s="82">
        <v>48.92</v>
      </c>
    </row>
    <row r="6">
      <c r="A6" s="81">
        <v>2004.0</v>
      </c>
      <c r="B6" s="82">
        <v>4098514.37</v>
      </c>
      <c r="C6" s="82">
        <v>6051256.736</v>
      </c>
      <c r="D6" s="82">
        <v>1.014977111E7</v>
      </c>
      <c r="E6" s="82">
        <v>64.18</v>
      </c>
    </row>
    <row r="7">
      <c r="A7" s="81">
        <v>2005.0</v>
      </c>
      <c r="B7" s="82">
        <v>7183792.31</v>
      </c>
      <c r="C7" s="82">
        <v>1.016706114E7</v>
      </c>
      <c r="D7" s="82">
        <v>1.735085345E7</v>
      </c>
      <c r="E7" s="82">
        <v>70.95</v>
      </c>
    </row>
    <row r="8">
      <c r="A8" s="81">
        <v>2006.0</v>
      </c>
      <c r="B8" s="82">
        <v>7829167.58</v>
      </c>
      <c r="C8" s="82">
        <v>1.563906351E7</v>
      </c>
      <c r="D8" s="82">
        <v>2.346823109E7</v>
      </c>
      <c r="E8" s="82">
        <v>35.26</v>
      </c>
    </row>
    <row r="9">
      <c r="A9" s="81">
        <v>2007.0</v>
      </c>
      <c r="B9" s="82">
        <v>9491978.18</v>
      </c>
      <c r="C9" s="82">
        <v>2.457577175E7</v>
      </c>
      <c r="D9" s="82">
        <v>3.406774993E7</v>
      </c>
      <c r="E9" s="82">
        <v>45.17</v>
      </c>
    </row>
    <row r="10">
      <c r="A10" s="81">
        <v>2008.0</v>
      </c>
      <c r="B10" s="82">
        <v>1.00939268E7</v>
      </c>
      <c r="C10" s="82">
        <v>3.158602421E7</v>
      </c>
      <c r="D10" s="82">
        <v>4.167995101E7</v>
      </c>
      <c r="E10" s="82">
        <v>22.34</v>
      </c>
    </row>
    <row r="11">
      <c r="A11" s="81">
        <v>2009.0</v>
      </c>
      <c r="B11" s="82">
        <v>1.03700525E7</v>
      </c>
      <c r="C11" s="82">
        <v>3.061337069E7</v>
      </c>
      <c r="D11" s="82">
        <v>4.098342319E7</v>
      </c>
      <c r="E11" s="82">
        <v>-1.67</v>
      </c>
    </row>
    <row r="12">
      <c r="A12" s="81">
        <v>2010.0</v>
      </c>
      <c r="B12" s="82">
        <v>1.74399913E7</v>
      </c>
      <c r="C12" s="82">
        <v>4.124911579E7</v>
      </c>
      <c r="D12" s="82">
        <v>5.868910709E7</v>
      </c>
      <c r="E12" s="82">
        <v>43.2</v>
      </c>
    </row>
    <row r="13">
      <c r="A13" s="81">
        <v>2011.0</v>
      </c>
      <c r="B13" s="82">
        <v>1.67177863E7</v>
      </c>
      <c r="C13" s="82">
        <v>5.548302536E7</v>
      </c>
      <c r="D13" s="82">
        <v>7.220081166E7</v>
      </c>
      <c r="E13" s="82">
        <v>23.02</v>
      </c>
    </row>
    <row r="14">
      <c r="A14" s="81">
        <v>2012.0</v>
      </c>
      <c r="B14" s="82">
        <v>1.47293166E7</v>
      </c>
      <c r="C14" s="82">
        <v>5.414045537E7</v>
      </c>
      <c r="D14" s="82">
        <v>6.886977197E7</v>
      </c>
      <c r="E14" s="82">
        <v>-4.61</v>
      </c>
    </row>
    <row r="15">
      <c r="A15" s="81">
        <v>2013.0</v>
      </c>
      <c r="B15" s="82">
        <v>1.64168253E7</v>
      </c>
      <c r="C15" s="82">
        <v>5.16354436E7</v>
      </c>
      <c r="D15" s="82">
        <v>6.80522689E7</v>
      </c>
      <c r="E15" s="82">
        <v>-1.19</v>
      </c>
    </row>
    <row r="16">
      <c r="A16" s="81">
        <v>2014.0</v>
      </c>
      <c r="B16" s="82">
        <v>1.34342505E7</v>
      </c>
      <c r="C16" s="82">
        <v>5.823054631E7</v>
      </c>
      <c r="D16" s="82">
        <v>7.166479681E7</v>
      </c>
      <c r="E16" s="82">
        <v>5.31</v>
      </c>
    </row>
    <row r="17">
      <c r="A17" s="81">
        <v>2015.0</v>
      </c>
      <c r="B17" s="82">
        <v>9576578.8</v>
      </c>
      <c r="C17" s="82">
        <v>6.160442675E7</v>
      </c>
      <c r="D17" s="82">
        <v>7.118100555E7</v>
      </c>
      <c r="E17" s="82">
        <v>-0.68</v>
      </c>
    </row>
    <row r="18">
      <c r="A18" s="81">
        <v>2016.0</v>
      </c>
      <c r="B18" s="82">
        <v>8916072.98</v>
      </c>
      <c r="C18" s="82">
        <v>6.048310331E7</v>
      </c>
      <c r="D18" s="82">
        <v>6.939917629E7</v>
      </c>
      <c r="E18" s="82">
        <v>-2.5</v>
      </c>
    </row>
    <row r="19">
      <c r="A19" s="81">
        <v>2017.0</v>
      </c>
      <c r="B19" s="82">
        <v>1.24952305E7</v>
      </c>
      <c r="C19" s="82">
        <v>7.192274782E7</v>
      </c>
      <c r="D19" s="82">
        <v>8.441797832E7</v>
      </c>
      <c r="E19" s="82">
        <v>21.64</v>
      </c>
    </row>
    <row r="20">
      <c r="A20" s="81">
        <v>2018.0</v>
      </c>
      <c r="B20" s="82">
        <v>1.63759973E7</v>
      </c>
      <c r="C20" s="82">
        <v>7.36053776E7</v>
      </c>
      <c r="D20" s="82">
        <v>8.99813749E7</v>
      </c>
      <c r="E20" s="82">
        <v>6.59</v>
      </c>
    </row>
    <row r="21">
      <c r="A21" s="81">
        <v>2019.0</v>
      </c>
      <c r="B21" s="82">
        <v>1.72788327E7</v>
      </c>
      <c r="C21" s="82">
        <v>6.840209256E7</v>
      </c>
      <c r="D21" s="82">
        <v>8.568092526E7</v>
      </c>
      <c r="E21" s="82">
        <v>-4.78</v>
      </c>
    </row>
    <row r="22">
      <c r="A22" s="81">
        <v>2020.0</v>
      </c>
      <c r="B22" s="82">
        <v>1.90082667E7</v>
      </c>
      <c r="C22" s="82">
        <v>5.879882468E7</v>
      </c>
      <c r="D22" s="82">
        <v>7.780709138E7</v>
      </c>
      <c r="E22" s="82">
        <v>-9.19</v>
      </c>
    </row>
    <row r="23">
      <c r="A23" s="81">
        <v>2021.0</v>
      </c>
      <c r="B23" s="82">
        <v>2.30365973E7</v>
      </c>
      <c r="C23" s="82">
        <v>8.753513568E7</v>
      </c>
      <c r="D23" s="82">
        <v>1.10571733E8</v>
      </c>
      <c r="E23" s="82">
        <v>42.11</v>
      </c>
    </row>
    <row r="24">
      <c r="A24" s="81">
        <v>2022.0</v>
      </c>
      <c r="B24" s="82">
        <v>1.5084401E7</v>
      </c>
      <c r="C24" s="82">
        <v>1.022491797E8</v>
      </c>
      <c r="D24" s="82">
        <v>1.173335807E8</v>
      </c>
      <c r="E24" s="82">
        <v>6.12</v>
      </c>
    </row>
    <row r="25">
      <c r="A25" s="81">
        <v>2023.0</v>
      </c>
      <c r="B25" s="82">
        <v>1.62454219E7</v>
      </c>
      <c r="C25" s="82">
        <v>1.219674096E8</v>
      </c>
      <c r="D25" s="82">
        <v>1.382128315E8</v>
      </c>
      <c r="E25" s="82">
        <v>17.79</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sheetViews>
  <sheetFormatPr customHeight="1" defaultColWidth="12.63" defaultRowHeight="15.0"/>
  <cols>
    <col customWidth="1" min="2" max="2" width="38.75"/>
  </cols>
  <sheetData>
    <row r="1">
      <c r="A1" s="84" t="s">
        <v>341</v>
      </c>
      <c r="B1" s="84" t="s">
        <v>434</v>
      </c>
    </row>
    <row r="2">
      <c r="A2" s="85">
        <v>2000.0</v>
      </c>
      <c r="B2" s="86">
        <v>0.298</v>
      </c>
    </row>
    <row r="3">
      <c r="A3" s="85">
        <v>2001.0</v>
      </c>
      <c r="B3" s="86">
        <v>0.351</v>
      </c>
    </row>
    <row r="4">
      <c r="A4" s="85">
        <v>2002.0</v>
      </c>
      <c r="B4" s="86">
        <v>0.392</v>
      </c>
    </row>
    <row r="5">
      <c r="A5" s="85">
        <v>2003.0</v>
      </c>
      <c r="B5" s="86">
        <v>0.44</v>
      </c>
    </row>
    <row r="6">
      <c r="A6" s="85">
        <v>2004.0</v>
      </c>
      <c r="B6" s="86">
        <v>0.625</v>
      </c>
    </row>
    <row r="7">
      <c r="A7" s="85">
        <v>2005.0</v>
      </c>
      <c r="B7" s="86">
        <v>0.813</v>
      </c>
    </row>
    <row r="8">
      <c r="A8" s="85">
        <v>2006.0</v>
      </c>
      <c r="B8" s="86">
        <v>0.886</v>
      </c>
    </row>
    <row r="9">
      <c r="A9" s="85">
        <v>2007.0</v>
      </c>
      <c r="B9" s="86">
        <v>1.217</v>
      </c>
    </row>
    <row r="10">
      <c r="A10" s="85">
        <v>2008.0</v>
      </c>
      <c r="B10" s="86">
        <v>1.356</v>
      </c>
    </row>
    <row r="11">
      <c r="A11" s="85">
        <v>2009.0</v>
      </c>
      <c r="B11" s="86">
        <v>1.27</v>
      </c>
    </row>
    <row r="12">
      <c r="A12" s="85">
        <v>2010.0</v>
      </c>
      <c r="B12" s="86">
        <v>1.389</v>
      </c>
    </row>
    <row r="13">
      <c r="A13" s="85">
        <v>2011.0</v>
      </c>
      <c r="B13" s="86">
        <v>1.649</v>
      </c>
    </row>
    <row r="14">
      <c r="A14" s="85">
        <v>2012.0</v>
      </c>
      <c r="B14" s="86">
        <v>1.451</v>
      </c>
    </row>
    <row r="15">
      <c r="A15" s="85">
        <v>2013.0</v>
      </c>
      <c r="B15" s="86">
        <v>1.421</v>
      </c>
    </row>
    <row r="16">
      <c r="A16" s="85">
        <v>2014.0</v>
      </c>
      <c r="B16" s="86">
        <v>1.647</v>
      </c>
    </row>
    <row r="17">
      <c r="A17" s="85">
        <v>2015.0</v>
      </c>
      <c r="B17" s="86">
        <v>1.871</v>
      </c>
    </row>
    <row r="18">
      <c r="A18" s="85">
        <v>2016.0</v>
      </c>
      <c r="B18" s="86">
        <v>1.928</v>
      </c>
    </row>
    <row r="19">
      <c r="A19" s="85">
        <v>2017.0</v>
      </c>
      <c r="B19" s="86">
        <v>1.741</v>
      </c>
    </row>
    <row r="20">
      <c r="A20" s="85">
        <v>2018.0</v>
      </c>
      <c r="B20" s="86">
        <v>1.639</v>
      </c>
    </row>
    <row r="21">
      <c r="A21" s="85">
        <v>2019.0</v>
      </c>
      <c r="B21" s="86">
        <v>1.921</v>
      </c>
    </row>
    <row r="22">
      <c r="A22" s="85">
        <v>2020.0</v>
      </c>
      <c r="B22" s="86">
        <v>2.224</v>
      </c>
    </row>
    <row r="23">
      <c r="A23" s="85">
        <v>2021.0</v>
      </c>
      <c r="B23" s="86">
        <v>2.643</v>
      </c>
    </row>
    <row r="24">
      <c r="A24" s="85">
        <v>2022.0</v>
      </c>
      <c r="B24" s="86">
        <v>2.332</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2026-07-22T08:27:28Z</dcterms:created>
  <dc:creator>Clare Kon</dc:creator>
</cp:coreProperties>
</file>